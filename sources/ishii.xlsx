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16"/>
  <workbookPr defaultThemeVersion="124226"/>
  <mc:AlternateContent xmlns:mc="http://schemas.openxmlformats.org/markup-compatibility/2006">
    <mc:Choice Requires="x15">
      <x15ac:absPath xmlns:x15ac="http://schemas.microsoft.com/office/spreadsheetml/2010/11/ac" url="/Users/gabbi/Downloads/"/>
    </mc:Choice>
  </mc:AlternateContent>
  <xr:revisionPtr revIDLastSave="0" documentId="8_{B068EB5E-886D-4D9E-BF00-E3928F1B9A59}" xr6:coauthVersionLast="47" xr6:coauthVersionMax="47" xr10:uidLastSave="{00000000-0000-0000-0000-000000000000}"/>
  <bookViews>
    <workbookView xWindow="0" yWindow="660" windowWidth="30240" windowHeight="18980" tabRatio="851" firstSheet="2" activeTab="2" xr2:uid="{00000000-000D-0000-FFFF-FFFF00000000}"/>
  </bookViews>
  <sheets>
    <sheet name="generals" sheetId="1" r:id="rId1"/>
    <sheet name="mRNA" sheetId="2" r:id="rId2"/>
    <sheet name="proteins" sheetId="3" r:id="rId3"/>
    <sheet name="metabolites" sheetId="4" r:id="rId4"/>
    <sheet name="fluxes" sheetId="5" r:id="rId5"/>
    <sheet name="rates" sheetId="7" r:id="rId6"/>
    <sheet name="extracellular" sheetId="8" r:id="rId7"/>
    <sheet name="Ecocyc gene info" sheetId="9" r:id="rId8"/>
    <sheet name="final fluxes" sheetId="10" r:id="rId9"/>
    <sheet name="final exp data" sheetId="15" r:id="rId10"/>
    <sheet name="final mets data" sheetId="17" r:id="rId11"/>
    <sheet name="norm protein data" sheetId="13" r:id="rId12"/>
    <sheet name="norm mRNA data" sheetId="14" r:id="rId13"/>
    <sheet name="partial expression data" sheetId="16" r:id="rId14"/>
    <sheet name="partial mets data" sheetId="18" r:id="rId15"/>
    <sheet name="norm mets data" sheetId="20" r:id="rId16"/>
  </sheets>
  <definedNames>
    <definedName name="table3" localSheetId="1">mRNA!$A$92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7" i="20" l="1"/>
  <c r="Z18" i="16" l="1"/>
  <c r="AA18" i="16"/>
  <c r="AB18" i="16"/>
  <c r="Y18" i="16"/>
  <c r="S18" i="16"/>
  <c r="P18" i="16"/>
  <c r="K18" i="16"/>
  <c r="D18" i="16"/>
  <c r="E18" i="16"/>
  <c r="F18" i="16"/>
  <c r="G18" i="16"/>
  <c r="H18" i="16"/>
  <c r="I18" i="16"/>
  <c r="C18" i="16"/>
  <c r="AA17" i="16"/>
  <c r="O16" i="16"/>
  <c r="D17" i="16"/>
  <c r="E17" i="16"/>
  <c r="F17" i="16"/>
  <c r="G17" i="16"/>
  <c r="H17" i="16"/>
  <c r="I17" i="16"/>
  <c r="J17" i="16"/>
  <c r="K17" i="16"/>
  <c r="L17" i="16"/>
  <c r="M17" i="16"/>
  <c r="N17" i="16"/>
  <c r="O17" i="16"/>
  <c r="P17" i="16"/>
  <c r="Q17" i="16"/>
  <c r="R17" i="16"/>
  <c r="S17" i="16"/>
  <c r="T17" i="16"/>
  <c r="U17" i="16"/>
  <c r="V17" i="16"/>
  <c r="W17" i="16"/>
  <c r="X17" i="16"/>
  <c r="C17" i="16"/>
  <c r="M16" i="16"/>
  <c r="N16" i="16"/>
  <c r="P16" i="16"/>
  <c r="Q16" i="16"/>
  <c r="R16" i="16"/>
  <c r="S16" i="16"/>
  <c r="T16" i="16"/>
  <c r="U16" i="16"/>
  <c r="V16" i="16"/>
  <c r="W16" i="16"/>
  <c r="X16" i="16"/>
  <c r="Y16" i="16"/>
  <c r="Z16" i="16"/>
  <c r="AA16" i="16"/>
  <c r="AB16" i="16"/>
  <c r="L16" i="16"/>
  <c r="D16" i="16"/>
  <c r="E16" i="16"/>
  <c r="F16" i="16"/>
  <c r="G16" i="16"/>
  <c r="H16" i="16"/>
  <c r="I16" i="16"/>
  <c r="C16" i="16"/>
</calcChain>
</file>

<file path=xl/sharedStrings.xml><?xml version="1.0" encoding="utf-8"?>
<sst xmlns="http://schemas.openxmlformats.org/spreadsheetml/2006/main" count="3243" uniqueCount="1149">
  <si>
    <t>Abbreviations</t>
  </si>
  <si>
    <t>Conc</t>
  </si>
  <si>
    <t>Concentration</t>
  </si>
  <si>
    <t>Ave</t>
  </si>
  <si>
    <t>Average</t>
  </si>
  <si>
    <t>SD</t>
  </si>
  <si>
    <t>Standard deviation</t>
  </si>
  <si>
    <t>CV</t>
  </si>
  <si>
    <t>Coefficient of variance (%)</t>
  </si>
  <si>
    <t>Measurements</t>
  </si>
  <si>
    <t>Unit</t>
  </si>
  <si>
    <t>mRNAs</t>
  </si>
  <si>
    <t>copy number/μg-total RNA</t>
  </si>
  <si>
    <t>Proteins</t>
  </si>
  <si>
    <t>mg-protein/g-dry cell weight</t>
  </si>
  <si>
    <t>Metabolites (intracellular)</t>
  </si>
  <si>
    <t>mM</t>
  </si>
  <si>
    <t>Flux</t>
  </si>
  <si>
    <t>%-substrate uptake</t>
  </si>
  <si>
    <t>Specific uptake/product rates</t>
  </si>
  <si>
    <t>mmol/g-dry cell weight/h</t>
  </si>
  <si>
    <t>Metabolites (extracellular)</t>
  </si>
  <si>
    <t>Samples</t>
  </si>
  <si>
    <t>mRNA, Protein</t>
  </si>
  <si>
    <t>Column B-AY</t>
  </si>
  <si>
    <t>Single gene disruptants, cultured at a dilution rate of 0.2 h-1</t>
  </si>
  <si>
    <t>Column BA-BJ</t>
  </si>
  <si>
    <t>Wild type, cultured at various dilution rates</t>
  </si>
  <si>
    <t>Column BL-</t>
  </si>
  <si>
    <t>Control (Wild type, cultured at a dilution rate of 0.2h-1)</t>
  </si>
  <si>
    <t>Other measurements</t>
  </si>
  <si>
    <t>Column B-Z</t>
  </si>
  <si>
    <t>Column AB-AF</t>
  </si>
  <si>
    <t>Column AH-</t>
  </si>
  <si>
    <t>Location of average, SD and CV in reference samples</t>
  </si>
  <si>
    <t>Column CQ, CR, CS</t>
  </si>
  <si>
    <t>Column BY, BZ, CA</t>
  </si>
  <si>
    <t>Metabolites</t>
  </si>
  <si>
    <t>Column AN, AO, AP</t>
  </si>
  <si>
    <t>CVs are calculated using both technical replicates and biological replicates.</t>
  </si>
  <si>
    <t>Remarks</t>
  </si>
  <si>
    <t>&lt;Culture&gt;</t>
  </si>
  <si>
    <t>tpiA (a member of glycolysis pathway) disruptant could not be cultured because of reactor wash out at a dilution rate of 0.2h-1.</t>
  </si>
  <si>
    <t>pfkA disruptant was cultured twice.</t>
  </si>
  <si>
    <t>&lt;mRNA&gt;</t>
  </si>
  <si>
    <t>For series 1, the number of replicates per target was three. For other series, the number of replicates per target was six.</t>
  </si>
  <si>
    <t>&lt;Protein&gt;</t>
  </si>
  <si>
    <t>For each sample, measurements by LC-MS/MS were perfomed twice. The number of peptides (per target protein) used for the calculation of absolute values is indicated below. When n ≥ 2, the average and CV is reported.</t>
  </si>
  <si>
    <t>For GpmG and PfkA, one peptide per protein was measured.</t>
  </si>
  <si>
    <t>For LdhA, Rpe, RpiB, SdhB and Zwf, two peptides per protein were measured.</t>
  </si>
  <si>
    <t>For other proteins, three peptides per protein were measured.</t>
  </si>
  <si>
    <t>The CVs reported in columns C to BH in sheet "Protein" capture the technical variation (sample processing, digestion and quantification) in duplicate sample preparation and independent LC-MS/MS measurements performed in parallel from the same sampling of a single continous culture for each condition (column).</t>
  </si>
  <si>
    <t>Estimates of biological variation can be derived from the results of the reference state (columns BL to BV)</t>
  </si>
  <si>
    <t>&lt;Protein and Metabolite&gt;</t>
  </si>
  <si>
    <t>In the protein and metabolite sheet, blank cells denote "not detected" which means either not detectable or below detection limit when detectable.</t>
  </si>
  <si>
    <t>&lt;Metabolite&gt;</t>
  </si>
  <si>
    <t>In the metabolite sheet, the colors of column A (metabolite names) denote measurement protocols.</t>
  </si>
  <si>
    <t>Method :Anion</t>
  </si>
  <si>
    <t>Method: Cation</t>
  </si>
  <si>
    <t>Method: Nucleotide</t>
  </si>
  <si>
    <t>To calculate metabolite concentrations, the following parameters were used:</t>
  </si>
  <si>
    <t>Cell volume</t>
  </si>
  <si>
    <t>4.96×10-16 (L)</t>
  </si>
  <si>
    <t>Cell dry weight</t>
  </si>
  <si>
    <t>2.8×10-13 (g)</t>
  </si>
  <si>
    <t>Reference:</t>
  </si>
  <si>
    <t>Neidhardt, F. C., Curtiss, R. (1996) "Escherichia coli and Salmonella 2nd Ed." Amer. Society for Microbiology, Washington, D.C</t>
  </si>
  <si>
    <t>&lt;Flux&gt;</t>
  </si>
  <si>
    <t>All fluxes are normalized to specific glucose uptake rate.</t>
  </si>
  <si>
    <t>"-" denotes reaction excluded from model.</t>
  </si>
  <si>
    <t>"Exch" denotes exchange coefficient of corresponding reaction.</t>
  </si>
  <si>
    <t>Abbreviations of metabolites are listed below:</t>
  </si>
  <si>
    <t>Sample ID</t>
  </si>
  <si>
    <t>KO01</t>
  </si>
  <si>
    <t>KO02</t>
  </si>
  <si>
    <t>KO03</t>
  </si>
  <si>
    <t>KO04</t>
  </si>
  <si>
    <t>KO05x</t>
  </si>
  <si>
    <t>KO05</t>
  </si>
  <si>
    <t>KO06</t>
  </si>
  <si>
    <t>KO07</t>
  </si>
  <si>
    <t>KO08</t>
  </si>
  <si>
    <t>KO09</t>
  </si>
  <si>
    <t>KO10</t>
  </si>
  <si>
    <t>KO11</t>
  </si>
  <si>
    <t>KO12</t>
  </si>
  <si>
    <t>KO13</t>
  </si>
  <si>
    <t>KO14</t>
  </si>
  <si>
    <t>KO15</t>
  </si>
  <si>
    <t>KO16</t>
  </si>
  <si>
    <t>KO17</t>
  </si>
  <si>
    <t>KO18</t>
  </si>
  <si>
    <t>KO19</t>
  </si>
  <si>
    <t>KO20</t>
  </si>
  <si>
    <t>KO21</t>
  </si>
  <si>
    <t>KO22</t>
  </si>
  <si>
    <t>KO23</t>
  </si>
  <si>
    <t>KO24</t>
  </si>
  <si>
    <t>GR01</t>
  </si>
  <si>
    <t>GR02</t>
  </si>
  <si>
    <t>GR03</t>
  </si>
  <si>
    <t>GR04</t>
  </si>
  <si>
    <t>GR04x</t>
  </si>
  <si>
    <t>RF02</t>
  </si>
  <si>
    <t>RF01</t>
  </si>
  <si>
    <t>RF03</t>
  </si>
  <si>
    <t>RF04</t>
  </si>
  <si>
    <t>RF05</t>
  </si>
  <si>
    <t>RF07</t>
  </si>
  <si>
    <t>RF08</t>
  </si>
  <si>
    <t>Series ID</t>
  </si>
  <si>
    <t>galM</t>
  </si>
  <si>
    <t>glk</t>
  </si>
  <si>
    <t>pgm</t>
  </si>
  <si>
    <t>pgi</t>
  </si>
  <si>
    <t>pfkA_1</t>
  </si>
  <si>
    <t>pfkA_2</t>
  </si>
  <si>
    <t>pfkB</t>
  </si>
  <si>
    <t>fbp</t>
  </si>
  <si>
    <t>fbaB</t>
  </si>
  <si>
    <t>gapC</t>
  </si>
  <si>
    <t>gpmA</t>
  </si>
  <si>
    <t>gpmB</t>
  </si>
  <si>
    <t>pykA</t>
  </si>
  <si>
    <t>pykF</t>
  </si>
  <si>
    <t>ppsA</t>
  </si>
  <si>
    <t>zwf</t>
  </si>
  <si>
    <t>pgl</t>
  </si>
  <si>
    <t>gnd</t>
  </si>
  <si>
    <t>rpe</t>
  </si>
  <si>
    <t>rpiA</t>
  </si>
  <si>
    <t>rpiB</t>
  </si>
  <si>
    <t>tktA</t>
  </si>
  <si>
    <t>tktB</t>
  </si>
  <si>
    <t>talA</t>
  </si>
  <si>
    <t>talB</t>
  </si>
  <si>
    <t>WT, 0.1h-1</t>
  </si>
  <si>
    <t>WT, 0.4h-1</t>
  </si>
  <si>
    <t>WT, 0.5h-1</t>
  </si>
  <si>
    <t>WT, 0.7h-1</t>
  </si>
  <si>
    <t>WT(Mar)</t>
  </si>
  <si>
    <t>WT(Feb)</t>
  </si>
  <si>
    <t>WT(Jun)</t>
  </si>
  <si>
    <t>WT(Jul)</t>
  </si>
  <si>
    <t>WT(Sep)</t>
  </si>
  <si>
    <t>WT(Dec)</t>
  </si>
  <si>
    <t>WT(May)</t>
  </si>
  <si>
    <t>RFs</t>
  </si>
  <si>
    <t>pfkA</t>
  </si>
  <si>
    <t>fbaA</t>
  </si>
  <si>
    <t>tpiA</t>
  </si>
  <si>
    <t>gapA</t>
  </si>
  <si>
    <t>gapC_2</t>
  </si>
  <si>
    <t>gapC_1</t>
  </si>
  <si>
    <t>pgk</t>
  </si>
  <si>
    <t>eno</t>
  </si>
  <si>
    <t>eda</t>
  </si>
  <si>
    <t>edd</t>
  </si>
  <si>
    <t>talC</t>
  </si>
  <si>
    <t>aceE</t>
  </si>
  <si>
    <t>aceF</t>
  </si>
  <si>
    <t>lpdA</t>
  </si>
  <si>
    <t>pckA</t>
  </si>
  <si>
    <t>ppc</t>
  </si>
  <si>
    <t>maeB</t>
  </si>
  <si>
    <t>sfcA</t>
  </si>
  <si>
    <t>gltA</t>
  </si>
  <si>
    <t>acnA</t>
  </si>
  <si>
    <t>acnB</t>
  </si>
  <si>
    <t>icdA</t>
  </si>
  <si>
    <t>sucA</t>
  </si>
  <si>
    <t>sucB</t>
  </si>
  <si>
    <t>sucC</t>
  </si>
  <si>
    <t>sucD</t>
  </si>
  <si>
    <t>fdrA</t>
  </si>
  <si>
    <t>sdhA</t>
  </si>
  <si>
    <t>sdhB</t>
  </si>
  <si>
    <t>sdhC</t>
  </si>
  <si>
    <t>sdhD</t>
  </si>
  <si>
    <t>frdA</t>
  </si>
  <si>
    <t>frdB</t>
  </si>
  <si>
    <t>frdC</t>
  </si>
  <si>
    <t>frdD</t>
  </si>
  <si>
    <t>fumA</t>
  </si>
  <si>
    <t>fumB</t>
  </si>
  <si>
    <t>fumC</t>
  </si>
  <si>
    <t>mdh</t>
  </si>
  <si>
    <t>aceA</t>
  </si>
  <si>
    <t>aceB</t>
  </si>
  <si>
    <t>glcB</t>
  </si>
  <si>
    <t>acs</t>
  </si>
  <si>
    <t>prpC</t>
  </si>
  <si>
    <t>ldhA</t>
  </si>
  <si>
    <t>dld</t>
  </si>
  <si>
    <t>lldD</t>
  </si>
  <si>
    <t>poxB</t>
  </si>
  <si>
    <t>pflA</t>
  </si>
  <si>
    <t>pflB</t>
  </si>
  <si>
    <t>pflC</t>
  </si>
  <si>
    <t>pflD</t>
  </si>
  <si>
    <t>adhE</t>
  </si>
  <si>
    <t>pta</t>
  </si>
  <si>
    <t>ackA</t>
  </si>
  <si>
    <t>adk</t>
  </si>
  <si>
    <t>udhA</t>
  </si>
  <si>
    <t>pntA</t>
  </si>
  <si>
    <t>pntB</t>
  </si>
  <si>
    <t>ptsH</t>
  </si>
  <si>
    <t>ptsI</t>
  </si>
  <si>
    <t>crr</t>
  </si>
  <si>
    <t>ptsG</t>
  </si>
  <si>
    <t>gpmG</t>
  </si>
  <si>
    <t>RF06</t>
  </si>
  <si>
    <t>1*</t>
  </si>
  <si>
    <t>WT(Oct)</t>
  </si>
  <si>
    <t>Glyoxylate</t>
  </si>
  <si>
    <t>Propionate</t>
  </si>
  <si>
    <t>Glycolate</t>
  </si>
  <si>
    <t>Crotonate</t>
  </si>
  <si>
    <t>Pyruvate</t>
  </si>
  <si>
    <t>Butanoate</t>
  </si>
  <si>
    <t>Oxamate</t>
  </si>
  <si>
    <t>b-Hydroxypropionate</t>
  </si>
  <si>
    <t>Lactate</t>
  </si>
  <si>
    <t>Methanesulfonate</t>
  </si>
  <si>
    <t>Tiglate</t>
  </si>
  <si>
    <t>3-Methylbutanoate</t>
  </si>
  <si>
    <t>Pentanoate</t>
  </si>
  <si>
    <t>Malonate</t>
  </si>
  <si>
    <t>a-Hydroxybutanoate + b-Hydroxybutanoate</t>
  </si>
  <si>
    <t>a-Hydroxybutanoate</t>
  </si>
  <si>
    <t>b-Hydroxybutanoate</t>
  </si>
  <si>
    <t>a-Hydroxyisobutanoate</t>
  </si>
  <si>
    <t>(Methylthio)acetate</t>
  </si>
  <si>
    <t>Glycerate</t>
  </si>
  <si>
    <t>Pyrrole-2-carboxylate</t>
  </si>
  <si>
    <t>Methyl sulfate</t>
  </si>
  <si>
    <t>2-Furoate</t>
  </si>
  <si>
    <t>3-Acetylacrylate</t>
  </si>
  <si>
    <t>Fumarate</t>
  </si>
  <si>
    <t>4-Oxopentanoate</t>
  </si>
  <si>
    <t>2-Oxopentanoate</t>
  </si>
  <si>
    <t>Hexanoate</t>
  </si>
  <si>
    <t>Succinate</t>
  </si>
  <si>
    <t>2-Hydroxypentanoate</t>
  </si>
  <si>
    <t>Benzoate</t>
  </si>
  <si>
    <t>Nicotinate</t>
  </si>
  <si>
    <t>1-Aminoethylphosphonate</t>
  </si>
  <si>
    <t>2-Aminoethylphosphonate</t>
  </si>
  <si>
    <t>Isethionate</t>
  </si>
  <si>
    <t>Cyclohexanecarboxylate</t>
  </si>
  <si>
    <t>Itaconate</t>
  </si>
  <si>
    <t>Citraconate</t>
  </si>
  <si>
    <t>4-Oxohexanoate</t>
  </si>
  <si>
    <t>4-Methyl-2-oxopentanoate</t>
  </si>
  <si>
    <t>4-Acetylbutanoate</t>
  </si>
  <si>
    <t>Heptanoate</t>
  </si>
  <si>
    <t>N-Acetyl-b-alanine</t>
  </si>
  <si>
    <t>Glutarate</t>
  </si>
  <si>
    <t>3-Ureido propionate</t>
  </si>
  <si>
    <t>2-Hydroxy-4-methylpentanoate</t>
  </si>
  <si>
    <t>6-Hydroxyhexanoate</t>
  </si>
  <si>
    <t>Aspartate</t>
  </si>
  <si>
    <t>Malate</t>
  </si>
  <si>
    <t>Threonate</t>
  </si>
  <si>
    <t>p-Hydroxybenzoate + m-Hydroxybenzoate</t>
  </si>
  <si>
    <t>p-hydroxybenzoate</t>
  </si>
  <si>
    <t>m-hydroxybenzoate</t>
  </si>
  <si>
    <t>o-Hydroxybenzoate</t>
  </si>
  <si>
    <t>Phosphonoacetate</t>
  </si>
  <si>
    <t>Ethanolamine phosphate</t>
  </si>
  <si>
    <t>2-Thiopheneacetate</t>
  </si>
  <si>
    <t>cis,cis-Muconate</t>
  </si>
  <si>
    <t>Octanoate</t>
  </si>
  <si>
    <t>2-Oxoglutarate</t>
  </si>
  <si>
    <t>Adipate</t>
  </si>
  <si>
    <t>Glutamate</t>
  </si>
  <si>
    <t>4-Methylthio-2-oxobutanoate</t>
  </si>
  <si>
    <t>Citramalate</t>
  </si>
  <si>
    <t>trans-Cinnamate</t>
  </si>
  <si>
    <t>Tartarate</t>
  </si>
  <si>
    <t>2-Carboxybenzaldehyde</t>
  </si>
  <si>
    <t>Benzoylformate</t>
  </si>
  <si>
    <t>3-Phenylpropionate</t>
  </si>
  <si>
    <t>N-Methylanthranilate</t>
  </si>
  <si>
    <t>p-Hydroxyphenylacetate</t>
  </si>
  <si>
    <t>Mandelate</t>
  </si>
  <si>
    <t>Cysteine sulfinate</t>
  </si>
  <si>
    <t>2,5-Dihydroxybenzoate</t>
  </si>
  <si>
    <t>2,4-Dihydroxypyrimidine-5-carboxylate</t>
  </si>
  <si>
    <t>Dihydroorotate</t>
  </si>
  <si>
    <t>2-Oxooctanoate</t>
  </si>
  <si>
    <t>Nonanoate</t>
  </si>
  <si>
    <t>2-Oxoadipate</t>
  </si>
  <si>
    <t>Pimelate</t>
  </si>
  <si>
    <t>8-Hydroxyoctanoate</t>
  </si>
  <si>
    <t>2-Hydroxyoctanoate</t>
  </si>
  <si>
    <t>N-Formylaspartate</t>
  </si>
  <si>
    <t>3-Hydroxy-3-methylglutarate</t>
  </si>
  <si>
    <t>p-Coumarate</t>
  </si>
  <si>
    <t>Cumate</t>
  </si>
  <si>
    <t>Phthalate</t>
  </si>
  <si>
    <t>Terephthalate</t>
  </si>
  <si>
    <t>3-Phenyllactate</t>
  </si>
  <si>
    <t>3-(2-Hydroxyphenyl)propionate</t>
  </si>
  <si>
    <t>Phloretate</t>
  </si>
  <si>
    <t>Phosphoenolpyruvate</t>
  </si>
  <si>
    <t>4-Hydroxymandelate</t>
  </si>
  <si>
    <t>4-Hydroxy-3-methoxybenzoate</t>
  </si>
  <si>
    <t>Cysteate</t>
  </si>
  <si>
    <t>2-Amino-3-phosphonopropionate</t>
  </si>
  <si>
    <t>Dihydroxyacetone phosphate</t>
  </si>
  <si>
    <t>Glycerophosphorate</t>
  </si>
  <si>
    <t>Decanoate</t>
  </si>
  <si>
    <t>Sulfanilate</t>
  </si>
  <si>
    <t>2-Quinolinecarboxylate</t>
  </si>
  <si>
    <t>N-Acetylleucine</t>
  </si>
  <si>
    <t>Phenyl phosphate</t>
  </si>
  <si>
    <t>cis-Aconitate</t>
  </si>
  <si>
    <t>trans-Aconitate</t>
  </si>
  <si>
    <t>Shikimate</t>
  </si>
  <si>
    <t>N-Acetylaspartate</t>
  </si>
  <si>
    <t>Carbamoylaspartate</t>
  </si>
  <si>
    <t>Allantoate</t>
  </si>
  <si>
    <t>2-Isopropylmalate</t>
  </si>
  <si>
    <t>N-Formylmethionine</t>
  </si>
  <si>
    <t>S-Carboxymethylcysteine</t>
  </si>
  <si>
    <t>Hippurate</t>
  </si>
  <si>
    <t>p-Hydroxyphenylpyruvate</t>
  </si>
  <si>
    <t>Homovanillate</t>
  </si>
  <si>
    <t>4-Pyridoxate</t>
  </si>
  <si>
    <t>Chelidonate</t>
  </si>
  <si>
    <t>Serine O-sulfate</t>
  </si>
  <si>
    <t>O-Phosphoserine</t>
  </si>
  <si>
    <t>3-Phosphoglycerate</t>
  </si>
  <si>
    <t>Undecanoate</t>
  </si>
  <si>
    <t>Azelaate</t>
  </si>
  <si>
    <t>10-Hydroxydecanoate</t>
  </si>
  <si>
    <t>N-Acetylglutamate</t>
  </si>
  <si>
    <t>N-Carbamylglutamate</t>
  </si>
  <si>
    <t>N-Acetylmethionine</t>
  </si>
  <si>
    <t>Isocitrate + Citrate</t>
  </si>
  <si>
    <t>Isocitrate</t>
  </si>
  <si>
    <t>Citrate</t>
  </si>
  <si>
    <t>Quinate</t>
  </si>
  <si>
    <t>Phenaceturate</t>
  </si>
  <si>
    <t>Galacturonate</t>
  </si>
  <si>
    <t>Glucuronate</t>
  </si>
  <si>
    <t>trans-4-Hydroxy-3-methoxycinnamate</t>
  </si>
  <si>
    <t>o-Hydroxyhippurate</t>
  </si>
  <si>
    <t>Gluconate</t>
  </si>
  <si>
    <t>Syringate</t>
  </si>
  <si>
    <t>4-Hydroxy-3-methoxymandelate</t>
  </si>
  <si>
    <t>Erythrose 4-phosphate</t>
  </si>
  <si>
    <t>Dodecanoate</t>
  </si>
  <si>
    <t>Cysteine S-sulfate</t>
  </si>
  <si>
    <t>4-Sulfobenzoate</t>
  </si>
  <si>
    <t>Sebacate</t>
  </si>
  <si>
    <t>3-Indolebutanoate</t>
  </si>
  <si>
    <t>Xanthurenate</t>
  </si>
  <si>
    <t>Etidronate</t>
  </si>
  <si>
    <t>6,8-Thioctate</t>
  </si>
  <si>
    <t>N-Acetylphenylalanine</t>
  </si>
  <si>
    <t>Benzylsuccinate</t>
  </si>
  <si>
    <t>N-Benzyloxycarbonylglycine</t>
  </si>
  <si>
    <t>Saccharate</t>
  </si>
  <si>
    <t>Mucate</t>
  </si>
  <si>
    <t>3-Indoxyl sulfate</t>
  </si>
  <si>
    <t>2-Deoxyribose 1-phosphate</t>
  </si>
  <si>
    <t>4-Nitrophenyl phosphate</t>
  </si>
  <si>
    <t>Pantothenate</t>
  </si>
  <si>
    <t>Sinapate</t>
  </si>
  <si>
    <t>Porphobilinogen</t>
  </si>
  <si>
    <t>3,5-Dinitrosalicylate</t>
  </si>
  <si>
    <t>Ribulose 5-phosphate</t>
  </si>
  <si>
    <t>Ribose 5-phosphate</t>
  </si>
  <si>
    <t>Dodecanedioate</t>
  </si>
  <si>
    <t>N-a-t-boc-asparagine</t>
  </si>
  <si>
    <t>2-Deoxyglucose 6-phosphate</t>
  </si>
  <si>
    <t>Biotin</t>
  </si>
  <si>
    <t>Pyridoxal 5-phosphate</t>
  </si>
  <si>
    <t>Glucosamine 6-phosphate</t>
  </si>
  <si>
    <t>Glucose 1-phosphate</t>
  </si>
  <si>
    <t>Fructose 6-phosphate</t>
  </si>
  <si>
    <t>Glucose 6-phosphate</t>
  </si>
  <si>
    <t>Sorbitol 6-phosphate</t>
  </si>
  <si>
    <t>2,3-Diphosphoglycerate</t>
  </si>
  <si>
    <t>Galacturonate 1-phosphate</t>
  </si>
  <si>
    <t>6-Phosphogluconate</t>
  </si>
  <si>
    <t>Sedoheptulose-7-phosphate</t>
  </si>
  <si>
    <t>Argininosuccinate</t>
  </si>
  <si>
    <t>N-Acetyl muramate</t>
  </si>
  <si>
    <t>8-Anilino-1-naphthalene sulfonate</t>
  </si>
  <si>
    <t>N-Acetylgalactosamine 6-sulfate</t>
  </si>
  <si>
    <t>N-Acetylglucosamine 6-phosphate</t>
  </si>
  <si>
    <t>N-Acetylglucosamine 1-phosphate</t>
  </si>
  <si>
    <t>N-Acetylneuraminate</t>
  </si>
  <si>
    <t>Ribulose 1,5-diphosphate</t>
  </si>
  <si>
    <t>N-Glycolylneuraminate</t>
  </si>
  <si>
    <t>Fructose 1,6-diphosphate</t>
  </si>
  <si>
    <t>Bis(p-nitrophenyl)phosphate</t>
  </si>
  <si>
    <t>Gibberellate</t>
  </si>
  <si>
    <t>ProstaglandinE2</t>
  </si>
  <si>
    <t>ProstaglandinF2a</t>
  </si>
  <si>
    <t>Orotidine 5'-monophosphate</t>
  </si>
  <si>
    <t>Digalacturonate</t>
  </si>
  <si>
    <t>5-Phosphorylribose 1-pyrophosphate</t>
  </si>
  <si>
    <t>Cholate</t>
  </si>
  <si>
    <t>Trehalose 6-phosphate</t>
  </si>
  <si>
    <t>Folate</t>
  </si>
  <si>
    <t>Adenylosuccinate</t>
  </si>
  <si>
    <t>Glycocholate</t>
  </si>
  <si>
    <t>Glycyrrhetinate</t>
  </si>
  <si>
    <t>Taurolithocholate</t>
  </si>
  <si>
    <t>Taurodeoxycholate + Taurochenodeoxycholate</t>
  </si>
  <si>
    <t>Taurodeoxycholate</t>
  </si>
  <si>
    <t>Taurochenodeoxycholate</t>
  </si>
  <si>
    <t>Taurocholate</t>
  </si>
  <si>
    <t>Phosphoramidon</t>
  </si>
  <si>
    <t>3-Aminopropionitrile</t>
  </si>
  <si>
    <t>Methylguanidine</t>
  </si>
  <si>
    <t>Isobutylamine</t>
  </si>
  <si>
    <t>1,3-Diaminopropane</t>
  </si>
  <si>
    <t>Gly</t>
  </si>
  <si>
    <t>Acetohydroxamate</t>
  </si>
  <si>
    <t>Isopropanolamine</t>
  </si>
  <si>
    <t>Trimethylamine N-oxide</t>
  </si>
  <si>
    <t>Hydroxyurea</t>
  </si>
  <si>
    <t>Trimethylsulfonium</t>
  </si>
  <si>
    <t>Cysteamine</t>
  </si>
  <si>
    <t>Pyridine</t>
  </si>
  <si>
    <t>Pyrimidine</t>
  </si>
  <si>
    <t>4-Methylpyrazole</t>
  </si>
  <si>
    <t>3-Amino-1,2,4-triazole</t>
  </si>
  <si>
    <t>Piperidine</t>
  </si>
  <si>
    <t>Piperazine</t>
  </si>
  <si>
    <t>Isoamylamine</t>
  </si>
  <si>
    <t>1,4-Butanediamine</t>
  </si>
  <si>
    <t>Ala</t>
  </si>
  <si>
    <t>Sarcosine</t>
  </si>
  <si>
    <t>beta-Ala</t>
  </si>
  <si>
    <t>3-Amino-1,2-propanediol</t>
  </si>
  <si>
    <t>Aniline</t>
  </si>
  <si>
    <t>2-Hydroxypyridine</t>
  </si>
  <si>
    <t>4-Hydroxymethylimidazole</t>
  </si>
  <si>
    <t>Succinimide</t>
  </si>
  <si>
    <t>1-Methyl-2-pyrrolidone</t>
  </si>
  <si>
    <t>Azetidine-2-carboxylate</t>
  </si>
  <si>
    <t>1-Aminocyclopropane-1-carboxylate</t>
  </si>
  <si>
    <t>Acetoacetamide</t>
  </si>
  <si>
    <t>Betaine aldehyde</t>
  </si>
  <si>
    <t>Hexylamine</t>
  </si>
  <si>
    <t>1,5-Diaminopentane</t>
  </si>
  <si>
    <t>GABA</t>
  </si>
  <si>
    <t>alpha-Aminoisobutyrate</t>
  </si>
  <si>
    <t>N-Methylalanine</t>
  </si>
  <si>
    <t>N,N-Dimethylglycine</t>
  </si>
  <si>
    <t>2-Cyanopyridine</t>
  </si>
  <si>
    <t>2,3-Diaminopropionate</t>
  </si>
  <si>
    <t>Ser</t>
  </si>
  <si>
    <t>Diethanolamine</t>
  </si>
  <si>
    <t>2-Amino-2-methyl-1,3-propanediol</t>
  </si>
  <si>
    <t>N-Methylaniline</t>
  </si>
  <si>
    <t>Phenylhydrazine</t>
  </si>
  <si>
    <t>Hypotaurine</t>
  </si>
  <si>
    <t>2-Aminophenol</t>
  </si>
  <si>
    <t>Cytosine</t>
  </si>
  <si>
    <t>Histamine</t>
  </si>
  <si>
    <t>Uracil</t>
  </si>
  <si>
    <t>Creatinine</t>
  </si>
  <si>
    <t>2-Mercapto-1-methylimidazole</t>
  </si>
  <si>
    <t>beta-Cyanoalanine</t>
  </si>
  <si>
    <t>Muscimol</t>
  </si>
  <si>
    <t>Dihydrouracil</t>
  </si>
  <si>
    <t>Pro</t>
  </si>
  <si>
    <t>Guanidoacetate</t>
  </si>
  <si>
    <t>5-Aminopentanoate</t>
  </si>
  <si>
    <t>Betaine</t>
  </si>
  <si>
    <t>Val</t>
  </si>
  <si>
    <t>Benzimidazole</t>
  </si>
  <si>
    <t>2,4-Diaminobutyrate</t>
  </si>
  <si>
    <t>4-Amino-3-hydroxybutyrate</t>
  </si>
  <si>
    <t>Homoserine</t>
  </si>
  <si>
    <t>alpha-Methylserine</t>
  </si>
  <si>
    <t>Thr</t>
  </si>
  <si>
    <t>Purine</t>
  </si>
  <si>
    <t>Benzamidine</t>
  </si>
  <si>
    <t>Cys</t>
  </si>
  <si>
    <t>Benzamide</t>
  </si>
  <si>
    <t>2-Amino-2-(hydroxymethyl)-1,3-propanediol</t>
  </si>
  <si>
    <t>N,N-Dimethylaniline+Phenethylamine</t>
  </si>
  <si>
    <t>Phenethylamine</t>
  </si>
  <si>
    <t>N,N-Dimethylaniline</t>
  </si>
  <si>
    <t>alpha-Methylbenzylamine</t>
  </si>
  <si>
    <t>2,6-Dimethylaniline</t>
  </si>
  <si>
    <t>2,4-Dimethylaniline</t>
  </si>
  <si>
    <t>Picolinamide</t>
  </si>
  <si>
    <t>Isonicotinamide</t>
  </si>
  <si>
    <t>Nicotinamide</t>
  </si>
  <si>
    <t>3-Chloroalanine</t>
  </si>
  <si>
    <t>Taurine</t>
  </si>
  <si>
    <t>5-Methylcytosine</t>
  </si>
  <si>
    <t>1-Metylhistamine</t>
  </si>
  <si>
    <t>Imidazole-4-acetate</t>
  </si>
  <si>
    <t>Melamine</t>
  </si>
  <si>
    <t>Barbiturate</t>
  </si>
  <si>
    <t>5-Oxoproline</t>
  </si>
  <si>
    <t>Isoquinoline</t>
  </si>
  <si>
    <t>Quinoline</t>
  </si>
  <si>
    <t>1-Amino-1-cyclopentanecarboxylate</t>
  </si>
  <si>
    <t>Pipecolate</t>
  </si>
  <si>
    <t>Metformin</t>
  </si>
  <si>
    <t>Octylamine</t>
  </si>
  <si>
    <t>N-Acetylputrescine</t>
  </si>
  <si>
    <t>Agmatine</t>
  </si>
  <si>
    <t>Hydroxyproline</t>
  </si>
  <si>
    <t>5-Aminolevulinate</t>
  </si>
  <si>
    <t>beta-Guanidinopropionate</t>
  </si>
  <si>
    <t>Creatine</t>
  </si>
  <si>
    <t>Ile+Leu</t>
  </si>
  <si>
    <t>Ile</t>
  </si>
  <si>
    <t>Leu</t>
  </si>
  <si>
    <t>6-Aminohexanoate</t>
  </si>
  <si>
    <t>Bis(3-aminopropyl)amine</t>
  </si>
  <si>
    <t>Asn</t>
  </si>
  <si>
    <t>Gly-Gly</t>
  </si>
  <si>
    <t>4-Aminoindole+5-Aminoindole</t>
  </si>
  <si>
    <t>5-Aminoindole</t>
  </si>
  <si>
    <t>4-Aminoindole</t>
  </si>
  <si>
    <t>Ornithine</t>
  </si>
  <si>
    <t>Asp</t>
  </si>
  <si>
    <t>4-Hydroxyindole</t>
  </si>
  <si>
    <t>2-Aminobenzimidazole</t>
  </si>
  <si>
    <t>Homocysteine</t>
  </si>
  <si>
    <t>Adenine</t>
  </si>
  <si>
    <t>Acetanilide</t>
  </si>
  <si>
    <t>Hypoxanthine</t>
  </si>
  <si>
    <t>1-Methylnicotinamide</t>
  </si>
  <si>
    <t>Anthranilate</t>
  </si>
  <si>
    <t>p-Aminobenzoate</t>
  </si>
  <si>
    <t>Isonicotinate hydrazide</t>
  </si>
  <si>
    <t>Tyramine</t>
  </si>
  <si>
    <t>beta-Hydroxyphenethylamine</t>
  </si>
  <si>
    <t>Urocanate</t>
  </si>
  <si>
    <t>6-Hydroxynicotinate</t>
  </si>
  <si>
    <t>Hexamethylene tetramine</t>
  </si>
  <si>
    <t>Histidinol</t>
  </si>
  <si>
    <t>Ectoine</t>
  </si>
  <si>
    <t>4-Methyl-5-thiazoleethanol</t>
  </si>
  <si>
    <t>gamma-Guanidinobutyrate</t>
  </si>
  <si>
    <t>Acetylcholine</t>
  </si>
  <si>
    <t>Spermidine</t>
  </si>
  <si>
    <t>Gln</t>
  </si>
  <si>
    <t>5,6-Dimethylbenzimidazol</t>
  </si>
  <si>
    <t>Lys</t>
  </si>
  <si>
    <t>Carbachol</t>
  </si>
  <si>
    <t>Trientine</t>
  </si>
  <si>
    <t>Isatin</t>
  </si>
  <si>
    <t>Glu+Albizziine</t>
  </si>
  <si>
    <t>Albizziine</t>
  </si>
  <si>
    <t>O-Acetylserine</t>
  </si>
  <si>
    <t>Nornicotine</t>
  </si>
  <si>
    <t>threo-beta-Hydroxyaspartate</t>
  </si>
  <si>
    <t>Met</t>
  </si>
  <si>
    <t>3-Methyladenine</t>
  </si>
  <si>
    <t>1-Methyladenine</t>
  </si>
  <si>
    <t>6-Methylaminopurine</t>
  </si>
  <si>
    <t>Triethanolamine</t>
  </si>
  <si>
    <t>2,6-Diethylaniline</t>
  </si>
  <si>
    <t>Guanine</t>
  </si>
  <si>
    <t>1-Adamantanamine</t>
  </si>
  <si>
    <t>Mesalamine</t>
  </si>
  <si>
    <t>3-Hydroxyanthranilate</t>
  </si>
  <si>
    <t>Dopamine</t>
  </si>
  <si>
    <t>Nomega-Acetylhistamine</t>
  </si>
  <si>
    <t>Pseudopelletierine</t>
  </si>
  <si>
    <t>His</t>
  </si>
  <si>
    <t>beta-Imidazolelactate</t>
  </si>
  <si>
    <t>3-Indoleacetonitrile</t>
  </si>
  <si>
    <t>Ibotenate</t>
  </si>
  <si>
    <t>Allantoin</t>
  </si>
  <si>
    <t>Indole-3-acetaldehyde</t>
  </si>
  <si>
    <t>N-Methyl-N-propagylbenzylamine</t>
  </si>
  <si>
    <t>Ala-Ala</t>
  </si>
  <si>
    <t>Tolazoline</t>
  </si>
  <si>
    <t>Tryptamine</t>
  </si>
  <si>
    <t>alpha-Aminoadipate</t>
  </si>
  <si>
    <t>N-Methylglutamate</t>
  </si>
  <si>
    <t>Indole-3-ethanol</t>
  </si>
  <si>
    <t>Carnitine</t>
  </si>
  <si>
    <t>2-Deoxystreptamine</t>
  </si>
  <si>
    <t>5-Hydroxylysine</t>
  </si>
  <si>
    <t>Nicotine</t>
  </si>
  <si>
    <t>Pterin</t>
  </si>
  <si>
    <t>Lumazine</t>
  </si>
  <si>
    <t>7-Methylguanine</t>
  </si>
  <si>
    <t>3-Methylguanine</t>
  </si>
  <si>
    <t>Phe</t>
  </si>
  <si>
    <t>Pyridoxal</t>
  </si>
  <si>
    <t>Synephrine</t>
  </si>
  <si>
    <t>Pyridoxamine</t>
  </si>
  <si>
    <t>Pyridoxine</t>
  </si>
  <si>
    <t>Noradrenaline</t>
  </si>
  <si>
    <t>3-Methylhistidine</t>
  </si>
  <si>
    <t>Diphenylamine</t>
  </si>
  <si>
    <t>Deisopropylatrazine</t>
  </si>
  <si>
    <t>1-Methyl-4-phenyl-1,2,3,6-tetrahydropyridine</t>
  </si>
  <si>
    <t>Indole-3-acetamide</t>
  </si>
  <si>
    <t>N-Acetylornithine</t>
  </si>
  <si>
    <t>N-Ethylglutamine</t>
  </si>
  <si>
    <t>Arg</t>
  </si>
  <si>
    <t>Nomega-Methyltryptamine</t>
  </si>
  <si>
    <t>Gramine</t>
  </si>
  <si>
    <t>Indole-3-acetate</t>
  </si>
  <si>
    <t>Guanidinosuccinate</t>
  </si>
  <si>
    <t>2-Guanidinobenzimidazole</t>
  </si>
  <si>
    <t>Citrulline</t>
  </si>
  <si>
    <t>Canavanine</t>
  </si>
  <si>
    <t>Serotonin</t>
  </si>
  <si>
    <t>Alliin</t>
  </si>
  <si>
    <t>Cys-Gly</t>
  </si>
  <si>
    <t>Xanthopterin</t>
  </si>
  <si>
    <t>Mannosamine</t>
  </si>
  <si>
    <t>Glucosamine</t>
  </si>
  <si>
    <t>Fsarate</t>
  </si>
  <si>
    <t>Methionine sulfoximine</t>
  </si>
  <si>
    <t>o-Phenanthroline</t>
  </si>
  <si>
    <t>3-Amino-3-(4-hydroxyphenyl)propionate</t>
  </si>
  <si>
    <t>Tyr</t>
  </si>
  <si>
    <t>Harman</t>
  </si>
  <si>
    <t>Eflornithine</t>
  </si>
  <si>
    <t>Epinephrine</t>
  </si>
  <si>
    <t>Nalpha,Nalpha-Dimethylhistidine</t>
  </si>
  <si>
    <t>Phosphorylcholine</t>
  </si>
  <si>
    <t>Desethylatrazine</t>
  </si>
  <si>
    <t>N8-Acetylspermidine</t>
  </si>
  <si>
    <t>Gly-Leu</t>
  </si>
  <si>
    <t>Nepsilon-Acetyllysine</t>
  </si>
  <si>
    <t>Homoarginine</t>
  </si>
  <si>
    <t>Quisqualate</t>
  </si>
  <si>
    <t>Castanospermine</t>
  </si>
  <si>
    <t>5-Methoxytryptamine+2,6-Diaminoheptanedioate</t>
  </si>
  <si>
    <t>2,6-Diaminoheptanedioate</t>
  </si>
  <si>
    <t>5-Methoxytryptamine</t>
  </si>
  <si>
    <t>5-Hydroxy-3-indoleaceacetate</t>
  </si>
  <si>
    <t>Diethyl-2-phenylacetamide</t>
  </si>
  <si>
    <t>Glucosaminate</t>
  </si>
  <si>
    <t>Tyrosine methyl ester</t>
  </si>
  <si>
    <t>DOPA</t>
  </si>
  <si>
    <t>N-Acetylhistidine</t>
  </si>
  <si>
    <t>Hydroxyatrazine</t>
  </si>
  <si>
    <t>9-Amino-1,2,3,4-tetrahydroacridine</t>
  </si>
  <si>
    <t>Arginine ethyl ester</t>
  </si>
  <si>
    <t>Spermine</t>
  </si>
  <si>
    <t>Tryptophanamide+O-Acetylcarnitine</t>
  </si>
  <si>
    <t>O-Acetylcarnitine</t>
  </si>
  <si>
    <t>Tryptophanamide</t>
  </si>
  <si>
    <t>Trp</t>
  </si>
  <si>
    <t>5-Methoxy-3-indoleacetate</t>
  </si>
  <si>
    <t>Kynurenine</t>
  </si>
  <si>
    <t>Phosphocreatine</t>
  </si>
  <si>
    <t>Desthiobiotin</t>
  </si>
  <si>
    <t>6-Aminopenicillanate</t>
  </si>
  <si>
    <t>beta-Ala-Lys</t>
  </si>
  <si>
    <t>5-Methoxy-N,N-dimethyltryptamine</t>
  </si>
  <si>
    <t>O-Succinylhomoserine</t>
  </si>
  <si>
    <t>trans-Zeatin</t>
  </si>
  <si>
    <t>5-Hydroxytryptophan</t>
  </si>
  <si>
    <t>2-Acetamido-1-amino-1,2-dideoxyglucopyranose</t>
  </si>
  <si>
    <t>N-Acetylglucosamine</t>
  </si>
  <si>
    <t>Dihydrozeatine</t>
  </si>
  <si>
    <t>Cystathionine</t>
  </si>
  <si>
    <t>3-Hydroxykynurenine</t>
  </si>
  <si>
    <t>Carnosine</t>
  </si>
  <si>
    <t>2'-Deoxycytidine</t>
  </si>
  <si>
    <t>2'-Deoxyuridine</t>
  </si>
  <si>
    <t>Melatonin</t>
  </si>
  <si>
    <t>Keramine</t>
  </si>
  <si>
    <t>Sepiapterin</t>
  </si>
  <si>
    <t>7,8-Dihydrobiopterin</t>
  </si>
  <si>
    <t>Anserine+Homocarnosine</t>
  </si>
  <si>
    <t>Homocarnosine</t>
  </si>
  <si>
    <t>Anserine</t>
  </si>
  <si>
    <t>5-Methyl-2'-deoxycytidine</t>
  </si>
  <si>
    <t>Thymidine+1,5-Diphenylcarbohydrazide</t>
  </si>
  <si>
    <t>1,5-Diphenylcarbohydrazide</t>
  </si>
  <si>
    <t>Thymidine</t>
  </si>
  <si>
    <t>Cytidine</t>
  </si>
  <si>
    <t>Uridine</t>
  </si>
  <si>
    <t>N1-Acetylspermine</t>
  </si>
  <si>
    <t>Octopine</t>
  </si>
  <si>
    <t>Pyridoxamine 5'-phosphate</t>
  </si>
  <si>
    <t>4-Aminophenylsulfone</t>
  </si>
  <si>
    <t>Muramate</t>
  </si>
  <si>
    <t>2'-Deoxyadenosine+5'-Deoxyadenosine</t>
  </si>
  <si>
    <t>5'-Deoxyadenosine</t>
  </si>
  <si>
    <t>2'-Deoxyadenosine</t>
  </si>
  <si>
    <t>Purine riboside</t>
  </si>
  <si>
    <t>Phosphoarginine</t>
  </si>
  <si>
    <t>7,8-Dihydroneopterin</t>
  </si>
  <si>
    <t>Glycerophosphorylcholine</t>
  </si>
  <si>
    <t>Thiamine</t>
  </si>
  <si>
    <t>N6-Methyl-2'-deoxyadenosine</t>
  </si>
  <si>
    <t>4,4'-Methylene bis(o-chloroaniline)</t>
  </si>
  <si>
    <t>2'-Deoxyguanosine</t>
  </si>
  <si>
    <t>Adenosine</t>
  </si>
  <si>
    <t>Homocystine</t>
  </si>
  <si>
    <t>Inosine</t>
  </si>
  <si>
    <t>Glu-Glu</t>
  </si>
  <si>
    <t>1-Methyladenosine</t>
  </si>
  <si>
    <t>Guanosine</t>
  </si>
  <si>
    <t>Xanthosine</t>
  </si>
  <si>
    <t>5'-Deoxy-5'-Methylthioadenosine</t>
  </si>
  <si>
    <t>Scopolamine</t>
  </si>
  <si>
    <t>Z-Gly-Pro</t>
  </si>
  <si>
    <t>Nalpha-Benzenolarginine ethylester</t>
  </si>
  <si>
    <t>3-Iodotyrosine</t>
  </si>
  <si>
    <t>Glutathione</t>
  </si>
  <si>
    <t>Neamine</t>
  </si>
  <si>
    <t>Benzyl viologen</t>
  </si>
  <si>
    <t>5-Aminoimidazole-4-carboxamide-1-ribofuranosyl 5'-monophosphate</t>
  </si>
  <si>
    <t>Thiamine monophosphate</t>
  </si>
  <si>
    <t>Riboflavin</t>
  </si>
  <si>
    <t>S-Lactoylglutathione</t>
  </si>
  <si>
    <t>S-Adenosylhomocysteine</t>
  </si>
  <si>
    <t>S-Adenosylmethionine</t>
  </si>
  <si>
    <t>Leu-Leu-Tyr</t>
  </si>
  <si>
    <t>Leupeptin hemisulfate</t>
  </si>
  <si>
    <t>3,5-Diiodo-tyrosine</t>
  </si>
  <si>
    <t>5-Methyltetrahydrofolate</t>
  </si>
  <si>
    <t>Psychosine</t>
  </si>
  <si>
    <t>Oxidized glutathione</t>
  </si>
  <si>
    <t>3,3',5-Triiodothyronine</t>
  </si>
  <si>
    <t>iso-Citrate</t>
  </si>
  <si>
    <t>Divalent ion from UDP-glucuronate</t>
  </si>
  <si>
    <t>Divalent ion from ppGpp</t>
  </si>
  <si>
    <t>Divalent ion from UDP-N-acetylglucosamine</t>
  </si>
  <si>
    <t>cTMP</t>
  </si>
  <si>
    <t>cCMP</t>
  </si>
  <si>
    <t>dCMP</t>
  </si>
  <si>
    <t>TMP</t>
  </si>
  <si>
    <t>CMP+CMP-N-acetylneuramate</t>
  </si>
  <si>
    <t>CMP</t>
  </si>
  <si>
    <t>UMP</t>
  </si>
  <si>
    <t>cAMP</t>
  </si>
  <si>
    <t>dAMP</t>
  </si>
  <si>
    <t>cGMP</t>
  </si>
  <si>
    <t>AMP</t>
  </si>
  <si>
    <t>IMP</t>
  </si>
  <si>
    <t>GMP</t>
  </si>
  <si>
    <t>XMP</t>
  </si>
  <si>
    <t>Divalent ion from NADPH</t>
  </si>
  <si>
    <t>Divalent ion from CoA</t>
  </si>
  <si>
    <t>dCDP</t>
  </si>
  <si>
    <t>TDP</t>
  </si>
  <si>
    <t>CDP</t>
  </si>
  <si>
    <t>UDP</t>
  </si>
  <si>
    <t>Divalent ion from Acetyl CoA</t>
  </si>
  <si>
    <t>?Malonyl CoA</t>
  </si>
  <si>
    <t>dADP</t>
  </si>
  <si>
    <t>Divalent ion from n-Propionyl CoA</t>
  </si>
  <si>
    <t>Divalent ion from D111*</t>
  </si>
  <si>
    <t>Divalent ion from Isobutyryl CoA</t>
  </si>
  <si>
    <t>ADP</t>
  </si>
  <si>
    <t>Divalent ion from Malonyl CoA</t>
  </si>
  <si>
    <t>IDP</t>
  </si>
  <si>
    <t>Divalent ion from succinyl CoA</t>
  </si>
  <si>
    <t>GDP</t>
  </si>
  <si>
    <t>FMN</t>
  </si>
  <si>
    <t>dCTP</t>
  </si>
  <si>
    <t>Divalent ion from Lauroyl CoA</t>
  </si>
  <si>
    <t>TTP</t>
  </si>
  <si>
    <t>CTP</t>
  </si>
  <si>
    <t>UTP</t>
  </si>
  <si>
    <t>dATP</t>
  </si>
  <si>
    <t>ATP</t>
  </si>
  <si>
    <t>ITP</t>
  </si>
  <si>
    <t>GTP</t>
  </si>
  <si>
    <t>ADP-ribose</t>
  </si>
  <si>
    <t>UDP-glucose</t>
  </si>
  <si>
    <t>UDP-glucuronate</t>
  </si>
  <si>
    <t>ADP-glucose</t>
  </si>
  <si>
    <t>ppGpp</t>
  </si>
  <si>
    <t>UDP-N-acetylglucosamine</t>
  </si>
  <si>
    <t>CMP-N-acetylneuramate</t>
  </si>
  <si>
    <t>NAD</t>
  </si>
  <si>
    <t>Nicotinamide hypoxanthine dinucleotide</t>
  </si>
  <si>
    <t>NADH</t>
  </si>
  <si>
    <t>NADP</t>
  </si>
  <si>
    <t>NADPH</t>
  </si>
  <si>
    <t>FAD</t>
  </si>
  <si>
    <t>n-Propionyl CoA</t>
  </si>
  <si>
    <t>Malonyl CoA</t>
  </si>
  <si>
    <t>Glucose + PEP -&gt; G6P + PYR</t>
  </si>
  <si>
    <t>G6P &lt;-&gt; F6P</t>
  </si>
  <si>
    <t>-</t>
  </si>
  <si>
    <t>F6P -&gt; F1,6P</t>
  </si>
  <si>
    <t>F1,6P -&gt; DHAP + G3P</t>
  </si>
  <si>
    <t>DHAP -&gt; G3P</t>
  </si>
  <si>
    <t>G3P -&gt; 3PG</t>
  </si>
  <si>
    <t>3PG &lt;-&gt; PEP</t>
  </si>
  <si>
    <t>PEP -&gt; PYR</t>
  </si>
  <si>
    <t>PYR -&gt; AcCoA + CO2</t>
  </si>
  <si>
    <t>G6P -&gt; 6PG</t>
  </si>
  <si>
    <t>6PG -&gt; Ru5P + CO2</t>
  </si>
  <si>
    <t>Ru5P -&gt; X5P</t>
  </si>
  <si>
    <t>Ru5P -&gt; R5P</t>
  </si>
  <si>
    <t>R5P + X5P &lt;-&gt; S7P + G3P</t>
  </si>
  <si>
    <t>S7P + G3P &lt;-&gt; E4P + F6P</t>
  </si>
  <si>
    <t>X5P + E4P &lt;-&gt; F6P + G3P</t>
  </si>
  <si>
    <t>AcCoA + OAA -&gt; CIT</t>
  </si>
  <si>
    <t>CIT -&gt; ICT</t>
  </si>
  <si>
    <t>ICT -&gt; 2-KG + CO2</t>
  </si>
  <si>
    <t>2-KG -&gt; SUC + CO2</t>
  </si>
  <si>
    <t>SUC -&gt; FUM</t>
  </si>
  <si>
    <t>FUM -&gt; MAL</t>
  </si>
  <si>
    <t>MAL &lt;-&gt; OAA</t>
  </si>
  <si>
    <t>PEP + CO2 &lt;-&gt; OAA</t>
  </si>
  <si>
    <t>MAL -&gt; PYR + CO2</t>
  </si>
  <si>
    <t>ICT -&gt; Glyoxylate + SUC</t>
  </si>
  <si>
    <t>Glyoxylate + AcCoA -&gt; MAL</t>
  </si>
  <si>
    <t>6-PG -&gt; G3P + PYR</t>
  </si>
  <si>
    <t>AcCoA -&gt; Acetate</t>
  </si>
  <si>
    <t>PYR -&gt; Lactate</t>
  </si>
  <si>
    <t>AcCoA -&gt; Ethanol</t>
  </si>
  <si>
    <t>G6P -&gt; (Cell synthesis)</t>
  </si>
  <si>
    <t>F6P -&gt; (Cell synthesis)</t>
  </si>
  <si>
    <t>R5P -&gt; (Cell synthesis)</t>
  </si>
  <si>
    <t>E4P -&gt; (Cell synthesis)</t>
  </si>
  <si>
    <t>G3P -&gt; (Cell synthesis)</t>
  </si>
  <si>
    <t>3PG -&gt; (Cell synthesis)</t>
  </si>
  <si>
    <t>PEP -&gt; (Cell synthesis)</t>
  </si>
  <si>
    <t>PYR -&gt; (Cell synthesis)</t>
  </si>
  <si>
    <t>AcCoA -&gt; (Cell synthesis)</t>
  </si>
  <si>
    <t>OAA -&gt; (Cell synthesis)</t>
  </si>
  <si>
    <t>2KG -&gt; (Cell synthesis)</t>
  </si>
  <si>
    <t>CO2 -&gt; (Evolution)</t>
  </si>
  <si>
    <t>Exch. (G6P &lt;-&gt; F6P)</t>
  </si>
  <si>
    <t>Exch. (3PG &lt;-&gt; PEP)</t>
  </si>
  <si>
    <t>Exch. (R5P + X5P &lt;-&gt; S7P + G3P)</t>
  </si>
  <si>
    <t>Exch. (S7P + G3P &lt;-&gt; E4P + F6P)</t>
  </si>
  <si>
    <t>Exch. (X5P + E4P &lt;-&gt; F6P + G3P)</t>
  </si>
  <si>
    <t>Exch. (MAL &lt;-&gt; OAA)</t>
  </si>
  <si>
    <t>Exch. (PEP + CO2 &lt;-&gt; OAA)</t>
  </si>
  <si>
    <t>Glucose consumption rate</t>
  </si>
  <si>
    <t>Oxygen uptake rate (OUR)</t>
  </si>
  <si>
    <t>Carbon dioxide evolution rate (CER)</t>
  </si>
  <si>
    <t>Ethanol production rate</t>
  </si>
  <si>
    <t>Acetate production rate</t>
  </si>
  <si>
    <t>D-Lactate production rate</t>
  </si>
  <si>
    <t>Succinate production rate</t>
  </si>
  <si>
    <t>Pyruvate production rate</t>
  </si>
  <si>
    <t>Formate production rate</t>
  </si>
  <si>
    <t>Glucose</t>
  </si>
  <si>
    <t>Ethanol</t>
  </si>
  <si>
    <t>Acetate</t>
  </si>
  <si>
    <t>D-Lactate</t>
  </si>
  <si>
    <t>L-Lactate</t>
  </si>
  <si>
    <t>Formate</t>
  </si>
  <si>
    <t>gene</t>
  </si>
  <si>
    <t>comments</t>
  </si>
  <si>
    <t>The cytoplasmic glucokinase is not required for growth on glucose as the carbon source, because glucose is phosphorylated during transport by the PTS system. Glucokinase phosphorylates glucose which is produced by amylomaltase.</t>
  </si>
  <si>
    <r>
      <t>Growth on glucose reduces the expression of </t>
    </r>
    <r>
      <rPr>
        <i/>
        <sz val="10"/>
        <color rgb="FF333333"/>
        <rFont val="Trebuchet MS"/>
        <family val="2"/>
      </rPr>
      <t>glk</t>
    </r>
    <r>
      <rPr>
        <sz val="10"/>
        <color rgb="FF333333"/>
        <rFont val="Trebuchet MS"/>
        <family val="2"/>
      </rPr>
      <t> by 50%. Growth on other carbon sources does not appear to affect </t>
    </r>
    <r>
      <rPr>
        <i/>
        <sz val="10"/>
        <color rgb="FF333333"/>
        <rFont val="Trebuchet MS"/>
        <family val="2"/>
      </rPr>
      <t>glk</t>
    </r>
    <r>
      <rPr>
        <sz val="10"/>
        <color rgb="FF333333"/>
        <rFont val="Trebuchet MS"/>
        <family val="2"/>
      </rPr>
      <t> expression [Meyer97]. Overexpression of foreign proteins appears to induce expression of </t>
    </r>
    <r>
      <rPr>
        <i/>
        <sz val="10"/>
        <color rgb="FF333333"/>
        <rFont val="Trebuchet MS"/>
        <family val="2"/>
      </rPr>
      <t>glk</t>
    </r>
    <r>
      <rPr>
        <sz val="10"/>
        <color rgb="FF333333"/>
        <rFont val="Trebuchet MS"/>
        <family val="2"/>
      </rPr>
      <t> as well [Oh00a].</t>
    </r>
  </si>
  <si>
    <r>
      <t>A crystal structure of the enzyme from </t>
    </r>
    <r>
      <rPr>
        <i/>
        <sz val="10"/>
        <color rgb="FF333333"/>
        <rFont val="Trebuchet MS"/>
        <family val="2"/>
      </rPr>
      <t>E. coli</t>
    </r>
    <r>
      <rPr>
        <sz val="10"/>
        <color rgb="FF333333"/>
        <rFont val="Trebuchet MS"/>
        <family val="2"/>
      </rPr>
      <t> O157:H7 has been reported [Lunin04]. Evolutionary relationships between glucose kinases based on their tertiary structures have been discussed [Kawai05].</t>
    </r>
  </si>
  <si>
    <t>A periplasmic glucokinase whose expression is induced during overexpression of foreign proteins has been reported, but it does not appear to be the product of the glk gene [Arora95].</t>
  </si>
  <si>
    <t>A role for cytoplasmic glucose and Glk in the complex regulation of maltose and maltodextrin utilization by E. coli has been proposed. The maltose utilization system is controlled by MalT, the central transcriptional activator of malgenes. Glk was suggested to exert regulatory effects on MalT. A model for MalT activity inhibition via binding of Glk to MalT monomers was proposed. In addition, a model for the effect of competition between Mlc (the transcriptional repressor of MalT) and Glk for binding to PtsG (the glucose transporter) on repression of MalT expression was proposed [Lengsfeld09].</t>
  </si>
  <si>
    <t>E. coli Glk has been used as a model system for the study of active site amino acid residues that are important for catalysis. Site-directed mutagenesis identified residues important in non-hydrogen bonding (van der Waals) contacts with bound substrate. This study is in contrast to many site-directed mutagenesis studies which focus on polar residues that form hydrogen bonds with bound substrate [Miller07].</t>
  </si>
  <si>
    <t>gapA &amp; C</t>
  </si>
  <si>
    <r>
      <t>E. coli</t>
    </r>
    <r>
      <rPr>
        <sz val="10"/>
        <color rgb="FF333333"/>
        <rFont val="Trebuchet MS"/>
        <family val="2"/>
      </rPr>
      <t> is unusual in having two glyceraldehyde-3-phosphate dehydrogenases. The protein GAPDH-A has a sequence that is more similar to eukaryotic sequences than it is to the thermophilic bacterial enzymes and prokaryotic enzymes in general [Doolittle90, Branlant85]. GapA is required for glycolysis, while Epd (GapB) is not [Seta97]. GapA and Epd may be involved in production of pyridoxal 5'-phosphate (PLP) [Yang98a].</t>
    </r>
  </si>
  <si>
    <t>A gapA mutant exhibits a growth defect and also exhibits increased aggregation and lysis phenotypes that are rescued by high-salt media [Seta97].</t>
  </si>
  <si>
    <r>
      <t>Regulation has been described [Riehle03]. The regulation of the </t>
    </r>
    <r>
      <rPr>
        <i/>
        <sz val="10"/>
        <color rgb="FF333333"/>
        <rFont val="Trebuchet MS"/>
        <family val="2"/>
      </rPr>
      <t>fkpA</t>
    </r>
    <r>
      <rPr>
        <sz val="10"/>
        <color rgb="FF333333"/>
        <rFont val="Trebuchet MS"/>
        <family val="2"/>
      </rPr>
      <t>, </t>
    </r>
    <r>
      <rPr>
        <i/>
        <sz val="10"/>
        <color rgb="FF333333"/>
        <rFont val="Trebuchet MS"/>
        <family val="2"/>
      </rPr>
      <t>gapA</t>
    </r>
    <r>
      <rPr>
        <sz val="10"/>
        <color rgb="FF333333"/>
        <rFont val="Trebuchet MS"/>
        <family val="2"/>
      </rPr>
      <t>, and </t>
    </r>
    <r>
      <rPr>
        <i/>
        <sz val="10"/>
        <color rgb="FF333333"/>
        <rFont val="Trebuchet MS"/>
        <family val="2"/>
      </rPr>
      <t>hslT</t>
    </r>
    <r>
      <rPr>
        <sz val="10"/>
        <color rgb="FF333333"/>
        <rFont val="Trebuchet MS"/>
        <family val="2"/>
      </rPr>
      <t> genes is affected by evolution under conditions of chronic heat stress [Riehle03].</t>
    </r>
  </si>
  <si>
    <t>A third gene named gapC was recently characterized.2 The presence of several stop codons in the putative coding regions, clearly indicates that gapC gene can not encode a functional GAPDH</t>
  </si>
  <si>
    <r>
      <t>Pyruvate kinase I and pyruvate kinase II differ in physical and chemical properties as well as in their kinetic behavior. Although the two enzymes are under independent genetic control, they do coexist in a wide range of nutritional and metabolic states [Malcovati82, GarridoPertierr83]. The two enzymes are not interchangeable. Both show positive cooperative effects with respect to the substrate phosphoenolpyruvate [Malcovati82]. Pyruvate kinase I has a low nucleotide specificity and the 5'-diphosphates of guanosine, inosine, uridine and cytidine can all serve as phospho acceptors [Muirhead90]. Pyruvate kinase I from </t>
    </r>
    <r>
      <rPr>
        <i/>
        <sz val="10"/>
        <color rgb="FF333333"/>
        <rFont val="Trebuchet MS"/>
        <family val="2"/>
      </rPr>
      <t>E. coli</t>
    </r>
    <r>
      <rPr>
        <sz val="10"/>
        <color rgb="FF333333"/>
        <rFont val="Trebuchet MS"/>
        <family val="2"/>
      </rPr>
      <t>, unlike pyruvate kinase II, is remarkably stable [Valentini91].</t>
    </r>
  </si>
  <si>
    <t>A free N-terminal amino acid can be detected in both forms of pyruvate kinase; it corresponds to methionine for type I and serine for type II [Malcovati82]. Comparison with the known primary structures shows that bacterial enzymes lack a substantial portion of the N-terminal sequence with respect to pyruvate kinases from vertebrates [Valentini91].</t>
  </si>
  <si>
    <r>
      <t>Regulation has been described [Bledig96]. Gene expression levels, enzyme activities, metabolite concentrations and metabolic flux have been measured in a </t>
    </r>
    <r>
      <rPr>
        <i/>
        <sz val="10"/>
        <color rgb="FF333333"/>
        <rFont val="Trebuchet MS"/>
        <family val="2"/>
      </rPr>
      <t>pykF</t>
    </r>
    <r>
      <rPr>
        <sz val="10"/>
        <color rgb="FF333333"/>
        <rFont val="Trebuchet MS"/>
        <family val="2"/>
      </rPr>
      <t> mutant strain [Al04, Siddiquee04].</t>
    </r>
  </si>
  <si>
    <t>pykF shows differential codon adaptation, resulting in differential translation efficiency signatures, in thermophilic microbes. It was therefore predicted to play a role in the heat shock response. A pykF deletion mutant was shown to be more sensitive than wild-type specifically to heat shock, but not other stresses [Kri14].</t>
  </si>
  <si>
    <t>PykF: "pyruvate kinase, fructose 1,6-diphosphate-activated" [Kornberg73]</t>
  </si>
  <si>
    <t>Pyruvate kinase is a key enzyme of glycolysis, catalyzing one of the two substrate-level phosphorylation steps that generate ATP. The second product, pyruvate, is used either to synthesize cell materials or is further oxidized via the TCA cycle.</t>
  </si>
  <si>
    <t>While the carbon source has little effect on the presence of PfkA, expression of the enzyme is induced under anaerobic growth conditions [Malcovati69, Kotlarz75].</t>
  </si>
  <si>
    <r>
      <t>A pyruvate kinase activity from </t>
    </r>
    <r>
      <rPr>
        <i/>
        <sz val="10"/>
        <color rgb="FF333333"/>
        <rFont val="Trebuchet MS"/>
        <family val="2"/>
      </rPr>
      <t>E. coli</t>
    </r>
    <r>
      <rPr>
        <sz val="10"/>
        <color rgb="FF333333"/>
        <rFont val="Trebuchet MS"/>
        <family val="2"/>
      </rPr>
      <t> B showed broad specificity for nucleotide diphosphate acceptors [Saeki74, Saeki75]. The protein sequences of PykA from </t>
    </r>
    <r>
      <rPr>
        <i/>
        <sz val="10"/>
        <color rgb="FF333333"/>
        <rFont val="Trebuchet MS"/>
        <family val="2"/>
      </rPr>
      <t>E. coli</t>
    </r>
    <r>
      <rPr>
        <sz val="10"/>
        <color rgb="FF333333"/>
        <rFont val="Trebuchet MS"/>
        <family val="2"/>
      </rPr>
      <t> B REL606 and K-12 MG1655 are 100% identical.</t>
    </r>
  </si>
  <si>
    <t>The expression of this gene is positively affected by the transcriptional regulator FNR [ShalelLevanon05].</t>
  </si>
  <si>
    <r>
      <t>PykA: "</t>
    </r>
    <r>
      <rPr>
        <b/>
        <sz val="10"/>
        <color rgb="FF333333"/>
        <rFont val="Trebuchet MS"/>
        <family val="2"/>
      </rPr>
      <t>py</t>
    </r>
    <r>
      <rPr>
        <sz val="10"/>
        <color rgb="FF333333"/>
        <rFont val="Trebuchet MS"/>
        <family val="2"/>
      </rPr>
      <t>ruvate </t>
    </r>
    <r>
      <rPr>
        <b/>
        <sz val="10"/>
        <color rgb="FF333333"/>
        <rFont val="Trebuchet MS"/>
        <family val="2"/>
      </rPr>
      <t>k</t>
    </r>
    <r>
      <rPr>
        <sz val="10"/>
        <color rgb="FF333333"/>
        <rFont val="Trebuchet MS"/>
        <family val="2"/>
      </rPr>
      <t>inase, </t>
    </r>
    <r>
      <rPr>
        <b/>
        <sz val="10"/>
        <color rgb="FF333333"/>
        <rFont val="Trebuchet MS"/>
        <family val="2"/>
      </rPr>
      <t>A</t>
    </r>
    <r>
      <rPr>
        <sz val="10"/>
        <color rgb="FF333333"/>
        <rFont val="Trebuchet MS"/>
        <family val="2"/>
      </rPr>
      <t>MP-stimulated" [Kornberg73, Pertierra77]</t>
    </r>
  </si>
  <si>
    <t>pydh</t>
  </si>
  <si>
    <t>Pyruvate dehydrogenase is one of the most complicated enzyme systems known. The self-assembling complex is composed of multiple copies of three enzymes: E1, E2 and E3, in stoichiometry of 24:24:12, respectively (12 AceE dimers, a 24-subunit AceF core, and 6 LpdA dimers) [Reed75, Bates77, Yang85, CaJacob85, Angelides79].</t>
  </si>
  <si>
    <t>AceF, the "E2" or "core" component of the pyruvate dehydrogenase multienzyme complex, assembles into a 24-subunit [Angelides79] cube [Yang85, Wagenknecht90]. The E1 dimers of the pyruvate dehydrogenase multienzyme complex catalyze acetylation of the lipoate moieties that are attached to the E2 subunits [Danson78]. The E2 subunits (AceF) also exhibit transacetylation [Stanley81]. The structure of the pyruvate dehydrogenase multienzyme complex and the spatial distribution of the E2 lipoyl moieties have been studied by scanning transmission electron microscopy [Yang94]. Electron cryotomography showed that the E1 and E3 subunits are flexibly tethered to the E2 core [Murphy05a].</t>
  </si>
  <si>
    <t>The E3 component is shared with 2-oxoglutarate dehydrogenase and glycine cleavage multi-enzyme complexes. E1 and E2 differ slightly between 2-oxoglutarate and pyruvate complexes, and are designated (o) and (p) to distinguish them. Substrate is channeled through the catalytic reactions by attachment in thioester linkage to lipoyl groups via so-called 'swinging arm', carrying substrate molecules to successive active sites [Perham87].</t>
  </si>
  <si>
    <t>The reaction catalyzed by the pyruvate dehydrogenase multienzyme complex is the gateway to the TCA cycle, producing acetylCoA for the first reaction. In animals, the reaction is regulated by phosphorylation of the E1 component, but not in E. coli [Patel90].</t>
  </si>
  <si>
    <r>
      <t>There are two physically and genetically distinct ribose-5-phosphate isomerases present in </t>
    </r>
    <r>
      <rPr>
        <i/>
        <sz val="10"/>
        <color rgb="FF333333"/>
        <rFont val="Trebuchet MS"/>
        <family val="2"/>
      </rPr>
      <t>E. coli</t>
    </r>
    <r>
      <rPr>
        <sz val="10"/>
        <color rgb="FF333333"/>
        <rFont val="Trebuchet MS"/>
        <family val="2"/>
      </rPr>
      <t> [David70, Skinner71]. The constitutive ribose-5-phosphate isomerase A (RpiA) normally accounts for more than 99% of the ribose-5-phosphate isomerase activity in the cell and functions in the pentose phosphate pathway (non-oxidative branch) [Skinner71]. The inducible ribose-5-phosphate isomerase B can substitute for RpiA's function if its expression is induced [Skinner74, Sorensen96]. There is no sequence similarity between the two enzymes [Sorensen96].</t>
    </r>
  </si>
  <si>
    <t>Crystal structures of RpiA have been solved and active site residues and an acid-base catalytic mechanism were predicted [Rangarajan02, Zhang03i].</t>
  </si>
  <si>
    <r>
      <t>An </t>
    </r>
    <r>
      <rPr>
        <i/>
        <sz val="10"/>
        <color rgb="FF333333"/>
        <rFont val="Trebuchet MS"/>
        <family val="2"/>
      </rPr>
      <t>rpiA</t>
    </r>
    <r>
      <rPr>
        <sz val="10"/>
        <color rgb="FF333333"/>
        <rFont val="Trebuchet MS"/>
        <family val="2"/>
      </rPr>
      <t> mutant requires ribose for growth [Skinner71, Sorensen96].</t>
    </r>
  </si>
  <si>
    <t>RpiA: "ribosephosphate isomerase A" [Skinner74]</t>
  </si>
  <si>
    <t>Review: [Sprenger95b]</t>
  </si>
  <si>
    <r>
      <t>Transketolase catalyzes the reversible transfer of a ketol group between several donor and acceptor substrates. This key enzyme is a reversible link between glycolysis and the pentose phosphate pathway. The enzyme is involved in the catabolism of pentose sugars, the formation of D-ribose 5-phosphate, and the provision of D-erythrose 4-phosphate, a precursor of aromatic amino acids and PLP [Josephson74, Sprenger95]. </t>
    </r>
    <r>
      <rPr>
        <i/>
        <sz val="10"/>
        <color rgb="FF333333"/>
        <rFont val="Trebuchet MS"/>
        <family val="2"/>
      </rPr>
      <t>E. coli</t>
    </r>
    <r>
      <rPr>
        <sz val="10"/>
        <color rgb="FF333333"/>
        <rFont val="Trebuchet MS"/>
        <family val="2"/>
      </rPr>
      <t> contains two transketolase isozymes, TktA and TktB. TktA is responsible for the major transketolase activity [Iida93].</t>
    </r>
  </si>
  <si>
    <t>In addition to its function in central carbon metabolism, transketolase appears to also have an unexpected role in chromosome structure [Hardy05].</t>
  </si>
  <si>
    <t>Crystal structures of TktA in complex with donor and acceptor substrates have been solved, elucidating the reaction mechanism and mode of action of transketolase [Asztalos07]. The urea denaturation pathways of wild type and active site mutants of TktA has been investigated [Aucamp08, Dalby07], and the effects of temperature and pH on the structure, stability, aggregation and activity of transketolase have been determined [Jahromi11]. The acceptor specificity of TktA has been investigated [Yi12a].</t>
  </si>
  <si>
    <r>
      <t>Transketolase mutants can not grow on pentoses [Josephson74, Josephson69]. Overproduction of TktB causes increased transketolase activity and suppresses the </t>
    </r>
    <r>
      <rPr>
        <i/>
        <sz val="10"/>
        <color rgb="FF333333"/>
        <rFont val="Trebuchet MS"/>
        <family val="2"/>
      </rPr>
      <t>tktA</t>
    </r>
    <r>
      <rPr>
        <sz val="10"/>
        <color rgb="FF333333"/>
        <rFont val="Trebuchet MS"/>
        <family val="2"/>
      </rPr>
      <t> mutant phenotype [Iida93]. A </t>
    </r>
    <r>
      <rPr>
        <i/>
        <sz val="10"/>
        <color rgb="FF333333"/>
        <rFont val="Trebuchet MS"/>
        <family val="2"/>
      </rPr>
      <t>tktA tktB</t>
    </r>
    <r>
      <rPr>
        <sz val="10"/>
        <color rgb="FF333333"/>
        <rFont val="Trebuchet MS"/>
        <family val="2"/>
      </rPr>
      <t> double mutant requires pyridoxine (or 4-hydroxy-L-threonine or glycolaldehyde), aromatic amino acids and vitamins for growth [Zhao94]. A </t>
    </r>
    <r>
      <rPr>
        <i/>
        <sz val="10"/>
        <color rgb="FF333333"/>
        <rFont val="Trebuchet MS"/>
        <family val="2"/>
      </rPr>
      <t>tktA</t>
    </r>
    <r>
      <rPr>
        <sz val="10"/>
        <color rgb="FF333333"/>
        <rFont val="Trebuchet MS"/>
        <family val="2"/>
      </rPr>
      <t> mutant affects chromosome topology [Hardy05].</t>
    </r>
  </si>
  <si>
    <t>Null mutations in tktA lead to metabolic flux alterations that increase intracellular levels of the growth inhibitory metabolite methylglyoxal, and thereby have an increased persistence phenotype [Girgis12].</t>
  </si>
  <si>
    <t>Metabolic engineering for production of certain metabolites often involves transketolase; see [Patnaik94, Patnaik95, Flores96, Gosset96, Li99d, Li99c, Tatarko01, Chandran03, Yi] and more.</t>
  </si>
  <si>
    <r>
      <t>TktA abundance is affected by the SOS inducer and mutagen 7-methoxy-2-nitronaphtho[2,1-</t>
    </r>
    <r>
      <rPr>
        <i/>
        <sz val="10"/>
        <color rgb="FF333333"/>
        <rFont val="Trebuchet MS"/>
        <family val="2"/>
      </rPr>
      <t>b</t>
    </r>
    <r>
      <rPr>
        <sz val="10"/>
        <color rgb="FF333333"/>
        <rFont val="Trebuchet MS"/>
        <family val="2"/>
      </rPr>
      <t>]furan (R7000) [Touati96]. </t>
    </r>
    <r>
      <rPr>
        <i/>
        <sz val="10"/>
        <color rgb="FF333333"/>
        <rFont val="Trebuchet MS"/>
        <family val="2"/>
      </rPr>
      <t>tktA</t>
    </r>
    <r>
      <rPr>
        <sz val="10"/>
        <color rgb="FF333333"/>
        <rFont val="Trebuchet MS"/>
        <family val="2"/>
      </rPr>
      <t> is negatively regulated during entry into stationary phase. The effect by RpoS is likely indirect and might be mediated by an intermediate regulator that itself is directly regulated by RpoS [Jung05]. Expression of </t>
    </r>
    <r>
      <rPr>
        <i/>
        <sz val="10"/>
        <color rgb="FF333333"/>
        <rFont val="Trebuchet MS"/>
        <family val="2"/>
      </rPr>
      <t>tktA</t>
    </r>
    <r>
      <rPr>
        <sz val="10"/>
        <color rgb="FF333333"/>
        <rFont val="Trebuchet MS"/>
        <family val="2"/>
      </rPr>
      <t> and </t>
    </r>
    <r>
      <rPr>
        <i/>
        <sz val="10"/>
        <color rgb="FF333333"/>
        <rFont val="Trebuchet MS"/>
        <family val="2"/>
      </rPr>
      <t>tktB</t>
    </r>
    <r>
      <rPr>
        <sz val="10"/>
        <color rgb="FF333333"/>
        <rFont val="Trebuchet MS"/>
        <family val="2"/>
      </rPr>
      <t> is complementary, resulting in approximately constant levels of transketolase expression throughout growth [Rahman08].</t>
    </r>
  </si>
  <si>
    <t>Please note that results reported in [Domain07] were later found to be erroneous; see corrigendum published in Molecular Microbiology, 80 (2011): 853. doi: 10.1111/j.1365-2958.2011.07642.x.</t>
  </si>
  <si>
    <t>Transketolase catalyzes the reversible transfer of a ketol group between several donor and acceptor substrates. E. coli contains two transketolase isozymes, TktA and TktB. TktB is responsible for the minor transketolase activity [Iida93].</t>
  </si>
  <si>
    <r>
      <t>Overproduction of TktB suppresses the </t>
    </r>
    <r>
      <rPr>
        <i/>
        <sz val="10"/>
        <color rgb="FF333333"/>
        <rFont val="Trebuchet MS"/>
        <family val="2"/>
      </rPr>
      <t>tktA</t>
    </r>
    <r>
      <rPr>
        <sz val="10"/>
        <color rgb="FF333333"/>
        <rFont val="Trebuchet MS"/>
        <family val="2"/>
      </rPr>
      <t> mutant phenotype [Iida93]. A </t>
    </r>
    <r>
      <rPr>
        <i/>
        <sz val="10"/>
        <color rgb="FF333333"/>
        <rFont val="Trebuchet MS"/>
        <family val="2"/>
      </rPr>
      <t>tktA tktB</t>
    </r>
    <r>
      <rPr>
        <sz val="10"/>
        <color rgb="FF333333"/>
        <rFont val="Trebuchet MS"/>
        <family val="2"/>
      </rPr>
      <t> double mutant requires pyridoxine (or 4-hydroxy-L-threonine or glycolaldehyde), aromatic amino acids and vitamins for growth [Zhao94].</t>
    </r>
  </si>
  <si>
    <r>
      <t>Expression of </t>
    </r>
    <r>
      <rPr>
        <i/>
        <sz val="10"/>
        <color rgb="FF333333"/>
        <rFont val="Trebuchet MS"/>
        <family val="2"/>
      </rPr>
      <t>tktB</t>
    </r>
    <r>
      <rPr>
        <sz val="10"/>
        <color rgb="FF333333"/>
        <rFont val="Trebuchet MS"/>
        <family val="2"/>
      </rPr>
      <t> is increased in a </t>
    </r>
    <r>
      <rPr>
        <i/>
        <sz val="10"/>
        <color rgb="FF333333"/>
        <rFont val="Trebuchet MS"/>
        <family val="2"/>
      </rPr>
      <t>tyrR</t>
    </r>
    <r>
      <rPr>
        <sz val="10"/>
        <color rgb="FF333333"/>
        <rFont val="Trebuchet MS"/>
        <family val="2"/>
      </rPr>
      <t> mutant in the presence of phenylalanine [Polen05]. </t>
    </r>
    <r>
      <rPr>
        <i/>
        <sz val="10"/>
        <color rgb="FF333333"/>
        <rFont val="Trebuchet MS"/>
        <family val="2"/>
      </rPr>
      <t>tktB</t>
    </r>
    <r>
      <rPr>
        <sz val="10"/>
        <color rgb="FF333333"/>
        <rFont val="Trebuchet MS"/>
        <family val="2"/>
      </rPr>
      <t> expression is increased in stationary phase and positively regulated by RpoS [Jung05, Rahman08] and ppGpp [Harinarayanan08]. Expression of </t>
    </r>
    <r>
      <rPr>
        <i/>
        <sz val="10"/>
        <color rgb="FF333333"/>
        <rFont val="Trebuchet MS"/>
        <family val="2"/>
      </rPr>
      <t>tktA</t>
    </r>
    <r>
      <rPr>
        <sz val="10"/>
        <color rgb="FF333333"/>
        <rFont val="Trebuchet MS"/>
        <family val="2"/>
      </rPr>
      <t> and </t>
    </r>
    <r>
      <rPr>
        <i/>
        <sz val="10"/>
        <color rgb="FF333333"/>
        <rFont val="Trebuchet MS"/>
        <family val="2"/>
      </rPr>
      <t>tktB</t>
    </r>
    <r>
      <rPr>
        <sz val="10"/>
        <color rgb="FF333333"/>
        <rFont val="Trebuchet MS"/>
        <family val="2"/>
      </rPr>
      <t> is complementary, resulting in approximately constant levels of transketolase expression throughout growth [Rahman08]. A </t>
    </r>
    <r>
      <rPr>
        <i/>
        <sz val="10"/>
        <color rgb="FF333333"/>
        <rFont val="Trebuchet MS"/>
        <family val="2"/>
      </rPr>
      <t>tktB</t>
    </r>
    <r>
      <rPr>
        <sz val="10"/>
        <color rgb="FF333333"/>
        <rFont val="Trebuchet MS"/>
        <family val="2"/>
      </rPr>
      <t> mutant has lower acetate yield, but increased biomass yield under aerobic growth conditions [Rahman08a]. Levels of TktB protein increase during osmotic stress under aerobic, but not anaerobic growth conditions [Weber06].</t>
    </r>
  </si>
  <si>
    <r>
      <t>TktB appears to be associated with the degradosome [Regonesi06] and may connect carbon metabolism to replication [Maci�11]. Filament formation of a </t>
    </r>
    <r>
      <rPr>
        <i/>
        <sz val="10"/>
        <color rgb="FF333333"/>
        <rFont val="Trebuchet MS"/>
        <family val="2"/>
      </rPr>
      <t>dnaE486</t>
    </r>
    <r>
      <rPr>
        <sz val="10"/>
        <color rgb="FF333333"/>
        <rFont val="Trebuchet MS"/>
        <family val="2"/>
      </rPr>
      <t> mutant is partially suppressed by deletion of </t>
    </r>
    <r>
      <rPr>
        <i/>
        <sz val="10"/>
        <color rgb="FF333333"/>
        <rFont val="Trebuchet MS"/>
        <family val="2"/>
      </rPr>
      <t>tktB</t>
    </r>
    <r>
      <rPr>
        <sz val="10"/>
        <color rgb="FF333333"/>
        <rFont val="Trebuchet MS"/>
        <family val="2"/>
      </rPr>
      <t> [Maci�12a].</t>
    </r>
  </si>
  <si>
    <t>The subunit structure of transketolase II (TktB) has not been explicitly determined. However, transketolase I (TktA) is homodimeric [Sprenger95].</t>
  </si>
  <si>
    <t>Transaldolase is an enzyme of the pentose phosphate pathway, where it catalyzes the reversible interconversion of glyceraldehyde-3-phosphate and sedoheptulose-7-phosphate to fructose-6-phosphate and erythrose-4-phosphate. The reversibility of this reaction and carbon flux through the pentose phosphate pathway has been addressed both experimentally (summarized in [Katz67]) and theoretically [Katz67, Follstad98, Kleijn05].</t>
  </si>
  <si>
    <r>
      <t>There are two closely related transaldolases in </t>
    </r>
    <r>
      <rPr>
        <i/>
        <sz val="10"/>
        <color rgb="FF333333"/>
        <rFont val="Trebuchet MS"/>
        <family val="2"/>
      </rPr>
      <t>E. coli</t>
    </r>
    <r>
      <rPr>
        <sz val="10"/>
        <color rgb="FF333333"/>
        <rFont val="Trebuchet MS"/>
        <family val="2"/>
      </rPr>
      <t>, encoded by </t>
    </r>
    <r>
      <rPr>
        <i/>
        <sz val="10"/>
        <color rgb="FF333333"/>
        <rFont val="Trebuchet MS"/>
        <family val="2"/>
      </rPr>
      <t>talA</t>
    </r>
    <r>
      <rPr>
        <sz val="10"/>
        <color rgb="FF333333"/>
        <rFont val="Trebuchet MS"/>
        <family val="2"/>
      </rPr>
      <t> and </t>
    </r>
    <r>
      <rPr>
        <i/>
        <sz val="10"/>
        <color rgb="FF333333"/>
        <rFont val="Trebuchet MS"/>
        <family val="2"/>
      </rPr>
      <t>talB</t>
    </r>
    <r>
      <rPr>
        <sz val="10"/>
        <color rgb="FF333333"/>
        <rFont val="Trebuchet MS"/>
        <family val="2"/>
      </rPr>
      <t>. Transaldolase A has not been biochemically characterized.</t>
    </r>
  </si>
  <si>
    <r>
      <t>Protein levels of TalA are induced by osmotic stress only under aerobic conditions [Weber06]. </t>
    </r>
    <r>
      <rPr>
        <i/>
        <sz val="10"/>
        <color rgb="FF333333"/>
        <rFont val="Trebuchet MS"/>
        <family val="2"/>
      </rPr>
      <t>talA</t>
    </r>
    <r>
      <rPr>
        <sz val="10"/>
        <color rgb="FF333333"/>
        <rFont val="Trebuchet MS"/>
        <family val="2"/>
      </rPr>
      <t> belongs to the σ</t>
    </r>
    <r>
      <rPr>
        <vertAlign val="superscript"/>
        <sz val="10"/>
        <color rgb="FF333333"/>
        <rFont val="Trebuchet MS"/>
        <family val="2"/>
      </rPr>
      <t>S</t>
    </r>
    <r>
      <rPr>
        <sz val="10"/>
        <color rgb="FF333333"/>
        <rFont val="Trebuchet MS"/>
        <family val="2"/>
      </rPr>
      <t> regulon [Weber05] and its expression is negatively regulated by ArcA [Salmon05]. Transcription of </t>
    </r>
    <r>
      <rPr>
        <i/>
        <sz val="10"/>
        <color rgb="FF333333"/>
        <rFont val="Trebuchet MS"/>
        <family val="2"/>
      </rPr>
      <t>talA</t>
    </r>
    <r>
      <rPr>
        <sz val="10"/>
        <color rgb="FF333333"/>
        <rFont val="Trebuchet MS"/>
        <family val="2"/>
      </rPr>
      <t> is induced by the CreBC two-component system by minimal media growth conditions [Avison01].</t>
    </r>
  </si>
  <si>
    <t>TalA: "transaldolase A" [Iida93]</t>
  </si>
  <si>
    <t>Review: [Samland09]</t>
  </si>
  <si>
    <t>Transaldolase B is an enzyme of the non-oxidative branch of the pentose phosphate pathway. Along with transketolase, transaldolase creates a reversible link between the pentose phosphate pathway and glycolysis. It catalyzes the interconversion of glyceraldehyde-3-phosphate and sedoheptulose-7-phosphate to fructose-6-phosphate and erythrose-4-phosphate. The reversibility of this reaction and carbon flux through the pentose phosphate pathway has been addressed both experimentally (summarized in [Katz67]) and theoretically [Katz67, Follstad98, Kleijn05].</t>
  </si>
  <si>
    <r>
      <t>There are two closely related transaldolases in </t>
    </r>
    <r>
      <rPr>
        <i/>
        <sz val="10"/>
        <color rgb="FF333333"/>
        <rFont val="Trebuchet MS"/>
        <family val="2"/>
      </rPr>
      <t>E. coli</t>
    </r>
    <r>
      <rPr>
        <sz val="10"/>
        <color rgb="FF333333"/>
        <rFont val="Trebuchet MS"/>
        <family val="2"/>
      </rPr>
      <t>, encoded by </t>
    </r>
    <r>
      <rPr>
        <i/>
        <sz val="10"/>
        <color rgb="FF333333"/>
        <rFont val="Trebuchet MS"/>
        <family val="2"/>
      </rPr>
      <t>talA</t>
    </r>
    <r>
      <rPr>
        <sz val="10"/>
        <color rgb="FF333333"/>
        <rFont val="Trebuchet MS"/>
        <family val="2"/>
      </rPr>
      <t> and </t>
    </r>
    <r>
      <rPr>
        <i/>
        <sz val="10"/>
        <color rgb="FF333333"/>
        <rFont val="Trebuchet MS"/>
        <family val="2"/>
      </rPr>
      <t>talB</t>
    </r>
    <r>
      <rPr>
        <sz val="10"/>
        <color rgb="FF333333"/>
        <rFont val="Trebuchet MS"/>
        <family val="2"/>
      </rPr>
      <t>. Only transaldolase B has been biochemically characterized. TalB is a dimer in solution [Sprenger95a] and in the crystal structure [Jia96]. Mutation of the R300 residue leads to the formation of catalytically active monomers [Schorken98]. Catalytically important active site residues have been identified by site-directed mutagenesis [Schorken01].</t>
    </r>
  </si>
  <si>
    <t>Crystal structures of transaldolase B have been determined, confirming the presence of a Schiff-base intermediate at the active site and leading to a proposed reaction mechanism [Jia96, Jia97, Schorken01].</t>
  </si>
  <si>
    <t>A talB null mutant has no growth defect on minimal media with glucose as the carbon source [Schorken01].</t>
  </si>
  <si>
    <t>TalB: "transaldolase B" [Sprenger95a]</t>
  </si>
  <si>
    <t>2-Methylcitrate synthase (PrpC) catalyzes the Claisen condensation of propionyl-CoA with oxaloacetate, a reaction in propionate catabolism via the methylcitrate cycle [Textor97, Gerike98, Patton93, London99].</t>
  </si>
  <si>
    <r>
      <t>Production of the enzyme is induced by growth on propionate, but not acetate or glucose [Textor97, Gerike98, Brock02]. Expression of </t>
    </r>
    <r>
      <rPr>
        <i/>
        <sz val="10"/>
        <color rgb="FF333333"/>
        <rFont val="Trebuchet MS"/>
        <family val="2"/>
      </rPr>
      <t>prpBCDE</t>
    </r>
    <r>
      <rPr>
        <sz val="10"/>
        <color rgb="FF333333"/>
        <rFont val="Trebuchet MS"/>
        <family val="2"/>
      </rPr>
      <t> is regulated by PrpR and catabolite repression [Lee05] and is downregulated in the presence of a variety of sugars [Park12].</t>
    </r>
  </si>
  <si>
    <r>
      <t>A revertant of a </t>
    </r>
    <r>
      <rPr>
        <i/>
        <sz val="10"/>
        <color rgb="FF333333"/>
        <rFont val="Trebuchet MS"/>
        <family val="2"/>
      </rPr>
      <t>gltA</t>
    </r>
    <r>
      <rPr>
        <sz val="10"/>
        <color rgb="FF333333"/>
        <rFont val="Trebuchet MS"/>
        <family val="2"/>
      </rPr>
      <t> mutant strain produces an enzyme with citrate synthase activity [Patton93] that was later found to be identical to PrpC [Textor97, Gerike98]. The mutation causing the revertant phenotype is unknown.</t>
    </r>
  </si>
  <si>
    <t>Locations: cytosol</t>
  </si>
  <si>
    <t>Map Position: [349,236 -&gt; 350,405] (7.53 centisomes, 27°)</t>
  </si>
  <si>
    <t>Length: 1170 bp / 389 aa</t>
  </si>
  <si>
    <t>Molecular Weight of Polypeptide: 43.102 kD (from nucleotide sequence), 43.0 kD (experimental) [Textor97 ]</t>
  </si>
  <si>
    <t>Molecular Weight of Multimer: 110.0 kD (experimental) [Patton93]</t>
  </si>
  <si>
    <t>There are two aconitases in E. coli, both of which catalyze the reversible isomerization of citrate and iso-citrate via cis-aconitate. The apo form of AcnA is able to bind mRNA and enhances translation of AcnA [Tang99].</t>
  </si>
  <si>
    <r>
      <t>The AcnA enzyme is more stable, has a higher affinity for citrate and is active over a wider pH range than the AcnB enzyme [Jordan99, Varghese03]. Unlike AcnB, AcnA is resistant to oxidation </t>
    </r>
    <r>
      <rPr>
        <i/>
        <sz val="10"/>
        <color rgb="FF333333"/>
        <rFont val="Trebuchet MS"/>
        <family val="2"/>
      </rPr>
      <t>in vivo</t>
    </r>
    <r>
      <rPr>
        <sz val="10"/>
        <color rgb="FF333333"/>
        <rFont val="Trebuchet MS"/>
        <family val="2"/>
      </rPr>
      <t> [Varghese03]. The main role of the AcnA enzyme appears to be as a maintenance or survival enzyme during nutritional or oxidative stress, while the AcnB enzyme appears to function as the main catabolic enzyme [Cunningham97].</t>
    </r>
  </si>
  <si>
    <t>The catalytically inactive AcnA apo-protein, lacking its iron-sulfur cluster, is able to bind mRNA and enhances translation of AcnA [Tang99] and has a positive effect on SodA synthesis [Tang02].</t>
  </si>
  <si>
    <r>
      <t>Cells grown in the presence of nitrate contain lower levels of aconitase and fumarase [Prodromou91]. Synthesis of AcnA is subject to catabolite and anaerobic repression [Gruer94] and is induced by salt stress under aerobic conditions [Weber06]. </t>
    </r>
    <r>
      <rPr>
        <i/>
        <sz val="10"/>
        <color rgb="FF333333"/>
        <rFont val="Trebuchet MS"/>
        <family val="2"/>
      </rPr>
      <t>acnA</t>
    </r>
    <r>
      <rPr>
        <sz val="10"/>
        <color rgb="FF333333"/>
        <rFont val="Trebuchet MS"/>
        <family val="2"/>
      </rPr>
      <t> expression is induced under oxidative stress [Lu04, Lu05]. Expression of AcnA is posttranscriptionally downregulated in response to low iron levels by the small RNA RyhB [Masse02].</t>
    </r>
  </si>
  <si>
    <t>An acnA mutant is more susceptible to pyrazinoic acid than wild type [Schaller02].</t>
  </si>
  <si>
    <t>Reviews: [Gruer97a, Kiley03]</t>
  </si>
  <si>
    <t>Citations: [Prodromou92]</t>
  </si>
  <si>
    <r>
      <t>There are two aconitases in </t>
    </r>
    <r>
      <rPr>
        <i/>
        <sz val="10"/>
        <color rgb="FF333333"/>
        <rFont val="Trebuchet MS"/>
        <family val="2"/>
      </rPr>
      <t>E. coli</t>
    </r>
    <r>
      <rPr>
        <sz val="10"/>
        <color rgb="FF333333"/>
        <rFont val="Trebuchet MS"/>
        <family val="2"/>
      </rPr>
      <t>, both of which catalyze the reversible isomerization of citrate and iso-citrate via </t>
    </r>
    <r>
      <rPr>
        <i/>
        <sz val="10"/>
        <color rgb="FF333333"/>
        <rFont val="Trebuchet MS"/>
        <family val="2"/>
      </rPr>
      <t>cis</t>
    </r>
    <r>
      <rPr>
        <sz val="10"/>
        <color rgb="FF333333"/>
        <rFont val="Trebuchet MS"/>
        <family val="2"/>
      </rPr>
      <t>-aconitate. AcnB also plays a role in the methylcitrate cycle for degradation of propionate, where it is responsible for hydration of 2-methyl-</t>
    </r>
    <r>
      <rPr>
        <i/>
        <sz val="10"/>
        <color rgb="FF333333"/>
        <rFont val="Trebuchet MS"/>
        <family val="2"/>
      </rPr>
      <t>cis</t>
    </r>
    <r>
      <rPr>
        <sz val="10"/>
        <color rgb="FF333333"/>
        <rFont val="Trebuchet MS"/>
        <family val="2"/>
      </rPr>
      <t>-aconitate to (2</t>
    </r>
    <r>
      <rPr>
        <i/>
        <sz val="10"/>
        <color rgb="FF333333"/>
        <rFont val="Trebuchet MS"/>
        <family val="2"/>
      </rPr>
      <t>R</t>
    </r>
    <r>
      <rPr>
        <sz val="10"/>
        <color rgb="FF333333"/>
        <rFont val="Trebuchet MS"/>
        <family val="2"/>
      </rPr>
      <t>,3</t>
    </r>
    <r>
      <rPr>
        <i/>
        <sz val="10"/>
        <color rgb="FF333333"/>
        <rFont val="Trebuchet MS"/>
        <family val="2"/>
      </rPr>
      <t>S</t>
    </r>
    <r>
      <rPr>
        <sz val="10"/>
        <color rgb="FF333333"/>
        <rFont val="Trebuchet MS"/>
        <family val="2"/>
      </rPr>
      <t>)-2-methylisocitrate [Brock02]. The apo form of AcnB is able to bind mRNA and enhances translation of AcnB [Tang99].</t>
    </r>
  </si>
  <si>
    <r>
      <t>AcnB appears to function as the main catabolic enzyme, while the main role of AcnA appears to be as a maintenance or survival enzyme during nutritional or oxidative stress [Cunningham97]. The AcnB enzyme is less stable, has a lower affinity for citrate and is active over a more narrow pH range than the AcnA enzyme [Jordan99, Varghese03]. Unlike AcnA, AcnB is sensitive to oxidation </t>
    </r>
    <r>
      <rPr>
        <i/>
        <sz val="10"/>
        <color rgb="FF333333"/>
        <rFont val="Trebuchet MS"/>
        <family val="2"/>
      </rPr>
      <t>in vivo</t>
    </r>
    <r>
      <rPr>
        <sz val="10"/>
        <color rgb="FF333333"/>
        <rFont val="Trebuchet MS"/>
        <family val="2"/>
      </rPr>
      <t> [Brock02, Varghese03]. AcnB rapidly loses catalytic activity when the iron concentration is low [Varghese03].</t>
    </r>
  </si>
  <si>
    <r>
      <t>The N-terminal region of AcnB mediates the formation of AcnB homodimers in the presence of Fe</t>
    </r>
    <r>
      <rPr>
        <vertAlign val="superscript"/>
        <sz val="10"/>
        <color rgb="FF333333"/>
        <rFont val="Trebuchet MS"/>
        <family val="2"/>
      </rPr>
      <t>2+</t>
    </r>
    <r>
      <rPr>
        <sz val="10"/>
        <color rgb="FF333333"/>
        <rFont val="Trebuchet MS"/>
        <family val="2"/>
      </rPr>
      <t>; the 4Fe-4S cluster or catalytic activity is not required for dimer formation. In the absence of Fe</t>
    </r>
    <r>
      <rPr>
        <vertAlign val="superscript"/>
        <sz val="10"/>
        <color rgb="FF333333"/>
        <rFont val="Trebuchet MS"/>
        <family val="2"/>
      </rPr>
      <t>2+</t>
    </r>
    <r>
      <rPr>
        <sz val="10"/>
        <color rgb="FF333333"/>
        <rFont val="Trebuchet MS"/>
        <family val="2"/>
      </rPr>
      <t>, the same region is able to bind to mRNA [Tang05]. AcnB also interacts weakly with isocitrate dehydrogenase [Tsuchiya08]. The catalytically inactive AcnB apo-protein, lacking its iron-sulfur cluster, has a negative effect on SodA synthesis </t>
    </r>
    <r>
      <rPr>
        <i/>
        <sz val="10"/>
        <color rgb="FF333333"/>
        <rFont val="Trebuchet MS"/>
        <family val="2"/>
      </rPr>
      <t>in vitro</t>
    </r>
    <r>
      <rPr>
        <sz val="10"/>
        <color rgb="FF333333"/>
        <rFont val="Trebuchet MS"/>
        <family val="2"/>
      </rPr>
      <t> [Tang02].</t>
    </r>
  </si>
  <si>
    <t>IscA or SufA are required for assembly of the [4Fe-4S] cluster in AcnB [Tan09].</t>
  </si>
  <si>
    <t>A crystal structure of AcnB has been solved at 2.4 Å resolution [Williams02].</t>
  </si>
  <si>
    <r>
      <t>An </t>
    </r>
    <r>
      <rPr>
        <i/>
        <sz val="10"/>
        <color rgb="FF333333"/>
        <rFont val="Trebuchet MS"/>
        <family val="2"/>
      </rPr>
      <t>acnB</t>
    </r>
    <r>
      <rPr>
        <sz val="10"/>
        <color rgb="FF333333"/>
        <rFont val="Trebuchet MS"/>
        <family val="2"/>
      </rPr>
      <t> mutant does not grow on acetate as the sole source of carbon, grows poorly on other carbon sources such as glucose and pyruvate [Gruer97], contains high levels of citrate, and excretes substantial amounts of citrate into the medium [Varghese03]. An </t>
    </r>
    <r>
      <rPr>
        <i/>
        <sz val="10"/>
        <color rgb="FF333333"/>
        <rFont val="Trebuchet MS"/>
        <family val="2"/>
      </rPr>
      <t>acnB</t>
    </r>
    <r>
      <rPr>
        <sz val="10"/>
        <color rgb="FF333333"/>
        <rFont val="Trebuchet MS"/>
        <family val="2"/>
      </rPr>
      <t> mutant is more sensitive to peroxide stress than wild type and shows increased SodA synthesis [Tang02].</t>
    </r>
  </si>
  <si>
    <r>
      <t>Expression of </t>
    </r>
    <r>
      <rPr>
        <i/>
        <sz val="10"/>
        <color rgb="FF333333"/>
        <rFont val="Trebuchet MS"/>
        <family val="2"/>
      </rPr>
      <t>acnB</t>
    </r>
    <r>
      <rPr>
        <sz val="10"/>
        <color rgb="FF333333"/>
        <rFont val="Trebuchet MS"/>
        <family val="2"/>
      </rPr>
      <t> increases early in exponential phase and decreases during entry into stationary phase [Gruer97, Cunningham97].</t>
    </r>
  </si>
  <si>
    <t>icd</t>
  </si>
  <si>
    <t>Isocitrate dehydrogenase is the first bacterial enzyme shown to be regulated by phosphorylation/dephosphorylation. The modulation of this key enzyme activity enables E. coli to make rapid shifts between TCA and glyoxalate bypass pathways. Fluxes and intercellular concentrations for this junction have been determined. The state of phosphorylation of isocitrate dehydrogenase determines its activity. [Walsh85a, McKee89, LaPorte84]</t>
  </si>
  <si>
    <r>
      <t>There are marked differences in the properties of enzymes from different sources. The </t>
    </r>
    <r>
      <rPr>
        <i/>
        <sz val="10"/>
        <color rgb="FF333333"/>
        <rFont val="Trebuchet MS"/>
        <family val="2"/>
      </rPr>
      <t>E. coli</t>
    </r>
    <r>
      <rPr>
        <sz val="10"/>
        <color rgb="FF333333"/>
        <rFont val="Trebuchet MS"/>
        <family val="2"/>
      </rPr>
      <t> enzyme is not an allosteric protein as isocitrate dehydrogenases from other sources are, and it is cold sensitive. IcdA is observed to have several distinct isoforms [Link97]. Phosphorylation of the enzyme on a serine residue by isocitrate dehydrogenase kinase/phosphatase inactivates it, and dephosphorylation by the phosphatase reactivates it [Borthwick84, McKee89,Hurley89]. Phosphorylation affects the binding of NADP. This is the first bacterial enzyme shown to be regulated by phosphorylation/dephosphosphorylation [Borthwick84]. The 3D structure of the enzyme has been elucidated [Hurley89].</t>
    </r>
  </si>
  <si>
    <t>The enzyme shows allosteric inhibition by phosphoenolpyruvate [Ogawa07].</t>
  </si>
  <si>
    <t>In some E. coli K-12 strains a defective prophage, e14, may be present. When present, it maps at the icd site and supplies the C terminal sequence of the gene, coding for 52 amino acid residues. Of the codon differences, most are synonymous, one is conservative. The properties of the enzyme seem not to be affected. [Hill89]</t>
  </si>
  <si>
    <t>icd shows differential codon adaptation, resulting in differential translation efficiency signatures, in aerotolerant compared to obligate anaerobic microbes. It was therefore predicted to play a role in the oxidative stress response. An icddeletion mutant was shown to be more sensitive than wild-type specifically to hydrogen peroxide exposure, but not other stresses [Kri14].</t>
  </si>
  <si>
    <t>Citations: [Thorsness87, Burke74, Burke73, Apostolakos82]</t>
  </si>
  <si>
    <t>Gene Citations: [Prost99, Herold90]</t>
  </si>
  <si>
    <t>2-kgdh</t>
  </si>
  <si>
    <r>
      <t>The 2-oxo acid dehydrogenase complexes of </t>
    </r>
    <r>
      <rPr>
        <i/>
        <sz val="10"/>
        <color rgb="FF333333"/>
        <rFont val="Arial"/>
        <family val="2"/>
      </rPr>
      <t>E. coli</t>
    </r>
    <r>
      <rPr>
        <sz val="10"/>
        <color rgb="FF333333"/>
        <rFont val="Arial"/>
        <family val="2"/>
      </rPr>
      <t> convert 2-oxo acids to the corresponding acyl-CoA derivatives and produce NADH and CO</t>
    </r>
    <r>
      <rPr>
        <vertAlign val="subscript"/>
        <sz val="10"/>
        <color rgb="FF333333"/>
        <rFont val="Arial"/>
        <family val="2"/>
      </rPr>
      <t>2</t>
    </r>
    <r>
      <rPr>
        <sz val="10"/>
        <color rgb="FF333333"/>
        <rFont val="Arial"/>
        <family val="2"/>
      </rPr>
      <t>. These large, multienzyme complexes include the pyruvate dehydrogenase complex (PDHC) (see pyruvate decarboxylation to acetyl CoA) and the 2-oxoglutarate dehydrogenase complex (OGDHC, shown here). They consist of three enzyme components, a 2-oxo acid dehydrogenase (decarboxylating) (E1), a dihydrolipoamide acyltransferase (E2), and a dihydrolipoamide dehydrogenase (E3). Components E1 and E2 are unique to each enzyme, while component E3 is functionally interchangeable between the two complexes [Smith83]. E3 also functions in theglycine cleavage.</t>
    </r>
  </si>
  <si>
    <r>
      <t>The </t>
    </r>
    <r>
      <rPr>
        <i/>
        <sz val="10"/>
        <color rgb="FF333333"/>
        <rFont val="Arial"/>
        <family val="2"/>
      </rPr>
      <t>E. coli</t>
    </r>
    <r>
      <rPr>
        <sz val="10"/>
        <color rgb="FF333333"/>
        <rFont val="Arial"/>
        <family val="2"/>
      </rPr>
      <t> K-12 2-oxoglutarate dehydrogenase complex comprises 12, 24, and 2 units of the E1(o), E2(o), and E3 components, respectively whereas the pyruvate dehydrogenase comprises 24, 24, and 12 units of the E1(p), E2(p), and E3 components, respectively. In both </t>
    </r>
    <r>
      <rPr>
        <i/>
        <sz val="10"/>
        <color rgb="FF333333"/>
        <rFont val="Arial"/>
        <family val="2"/>
      </rPr>
      <t>E. coli</t>
    </r>
    <r>
      <rPr>
        <sz val="10"/>
        <color rgb="FF333333"/>
        <rFont val="Arial"/>
        <family val="2"/>
      </rPr>
      <t> enzymes the octahedral core of the complex is made up of 24 E2 units which contain lipoyllysine and binding sites for dimers of the other two subunits which are flexibly tethered to the E2 core [Murphy05a]. The three subunits of the </t>
    </r>
    <r>
      <rPr>
        <i/>
        <sz val="10"/>
        <color rgb="FF333333"/>
        <rFont val="Arial"/>
        <family val="2"/>
      </rPr>
      <t>E. coli</t>
    </r>
    <r>
      <rPr>
        <sz val="10"/>
        <color rgb="FF333333"/>
        <rFont val="Arial"/>
        <family val="2"/>
      </rPr>
      <t> OGDHC are a 2-oxoglutarate decarboxylase, thiamine-requiring E1(o) encoded by </t>
    </r>
    <r>
      <rPr>
        <i/>
        <sz val="10"/>
        <color rgb="FF333333"/>
        <rFont val="Arial"/>
        <family val="2"/>
      </rPr>
      <t>sucA</t>
    </r>
    <r>
      <rPr>
        <sz val="10"/>
        <color rgb="FF333333"/>
        <rFont val="Arial"/>
        <family val="2"/>
      </rPr>
      <t>, a dihydrolipoyltranssuccinylase E2(o) encoded by </t>
    </r>
    <r>
      <rPr>
        <i/>
        <sz val="10"/>
        <color rgb="FF333333"/>
        <rFont val="Arial"/>
        <family val="2"/>
      </rPr>
      <t>sucB</t>
    </r>
    <r>
      <rPr>
        <sz val="10"/>
        <color rgb="FF333333"/>
        <rFont val="Arial"/>
        <family val="2"/>
      </rPr>
      <t>, and the lipoamide dehydrogenase E3 encoded by </t>
    </r>
    <r>
      <rPr>
        <i/>
        <sz val="10"/>
        <color rgb="FF333333"/>
        <rFont val="Arial"/>
        <family val="2"/>
      </rPr>
      <t>lpd</t>
    </r>
    <r>
      <rPr>
        <sz val="10"/>
        <color rgb="FF333333"/>
        <rFont val="Arial"/>
        <family val="2"/>
      </rPr>
      <t> (synonym </t>
    </r>
    <r>
      <rPr>
        <i/>
        <sz val="10"/>
        <color rgb="FF333333"/>
        <rFont val="Arial"/>
        <family val="2"/>
      </rPr>
      <t>lpdA</t>
    </r>
    <r>
      <rPr>
        <sz val="10"/>
        <color rgb="FF333333"/>
        <rFont val="Arial"/>
        <family val="2"/>
      </rPr>
      <t>).</t>
    </r>
  </si>
  <si>
    <t>About This Pathway</t>
  </si>
  <si>
    <r>
      <t>The pathway illustrated here shows the reactions catalyzed by the 2-oxoglutarate dehydrogenase complex, a key, rate-limiting enzyme of the TCA cycle I (prokaryotic). These reactions can be summarized by the general reaction 2-oxoglutarate + coenzyme A + NAD</t>
    </r>
    <r>
      <rPr>
        <vertAlign val="superscript"/>
        <sz val="10"/>
        <color rgb="FF333333"/>
        <rFont val="Arial"/>
        <family val="2"/>
      </rPr>
      <t>+</t>
    </r>
    <r>
      <rPr>
        <sz val="10"/>
        <color rgb="FF333333"/>
        <rFont val="Arial"/>
        <family val="2"/>
      </rPr>
      <t> → succinyl-CoA + CO</t>
    </r>
    <r>
      <rPr>
        <vertAlign val="subscript"/>
        <sz val="10"/>
        <color rgb="FF333333"/>
        <rFont val="Arial"/>
        <family val="2"/>
      </rPr>
      <t>2</t>
    </r>
    <r>
      <rPr>
        <sz val="10"/>
        <color rgb="FF333333"/>
        <rFont val="Arial"/>
        <family val="2"/>
      </rPr>
      <t> + NADH which is the form commonly found in the TCA cycle.</t>
    </r>
  </si>
  <si>
    <t>During the OGDHC reaction cycle, 2-oxoglutarate is bound and decarboxylated by E1(o), a thiamin-diphosphate cofactor containing enzyme. The succinyl group is transferred to the lipoyl domain of E2(o) where it is carried to the active site and transferred to coenzyme A, forming succinyl-CoA. During this transfer the lipoyl group is reduced to dihydrolipoyl. The succinyl-CoA is released and the lipoyl domain of E2(o) is oxidized by E3 via transfer of protons to NAD, forming NADH and regenerating the lipoyl group back to lipoyllysine for another cycle [Murphy05a].</t>
  </si>
  <si>
    <t>Under aerobic growth conditions the OGDHC not only catalyzes a key reaction in the TCA cycle, it also provides succinyl-CoA for methionine and lysine biosynthesis (see pathways L-methionine biosynthesis I and L-lysine biosynthesis I), the latter pathway also leading to peptidoglycan biosynthesis. The synthesis of the OGDHC is repressed by anaerobiosis and is also subject to glucose repression. It is induced by aerobic growth on acetate [Smith83, Amarasingham65].</t>
  </si>
  <si>
    <t>Reviews: Cronan, J.E., and D. LaPorte (2006) "Tricarboxylic Acid Cycle and Glyoxylate Bypass" EcoSal 3.5.2 [ECOSAL], and Cronan, J.E. (2008) "Biotin and Lipoic Acid: Synthesis, Attachment, and Regulation" EcoSal 3.6.3.5 [ECOSAL]</t>
  </si>
  <si>
    <t>sucCD</t>
  </si>
  <si>
    <r>
      <t>Succinyl-CoA synthetase catalyzes the only reaction of the TCA cycle that employs substrate-level phosphorylation. The reaction is reversible and is thought to proceed in three partial reactions via enzyme-bound succinyl-phosphate and a phosphorylated enzyme intermediate, where a histidine residue of the α subunit is transiently phosphorylated. Many biochemical studies were done with the enzyme purified from </t>
    </r>
    <r>
      <rPr>
        <i/>
        <sz val="10"/>
        <color rgb="FF333333"/>
        <rFont val="Trebuchet MS"/>
        <family val="2"/>
      </rPr>
      <t>E. coli</t>
    </r>
    <r>
      <rPr>
        <sz val="10"/>
        <color rgb="FF333333"/>
        <rFont val="Trebuchet MS"/>
        <family val="2"/>
      </rPr>
      <t> Crooks strain (see citations in the Enzymatic Reaction summary), while mutant enzymes were obtained from the genes of a K-12-derived strain.</t>
    </r>
  </si>
  <si>
    <r>
      <t>A hybrid enzyme containing one wild-type and one catalytically inactive α subunit retains significant enzymatic activity, arguing for the presence of two independently active heterodimers [Mann91]. Crystal structures of the enzyme from various </t>
    </r>
    <r>
      <rPr>
        <i/>
        <sz val="10"/>
        <color rgb="FF333333"/>
        <rFont val="Trebuchet MS"/>
        <family val="2"/>
      </rPr>
      <t>E. coli</t>
    </r>
    <r>
      <rPr>
        <sz val="10"/>
        <color rgb="FF333333"/>
        <rFont val="Trebuchet MS"/>
        <family val="2"/>
      </rPr>
      <t> sources have been solved [Wolodko84, Wolodko94, Fraser99, Joyce00, Fraser02, Hidber07]. The α</t>
    </r>
    <r>
      <rPr>
        <vertAlign val="subscript"/>
        <sz val="10"/>
        <color rgb="FF333333"/>
        <rFont val="Trebuchet MS"/>
        <family val="2"/>
      </rPr>
      <t>2</t>
    </r>
    <r>
      <rPr>
        <sz val="10"/>
        <color rgb="FF333333"/>
        <rFont val="Trebuchet MS"/>
        <family val="2"/>
      </rPr>
      <t>β</t>
    </r>
    <r>
      <rPr>
        <vertAlign val="subscript"/>
        <sz val="10"/>
        <color rgb="FF333333"/>
        <rFont val="Trebuchet MS"/>
        <family val="2"/>
      </rPr>
      <t>2</t>
    </r>
    <r>
      <rPr>
        <sz val="10"/>
        <color rgb="FF333333"/>
        <rFont val="Trebuchet MS"/>
        <family val="2"/>
      </rPr>
      <t> heterotetramer is composed of two αβ heterodimers [Wolodko94]. Two possible alternative interpretations of the dimer-dimer interface were resolved by generating site-directed mutants that exist and are catalytically active as αβ heterodimers [Bailey99].</t>
    </r>
  </si>
  <si>
    <t>Overlap of the sucC and sucD open reading frames suggests translational coupling [Buck85].</t>
  </si>
  <si>
    <r>
      <t>A </t>
    </r>
    <r>
      <rPr>
        <i/>
        <sz val="10"/>
        <color rgb="FF333333"/>
        <rFont val="Trebuchet MS"/>
        <family val="2"/>
      </rPr>
      <t>sucCD</t>
    </r>
    <r>
      <rPr>
        <sz val="10"/>
        <color rgb="FF333333"/>
        <rFont val="Trebuchet MS"/>
        <family val="2"/>
      </rPr>
      <t> insertion mutant does not grow aearobically on acetate or α-ketoglutarate or anaerobically on glucose or succinate as carbon sources. Expression of </t>
    </r>
    <r>
      <rPr>
        <i/>
        <sz val="10"/>
        <color rgb="FF333333"/>
        <rFont val="Trebuchet MS"/>
        <family val="2"/>
      </rPr>
      <t>sucCD</t>
    </r>
    <r>
      <rPr>
        <sz val="10"/>
        <color rgb="FF333333"/>
        <rFont val="Trebuchet MS"/>
        <family val="2"/>
      </rPr>
      <t> is higher under aerobic than anaerobic conditions and is induced by growth on acetate [MatJan89]. A </t>
    </r>
    <r>
      <rPr>
        <i/>
        <sz val="10"/>
        <color rgb="FF333333"/>
        <rFont val="Trebuchet MS"/>
        <family val="2"/>
      </rPr>
      <t>sucCD</t>
    </r>
    <r>
      <rPr>
        <sz val="10"/>
        <color rgb="FF333333"/>
        <rFont val="Trebuchet MS"/>
        <family val="2"/>
      </rPr>
      <t> deletion mutant shows higher acetate accumulation and lower biomass formation than wild type on glucose minimal medium and can not re-utilize acetate that is secreted during growth on glucose [Veit07]. </t>
    </r>
    <r>
      <rPr>
        <i/>
        <sz val="10"/>
        <color rgb="FF333333"/>
        <rFont val="Trebuchet MS"/>
        <family val="2"/>
      </rPr>
      <t>sucCD</t>
    </r>
    <r>
      <rPr>
        <sz val="10"/>
        <color rgb="FF333333"/>
        <rFont val="Trebuchet MS"/>
        <family val="2"/>
      </rPr>
      <t> and </t>
    </r>
    <r>
      <rPr>
        <i/>
        <sz val="10"/>
        <color rgb="FF333333"/>
        <rFont val="Trebuchet MS"/>
        <family val="2"/>
      </rPr>
      <t>sucAB</t>
    </r>
    <r>
      <rPr>
        <sz val="10"/>
        <color rgb="FF333333"/>
        <rFont val="Trebuchet MS"/>
        <family val="2"/>
      </rPr>
      <t> are mutually essential. Both sets of genes encode an enzyme that can produce succinyl-CoA, an essential precursor for peptidoglycan biosynthesis; deletion of either set alone results in a longer lag phase, while cells where both sets are deleted are not viable [Yu06].</t>
    </r>
  </si>
  <si>
    <t>sdhCDAB</t>
  </si>
  <si>
    <t>Succinate dehydrogenase or succinate:quinone oxidoreductase (SQR) catalyses the oxidation of succinate to fumarate concomitant with the reduction of ubiquinone to ubiquinol. SQR plays an important role in cellular metabolism and directly connects the the TCA cycle with the respiratory electron transport chain. As part of the TCA cycle succinate is oxidized to fumarate by SQR and electrons are transferred to the membrane quinone pool for entry into the electron transport chain. SQR does not contribute to the proton motive force (pmf); the sites of quinol reduction and succinate oxidation are both located on the cytoplasmic side of the membrane and there is no separation of charge across the membrane during catalysis (see [Simon08]).</t>
  </si>
  <si>
    <r>
      <t>E.coli</t>
    </r>
    <r>
      <rPr>
        <sz val="10"/>
        <color rgb="FF333333"/>
        <rFont val="Trebuchet MS"/>
        <family val="2"/>
      </rPr>
      <t> SQR (SdhCDAB) is a membrane bound heterotetramer [Kita89]. Subunits SdhA and SdhB are hydrophilic and attached to the cytoplasmic surface of the plasma membrane via interactions with the two hydrophobic integral membrane subunits, SdhC and SdhD. SdhA contains the FAD cofactor [Brandsch89] and the dicarboxylic acid binding site [Yankovskaya03]. Electrons from the oxidation of succinate are transferred through the iron-sulphur protein, SdhB, to a quinone binding site located at the interface of the SdhB, SdhC and SdhD subunits [Tran06]. The SdhC and SdhD subunits each contain three transmembrane helices and anchor the complex to the membrane. A single heme b556 cofactor bridges the SdhC and SdhD subunits [Nakamura96]. Crystal structures and electrophoretic and spectrometric analyses indicate that </t>
    </r>
    <r>
      <rPr>
        <i/>
        <sz val="10"/>
        <color rgb="FF333333"/>
        <rFont val="Trebuchet MS"/>
        <family val="2"/>
      </rPr>
      <t>E. coli</t>
    </r>
    <r>
      <rPr>
        <sz val="10"/>
        <color rgb="FF333333"/>
        <rFont val="Trebuchet MS"/>
        <family val="2"/>
      </rPr>
      <t> SQH is organised into a trimeric supercomplex [Yankovskaya03, Sousa11].</t>
    </r>
  </si>
  <si>
    <r>
      <t>SQR is structurally and functionally related to fumarate reductase or menaquinol:fumarate reductase (QFR) which catalyses the reduction of fumarate to succinate under anaerobic conditions. The functions of SQR and QFR are partially interchangeable - a plasmid containing the </t>
    </r>
    <r>
      <rPr>
        <i/>
        <sz val="10"/>
        <color rgb="FF333333"/>
        <rFont val="Trebuchet MS"/>
        <family val="2"/>
      </rPr>
      <t>frd</t>
    </r>
    <r>
      <rPr>
        <sz val="10"/>
        <color rgb="FF333333"/>
        <rFont val="Trebuchet MS"/>
        <family val="2"/>
      </rPr>
      <t> genes is able to compensate for the growth deficiency of an </t>
    </r>
    <r>
      <rPr>
        <i/>
        <sz val="10"/>
        <color rgb="FF333333"/>
        <rFont val="Trebuchet MS"/>
        <family val="2"/>
      </rPr>
      <t>sdh</t>
    </r>
    <r>
      <rPr>
        <sz val="10"/>
        <color rgb="FF333333"/>
        <rFont val="Trebuchet MS"/>
        <family val="2"/>
      </rPr>
      <t> mutant [Guest81] while anaerobic expression of succinate dehyrdogenase supports the growth of an </t>
    </r>
    <r>
      <rPr>
        <i/>
        <sz val="10"/>
        <color rgb="FF333333"/>
        <rFont val="Trebuchet MS"/>
        <family val="2"/>
      </rPr>
      <t>frd</t>
    </r>
    <r>
      <rPr>
        <sz val="10"/>
        <color rgb="FF333333"/>
        <rFont val="Trebuchet MS"/>
        <family val="2"/>
      </rPr>
      <t> mutant [Maklashina98]. The SQR redox centres are arranged in a manner that aids the prevention of reactive oxygen species, providing a likely reason for the expression of SQR during aerobic respiration rather than QFR (which promotes high levels of oxygen radicals) [Yankovskaya03].</t>
    </r>
  </si>
  <si>
    <r>
      <t>The </t>
    </r>
    <r>
      <rPr>
        <i/>
        <sz val="10"/>
        <color rgb="FF333333"/>
        <rFont val="Trebuchet MS"/>
        <family val="2"/>
      </rPr>
      <t>sdhCDAB</t>
    </r>
    <r>
      <rPr>
        <sz val="10"/>
        <color rgb="FF333333"/>
        <rFont val="Trebuchet MS"/>
        <family val="2"/>
      </rPr>
      <t> operon is expressed from a single promoter located upstream of </t>
    </r>
    <r>
      <rPr>
        <i/>
        <sz val="10"/>
        <color rgb="FF333333"/>
        <rFont val="Trebuchet MS"/>
        <family val="2"/>
      </rPr>
      <t>sdhC</t>
    </r>
    <r>
      <rPr>
        <sz val="10"/>
        <color rgb="FF333333"/>
        <rFont val="Trebuchet MS"/>
        <family val="2"/>
      </rPr>
      <t> [Park95, Park97]. </t>
    </r>
    <r>
      <rPr>
        <i/>
        <sz val="10"/>
        <color rgb="FF333333"/>
        <rFont val="Trebuchet MS"/>
        <family val="2"/>
      </rPr>
      <t>sdhCDAB</t>
    </r>
    <r>
      <rPr>
        <sz val="10"/>
        <color rgb="FF333333"/>
        <rFont val="Trebuchet MS"/>
        <family val="2"/>
      </rPr>
      <t> is optimally expressed during aerobic cell growth. Expression of the operon decreases substantially when cells are shifted to anaerobic growth [Shen97]. Negative control occurs by a repression mechanism due to binding of ArcA at the </t>
    </r>
    <r>
      <rPr>
        <i/>
        <sz val="10"/>
        <color rgb="FF333333"/>
        <rFont val="Trebuchet MS"/>
        <family val="2"/>
      </rPr>
      <t>sdhC</t>
    </r>
    <r>
      <rPr>
        <sz val="10"/>
        <color rgb="FF333333"/>
        <rFont val="Trebuchet MS"/>
        <family val="2"/>
      </rPr>
      <t> promoter [Iuchi89, Iuchi94]. The </t>
    </r>
    <r>
      <rPr>
        <i/>
        <sz val="10"/>
        <color rgb="FF333333"/>
        <rFont val="Trebuchet MS"/>
        <family val="2"/>
      </rPr>
      <t>sdh</t>
    </r>
    <r>
      <rPr>
        <sz val="10"/>
        <color rgb="FF333333"/>
        <rFont val="Trebuchet MS"/>
        <family val="2"/>
      </rPr>
      <t> operon is also catabolite controlled, gene expression varies when cells are grown aerobically with different compounds [Park95].</t>
    </r>
  </si>
  <si>
    <t>Crystal structures of E. coli SQR with an empty quinone binding site and with the quinone binding site occupied by various inhibitors have been determined [Yankovskaya03, Ruprecht09, Horsefield06].</t>
  </si>
  <si>
    <t>E. coli SQR has a high degree of structural and functional similarity to mammalian SQR (complex II of the mitochondrial respiratory chain) [Hagerhall97]</t>
  </si>
  <si>
    <r>
      <t>Fumarase A (FumA) is one of three fumarase isozymes participating in the TCA cycle. FumA is a dimeric [4Fe-4S] cluster-containing protein and belongs to the class I fumarases [Woods88, Flint92]. Fumarase A can also catalyze the isomerization of </t>
    </r>
    <r>
      <rPr>
        <i/>
        <sz val="10"/>
        <color rgb="FF333333"/>
        <rFont val="Trebuchet MS"/>
        <family val="2"/>
      </rPr>
      <t>enol</t>
    </r>
    <r>
      <rPr>
        <sz val="10"/>
        <color rgb="FF333333"/>
        <rFont val="Trebuchet MS"/>
        <family val="2"/>
      </rPr>
      <t>- to </t>
    </r>
    <r>
      <rPr>
        <i/>
        <sz val="10"/>
        <color rgb="FF333333"/>
        <rFont val="Trebuchet MS"/>
        <family val="2"/>
      </rPr>
      <t>keto</t>
    </r>
    <r>
      <rPr>
        <sz val="10"/>
        <color rgb="FF333333"/>
        <rFont val="Trebuchet MS"/>
        <family val="2"/>
      </rPr>
      <t>-oxalacetate [Flint93].</t>
    </r>
  </si>
  <si>
    <t>The cell adapts to changing environmental oxygen conditions by utilizing different isozymes. Both FumA and FumB contain iron-sulfur centers; exposure to oxidative agents such as superoxide results in damage to the metal cofactor and loss of enzyme activity [Flint93a]. In contrast, FumC is an iron-independent enzyme and is insensitive to oxidative damage [Flint94]. FumC is made by the cells primarily as a backup enzyme if the FumA or FumB enzymes are damaged by reactive oxygen species. [Liochev93, Tseng01]</t>
  </si>
  <si>
    <r>
      <t>Expression of all three fumarase genes is anaerobically controlled. Expression of </t>
    </r>
    <r>
      <rPr>
        <i/>
        <sz val="10"/>
        <color rgb="FF333333"/>
        <rFont val="Trebuchet MS"/>
        <family val="2"/>
      </rPr>
      <t>fumB</t>
    </r>
    <r>
      <rPr>
        <sz val="10"/>
        <color rgb="FF333333"/>
        <rFont val="Trebuchet MS"/>
        <family val="2"/>
      </rPr>
      <t> is four fold elevated under anaerobic cell growth conditions versus aerobic conditions [Tseng97]. In contrast, </t>
    </r>
    <r>
      <rPr>
        <i/>
        <sz val="10"/>
        <color rgb="FF333333"/>
        <rFont val="Trebuchet MS"/>
        <family val="2"/>
      </rPr>
      <t>fumA</t>
    </r>
    <r>
      <rPr>
        <sz val="10"/>
        <color rgb="FF333333"/>
        <rFont val="Trebuchet MS"/>
        <family val="2"/>
      </rPr>
      <t> expression is highest only during aerobic growth and where </t>
    </r>
    <r>
      <rPr>
        <i/>
        <sz val="10"/>
        <color rgb="FF333333"/>
        <rFont val="Trebuchet MS"/>
        <family val="2"/>
      </rPr>
      <t>fumC</t>
    </r>
    <r>
      <rPr>
        <sz val="10"/>
        <color rgb="FF333333"/>
        <rFont val="Trebuchet MS"/>
        <family val="2"/>
      </rPr>
      <t> is only weakly expressed. When cells encounter oxidative stress conditions, </t>
    </r>
    <r>
      <rPr>
        <i/>
        <sz val="10"/>
        <color rgb="FF333333"/>
        <rFont val="Trebuchet MS"/>
        <family val="2"/>
      </rPr>
      <t>fumC</t>
    </r>
    <r>
      <rPr>
        <sz val="10"/>
        <color rgb="FF333333"/>
        <rFont val="Trebuchet MS"/>
        <family val="2"/>
      </rPr>
      <t> gene expression is then significantly induced by the SoxRS regulatory system [Park95b]. The aerobic/anaerobic transcriptional regulators ArcA and Fnr function to repress </t>
    </r>
    <r>
      <rPr>
        <i/>
        <sz val="10"/>
        <color rgb="FF333333"/>
        <rFont val="Trebuchet MS"/>
        <family val="2"/>
      </rPr>
      <t>fumA</t>
    </r>
    <r>
      <rPr>
        <sz val="10"/>
        <color rgb="FF333333"/>
        <rFont val="Trebuchet MS"/>
        <family val="2"/>
      </rPr>
      <t> as well as </t>
    </r>
    <r>
      <rPr>
        <i/>
        <sz val="10"/>
        <color rgb="FF333333"/>
        <rFont val="Trebuchet MS"/>
        <family val="2"/>
      </rPr>
      <t>fumC</t>
    </r>
    <r>
      <rPr>
        <sz val="10"/>
        <color rgb="FF333333"/>
        <rFont val="Trebuchet MS"/>
        <family val="2"/>
      </rPr>
      <t> gene expression under anaerobic conditions.</t>
    </r>
  </si>
  <si>
    <r>
      <t>The complex regulation of </t>
    </r>
    <r>
      <rPr>
        <i/>
        <sz val="10"/>
        <color rgb="FF333333"/>
        <rFont val="Trebuchet MS"/>
        <family val="2"/>
      </rPr>
      <t>fumA</t>
    </r>
    <r>
      <rPr>
        <sz val="10"/>
        <color rgb="FF333333"/>
        <rFont val="Trebuchet MS"/>
        <family val="2"/>
      </rPr>
      <t> expression has been investigated [Woods87, Gruer94, Park95b, Lara06, Ojima08, Chen12]. Regulation of </t>
    </r>
    <r>
      <rPr>
        <i/>
        <sz val="10"/>
        <color rgb="FF333333"/>
        <rFont val="Trebuchet MS"/>
        <family val="2"/>
      </rPr>
      <t>fumA</t>
    </r>
    <r>
      <rPr>
        <sz val="10"/>
        <color rgb="FF333333"/>
        <rFont val="Trebuchet MS"/>
        <family val="2"/>
      </rPr>
      <t> expression by Fur may be indirect, via the small RNA RyhB [Masse02, Prevost11]. Steady-state levels of </t>
    </r>
    <r>
      <rPr>
        <i/>
        <sz val="10"/>
        <color rgb="FF333333"/>
        <rFont val="Trebuchet MS"/>
        <family val="2"/>
      </rPr>
      <t>fumA</t>
    </r>
    <r>
      <rPr>
        <sz val="10"/>
        <color rgb="FF333333"/>
        <rFont val="Trebuchet MS"/>
        <family val="2"/>
      </rPr>
      <t> mRNA decrease with increasing growth rate; conversely, the half life of </t>
    </r>
    <r>
      <rPr>
        <i/>
        <sz val="10"/>
        <color rgb="FF333333"/>
        <rFont val="Trebuchet MS"/>
        <family val="2"/>
      </rPr>
      <t>fumA</t>
    </r>
    <r>
      <rPr>
        <sz val="10"/>
        <color rgb="FF333333"/>
        <rFont val="Trebuchet MS"/>
        <family val="2"/>
      </rPr>
      <t> mRNA increases, leading to unchanged levels of FumA protein [Lin12].</t>
    </r>
  </si>
  <si>
    <t>Fumarase B (FumB) is one of three fumarase isozymes participating in the TCA cycle. FumB belongs to the class I fumarases; like FumA, it is a homodimeric 4Fe-4S cluster-containing protein [Woods88, vanVugtLussenbu13]. Fumarase B is required for anaerobic growth on D-tartrate [Kim07] and appears to be involved in biofilm formation [Herzberg06].</t>
  </si>
  <si>
    <t>The cell adapts to changing environmental oxygen conditions by utilizing different isozymes. Both FumA and FumB contain iron-sulfur centers; exposure to oxidative agents such as superoxide results in damage to the metal cofactor and loss of enzyme activity [Flint93a]. Although FumB was previously reported to have a higher affinity for malate than for fumarate [Woods88], recent kinetic data using a purified enzyme have shown it to be similar to FumA [vanVugtLussenbu13]. FumB is thought to function as an alternative enzyme during anaerobiosis [Woods87, Tseng01]. In contrast, FumC is an iron-independent enzyme and is insensitive to oxidative damage [Flint94]. FumC is made by the cells primarily as a backup enzyme if the FumA or FumB enzymes are damaged by reactive oxygen species. [Tseng97, Liochev93, Tseng01, Lara06]</t>
  </si>
  <si>
    <r>
      <t>Expression of all three fumarase genes is anaerobically controlled. Expression of </t>
    </r>
    <r>
      <rPr>
        <i/>
        <sz val="10"/>
        <color rgb="FF333333"/>
        <rFont val="Trebuchet MS"/>
        <family val="2"/>
      </rPr>
      <t>fumB</t>
    </r>
    <r>
      <rPr>
        <sz val="10"/>
        <color rgb="FF333333"/>
        <rFont val="Trebuchet MS"/>
        <family val="2"/>
      </rPr>
      <t> gene is four fold elevated under anaerobic cell growth conditions versus aerobic conditions [Tseng97]. In contrast, </t>
    </r>
    <r>
      <rPr>
        <i/>
        <sz val="10"/>
        <color rgb="FF333333"/>
        <rFont val="Trebuchet MS"/>
        <family val="2"/>
      </rPr>
      <t>fumA</t>
    </r>
    <r>
      <rPr>
        <sz val="10"/>
        <color rgb="FF333333"/>
        <rFont val="Trebuchet MS"/>
        <family val="2"/>
      </rPr>
      <t> expression is highest only during aerobic growth and where </t>
    </r>
    <r>
      <rPr>
        <i/>
        <sz val="10"/>
        <color rgb="FF333333"/>
        <rFont val="Trebuchet MS"/>
        <family val="2"/>
      </rPr>
      <t>fumC</t>
    </r>
    <r>
      <rPr>
        <sz val="10"/>
        <color rgb="FF333333"/>
        <rFont val="Trebuchet MS"/>
        <family val="2"/>
      </rPr>
      <t> is only weakly expressed. When cells encounter oxidative stress conditions, </t>
    </r>
    <r>
      <rPr>
        <i/>
        <sz val="10"/>
        <color rgb="FF333333"/>
        <rFont val="Trebuchet MS"/>
        <family val="2"/>
      </rPr>
      <t>fumC</t>
    </r>
    <r>
      <rPr>
        <sz val="10"/>
        <color rgb="FF333333"/>
        <rFont val="Trebuchet MS"/>
        <family val="2"/>
      </rPr>
      <t> gene expression is then significantly induced by the SoxRS regulatory system [Park95b]. The aerobic/anaerobic transcriptional regulators ArcA and Fnr function to repress </t>
    </r>
    <r>
      <rPr>
        <i/>
        <sz val="10"/>
        <color rgb="FF333333"/>
        <rFont val="Trebuchet MS"/>
        <family val="2"/>
      </rPr>
      <t>fumA</t>
    </r>
    <r>
      <rPr>
        <sz val="10"/>
        <color rgb="FF333333"/>
        <rFont val="Trebuchet MS"/>
        <family val="2"/>
      </rPr>
      <t> as well as </t>
    </r>
    <r>
      <rPr>
        <i/>
        <sz val="10"/>
        <color rgb="FF333333"/>
        <rFont val="Trebuchet MS"/>
        <family val="2"/>
      </rPr>
      <t>fumC</t>
    </r>
    <r>
      <rPr>
        <sz val="10"/>
        <color rgb="FF333333"/>
        <rFont val="Trebuchet MS"/>
        <family val="2"/>
      </rPr>
      <t> gene expression under anaerobic conditions.</t>
    </r>
  </si>
  <si>
    <r>
      <t>Overexpression of </t>
    </r>
    <r>
      <rPr>
        <i/>
        <sz val="10"/>
        <color rgb="FF333333"/>
        <rFont val="Trebuchet MS"/>
        <family val="2"/>
      </rPr>
      <t>fumB</t>
    </r>
    <r>
      <rPr>
        <sz val="10"/>
        <color rgb="FF333333"/>
        <rFont val="Trebuchet MS"/>
        <family val="2"/>
      </rPr>
      <t> complements the </t>
    </r>
    <r>
      <rPr>
        <i/>
        <sz val="10"/>
        <color rgb="FF333333"/>
        <rFont val="Trebuchet MS"/>
        <family val="2"/>
      </rPr>
      <t>fumA1</t>
    </r>
    <r>
      <rPr>
        <sz val="10"/>
        <color rgb="FF333333"/>
        <rFont val="Trebuchet MS"/>
        <family val="2"/>
      </rPr>
      <t> mutation [Guest83, Guest85] and a </t>
    </r>
    <r>
      <rPr>
        <i/>
        <sz val="10"/>
        <color rgb="FF333333"/>
        <rFont val="Trebuchet MS"/>
        <family val="2"/>
      </rPr>
      <t>fumAC</t>
    </r>
    <r>
      <rPr>
        <sz val="10"/>
        <color rgb="FF333333"/>
        <rFont val="Trebuchet MS"/>
        <family val="2"/>
      </rPr>
      <t> deletion [Henson87]. The expression level of </t>
    </r>
    <r>
      <rPr>
        <i/>
        <sz val="10"/>
        <color rgb="FF333333"/>
        <rFont val="Trebuchet MS"/>
        <family val="2"/>
      </rPr>
      <t>fumB</t>
    </r>
    <r>
      <rPr>
        <sz val="10"/>
        <color rgb="FF333333"/>
        <rFont val="Trebuchet MS"/>
        <family val="2"/>
      </rPr>
      <t> is highest under anaerobic growth on glycerol and fumarate [Woods87]. </t>
    </r>
    <r>
      <rPr>
        <i/>
        <sz val="10"/>
        <color rgb="FF333333"/>
        <rFont val="Trebuchet MS"/>
        <family val="2"/>
      </rPr>
      <t>fumB</t>
    </r>
    <r>
      <rPr>
        <sz val="10"/>
        <color rgb="FF333333"/>
        <rFont val="Trebuchet MS"/>
        <family val="2"/>
      </rPr>
      <t> expression is regulated in response to oxygen, iron and heme availability [Gruer94, Tseng97] and increases 9-fold upon deletion of </t>
    </r>
    <r>
      <rPr>
        <i/>
        <sz val="10"/>
        <color rgb="FF333333"/>
        <rFont val="Trebuchet MS"/>
        <family val="2"/>
      </rPr>
      <t>tqsA</t>
    </r>
    <r>
      <rPr>
        <sz val="10"/>
        <color rgb="FF333333"/>
        <rFont val="Trebuchet MS"/>
        <family val="2"/>
      </rPr>
      <t>, which increases biofilm formation [Herzberg06].</t>
    </r>
  </si>
  <si>
    <t>Fumarase C (FumC) is one of three fumarase isozymes participating in the TCA cycle. FumC is a tetrameric protein and belongs to the class II fumarases [Woods88].</t>
  </si>
  <si>
    <t>Crystal structures of fumarase C have been solved, allowing identification of the active site and a potential activator binding site [Weaver95, Weaver96, Weaver97, Estevez02, Weaver05]. What was thought to be an activator binding site was later determined to be part of the active site, providing a path for transfer of substrate and product between the active site and the bulk solvent [Rose04].</t>
  </si>
  <si>
    <t>The cell adapts to changing environmental oxygen conditions by utilizing different isozymes. Both FumA and FumB contain iron-sulfur centers; exposure to oxidative agents such as superoxide results in damage to the metal cofactor and loss of enzyme activity [Flint93a]. In contrast, FumC is an iron-independent enzyme and is insensitive to oxidative damage [Flint94]. FumC is made by the cells primarily as a backup enzyme if the FumA or FumB enzymes are damaged by reactive oxygen species. [Tseng97, Liochev93, Tseng01, Lara06]</t>
  </si>
  <si>
    <r>
      <t>fumC</t>
    </r>
    <r>
      <rPr>
        <sz val="10"/>
        <color rgb="FF333333"/>
        <rFont val="Trebuchet MS"/>
        <family val="2"/>
      </rPr>
      <t> is a member of the SoxRS regulon; expression can be induced by paraquat [Liochev92, Gruer94, Park95b]. The regulation of </t>
    </r>
    <r>
      <rPr>
        <i/>
        <sz val="10"/>
        <color rgb="FF333333"/>
        <rFont val="Trebuchet MS"/>
        <family val="2"/>
      </rPr>
      <t>fumC</t>
    </r>
    <r>
      <rPr>
        <sz val="10"/>
        <color rgb="FF333333"/>
        <rFont val="Trebuchet MS"/>
        <family val="2"/>
      </rPr>
      <t> expression has been investigated [Park95b, Tseng01, Lu05, Rahman08, Rahman08a]. A </t>
    </r>
    <r>
      <rPr>
        <i/>
        <sz val="10"/>
        <color rgb="FF333333"/>
        <rFont val="Trebuchet MS"/>
        <family val="2"/>
      </rPr>
      <t>fumC</t>
    </r>
    <r>
      <rPr>
        <sz val="10"/>
        <color rgb="FF333333"/>
        <rFont val="Trebuchet MS"/>
        <family val="2"/>
      </rPr>
      <t>deletion mutant shows increased biofilm formation [Domka07].</t>
    </r>
  </si>
  <si>
    <r>
      <t>Malate dehydrogenase (Mdh) catalyzes the reversible oxidation of malate to generate oxaloacetate, using NAD</t>
    </r>
    <r>
      <rPr>
        <vertAlign val="superscript"/>
        <sz val="10"/>
        <color rgb="FF333333"/>
        <rFont val="Trebuchet MS"/>
        <family val="2"/>
      </rPr>
      <t>+</t>
    </r>
    <r>
      <rPr>
        <sz val="10"/>
        <color rgb="FF333333"/>
        <rFont val="Trebuchet MS"/>
        <family val="2"/>
      </rPr>
      <t> as an electron acceptor [Sutherland85, Fernley81]. Mdh carries out the oxidation reaction as part of the TCA cycle, the glyoxylate cycle, and gluconeogenesis. It reduces oxaloacetate to generate malate as part of anaerobic respiration and mixed-acid fermentation.</t>
    </r>
  </si>
  <si>
    <t>Malate dehydrogenase comprises a dimer of Mdh monomers [Fernley81]. A crystal structure of this dimer shows that Arg-81, Arg-153 and His-177 may all be involved in substrate interaction [Hall92]. Although Mdh does not interact directly with the oxaloacetate-utilizing enzyme aspartate aminotransferase, PLP-dependent, it does appear to directly transfer NADH to NADH:ubiquinone oxidoreductase I [Geck99, Amarneh05].</t>
  </si>
  <si>
    <t>Mdh activity is depressed during anaerobic conditions [Sutherland85]. There is a 2-fold difference between expression of Mdh under aerobic versus anaerobic conditions. In addition, Mdh expression increases during growth on pyruvate, is low during growth on glucose, and is increased 5-fold by heme limitation during anaerobic growth [Park95c].</t>
  </si>
  <si>
    <t>mdh is one of a network of genes believed to play a role in promoting the stress-induced mutagenesis (SIM) response of E. coli K-12 [Al12].</t>
  </si>
  <si>
    <t>LdhA is a soluble NAD-linked lactate dehydrogenase (LDH) that is specific for the production of D-lactate [Tarmy68a, Tarmy68, MatJan89]. LdhA is a homotetramer and shows positive homotropic cooperativity under higher pH conditions [Furukawa14].</t>
  </si>
  <si>
    <r>
      <t>E. coli</t>
    </r>
    <r>
      <rPr>
        <sz val="10"/>
        <color rgb="FF333333"/>
        <rFont val="Trebuchet MS"/>
        <family val="2"/>
      </rPr>
      <t> contains two other lactate dehydrogenases: D-lactate dehydrogenase and L-lactate dehydrogenase. Both are membrane-associated flavoproteins required for aerobic growth on lactate.</t>
    </r>
  </si>
  <si>
    <r>
      <t>The enzyme is present under aerobic conditions but is induced when </t>
    </r>
    <r>
      <rPr>
        <i/>
        <sz val="10"/>
        <color rgb="FF333333"/>
        <rFont val="Trebuchet MS"/>
        <family val="2"/>
      </rPr>
      <t>E. coli</t>
    </r>
    <r>
      <rPr>
        <sz val="10"/>
        <color rgb="FF333333"/>
        <rFont val="Trebuchet MS"/>
        <family val="2"/>
      </rPr>
      <t> is grown on a variety of sugars under anaerobic conditions at acidic pH [MatJan89, Bunch97, Jiang01]. Unlike most of the genes involved in anaerobic respiration,</t>
    </r>
    <r>
      <rPr>
        <i/>
        <sz val="10"/>
        <color rgb="FF333333"/>
        <rFont val="Trebuchet MS"/>
        <family val="2"/>
      </rPr>
      <t>ldhA</t>
    </r>
    <r>
      <rPr>
        <sz val="10"/>
        <color rgb="FF333333"/>
        <rFont val="Trebuchet MS"/>
        <family val="2"/>
      </rPr>
      <t> is not activated by Fnr; rather the ArcAB system and several genes involved in the control of carbohydrate metabolism (</t>
    </r>
    <r>
      <rPr>
        <i/>
        <sz val="10"/>
        <color rgb="FF333333"/>
        <rFont val="Trebuchet MS"/>
        <family val="2"/>
      </rPr>
      <t>csrAB</t>
    </r>
    <r>
      <rPr>
        <sz val="10"/>
        <color rgb="FF333333"/>
        <rFont val="Trebuchet MS"/>
        <family val="2"/>
      </rPr>
      <t> and </t>
    </r>
    <r>
      <rPr>
        <i/>
        <sz val="10"/>
        <color rgb="FF333333"/>
        <rFont val="Trebuchet MS"/>
        <family val="2"/>
      </rPr>
      <t>mlc</t>
    </r>
    <r>
      <rPr>
        <sz val="10"/>
        <color rgb="FF333333"/>
        <rFont val="Trebuchet MS"/>
        <family val="2"/>
      </rPr>
      <t>) appear to regulate expression [Jiang01]. The expression of </t>
    </r>
    <r>
      <rPr>
        <i/>
        <sz val="10"/>
        <color rgb="FF333333"/>
        <rFont val="Trebuchet MS"/>
        <family val="2"/>
      </rPr>
      <t>ldhA</t>
    </r>
    <r>
      <rPr>
        <sz val="10"/>
        <color rgb="FF333333"/>
        <rFont val="Trebuchet MS"/>
        <family val="2"/>
      </rPr>
      <t> is negatively affected by the transcriptional regulator ArcA [ShalelLevanon05]. Reports disagree on whether [Chuang93, Hasan08] or not [Jiang01] expression is induced by heat shock. However, </t>
    </r>
    <r>
      <rPr>
        <i/>
        <sz val="10"/>
        <color rgb="FF333333"/>
        <rFont val="Trebuchet MS"/>
        <family val="2"/>
      </rPr>
      <t>ldhA</t>
    </r>
    <r>
      <rPr>
        <sz val="10"/>
        <color rgb="FF333333"/>
        <rFont val="Trebuchet MS"/>
        <family val="2"/>
      </rPr>
      <t> belongs to the σ</t>
    </r>
    <r>
      <rPr>
        <vertAlign val="superscript"/>
        <sz val="10"/>
        <color rgb="FF333333"/>
        <rFont val="Trebuchet MS"/>
        <family val="2"/>
      </rPr>
      <t>32</t>
    </r>
    <r>
      <rPr>
        <sz val="10"/>
        <color rgb="FF333333"/>
        <rFont val="Trebuchet MS"/>
        <family val="2"/>
      </rPr>
      <t> regulon [Zhao05, Nonaka06].</t>
    </r>
  </si>
  <si>
    <r>
      <t>E. coli</t>
    </r>
    <r>
      <rPr>
        <sz val="10"/>
        <color rgb="FF333333"/>
        <rFont val="Trebuchet MS"/>
        <family val="2"/>
      </rPr>
      <t> carrying </t>
    </r>
    <r>
      <rPr>
        <i/>
        <sz val="10"/>
        <color rgb="FF333333"/>
        <rFont val="Trebuchet MS"/>
        <family val="2"/>
      </rPr>
      <t>ldhA</t>
    </r>
    <r>
      <rPr>
        <sz val="10"/>
        <color rgb="FF333333"/>
        <rFont val="Trebuchet MS"/>
        <family val="2"/>
      </rPr>
      <t> mutations show no observable growth defect and can still ferment sugars to a variety of products other than lactate [MatJan89]. The </t>
    </r>
    <r>
      <rPr>
        <i/>
        <sz val="10"/>
        <color rgb="FF333333"/>
        <rFont val="Trebuchet MS"/>
        <family val="2"/>
      </rPr>
      <t>ldhA</t>
    </r>
    <r>
      <rPr>
        <sz val="10"/>
        <color rgb="FF333333"/>
        <rFont val="Trebuchet MS"/>
        <family val="2"/>
      </rPr>
      <t> gene is a frequent target for mutations in metabolic engineering, most often to eliminate production of undesirable fermentation side products, but also to specifically produce D-lactate, e.g. [Mazumdar10].</t>
    </r>
  </si>
  <si>
    <t>Citations: [Clark89, Yang99a, Yang01a, Kabir03, Lara06, Matsuoka14]</t>
  </si>
  <si>
    <r>
      <t>AdhE is a homopolymeric protein with three Fe</t>
    </r>
    <r>
      <rPr>
        <vertAlign val="superscript"/>
        <sz val="10"/>
        <color rgb="FF333333"/>
        <rFont val="Trebuchet MS"/>
        <family val="2"/>
      </rPr>
      <t>2+</t>
    </r>
    <r>
      <rPr>
        <sz val="10"/>
        <color rgb="FF333333"/>
        <rFont val="Trebuchet MS"/>
        <family val="2"/>
      </rPr>
      <t>-dependent catalytic functions: alcohol dehydrogenase, coenzyme A-dependent acetaldehyde dehydrogenase, and pyruvate formate-lyase deactivase. However, the existence of the pyruvate formate-lyase deactivase activity of AdhE described by [Kessler91, Kessler92] has been questioned. [Nnyepi07] were unable to reproduce the AdhE deactivase activity and they noted that small molecule thiols can effect deactivation. The homopolymeric structure of AdhE is unusual in that 20-60 subunits are helically arranged to form rod-like ultrastructures [Kessler92].</t>
    </r>
  </si>
  <si>
    <r>
      <t>Under fermentative conditions AdhE catalyzes the reduction of acetyl-CoA to acetaldehyde and the latter compound to ethanol (see pathway mixed acid fermentation). Aerobically, in the reverse direction, AdhE can catalyze the oxidation of acetaldehyde to acetyl-CoA (see pathways ethanol degradation I and L-threonine degradation IV). Although </t>
    </r>
    <r>
      <rPr>
        <i/>
        <sz val="10"/>
        <color rgb="FF333333"/>
        <rFont val="Trebuchet MS"/>
        <family val="2"/>
      </rPr>
      <t>E. coli</t>
    </r>
    <r>
      <rPr>
        <sz val="10"/>
        <color rgb="FF333333"/>
        <rFont val="Trebuchet MS"/>
        <family val="2"/>
      </rPr>
      <t> cannot grow aerobically using ethanol as sole carbon and energy source due to the low transcription rate of AdhE and its sensitivity to metal ion-catalyzed oxidation, mutants can be selected that have the ability to grow on ethanol [MembrilloHernan00].</t>
    </r>
  </si>
  <si>
    <r>
      <t>Expression of </t>
    </r>
    <r>
      <rPr>
        <i/>
        <sz val="10"/>
        <color rgb="FF333333"/>
        <rFont val="Trebuchet MS"/>
        <family val="2"/>
      </rPr>
      <t>adhE</t>
    </r>
    <r>
      <rPr>
        <sz val="10"/>
        <color rgb="FF333333"/>
        <rFont val="Trebuchet MS"/>
        <family val="2"/>
      </rPr>
      <t> appears to be regulated at the transcriptional [Chen91a, Leonardo96, Mikulskis97] and translational [Aristarkhov96, Kaga02] levels, and possibly at the posttranslational level [HollandStaley00]. Expression of </t>
    </r>
    <r>
      <rPr>
        <i/>
        <sz val="10"/>
        <color rgb="FF333333"/>
        <rFont val="Trebuchet MS"/>
        <family val="2"/>
      </rPr>
      <t>adhE</t>
    </r>
    <r>
      <rPr>
        <sz val="10"/>
        <color rgb="FF333333"/>
        <rFont val="Trebuchet MS"/>
        <family val="2"/>
      </rPr>
      <t> is approximately 10-fold higher during anaerobic growth than during aerobic growth [MembrilloHernan99]. Its aerobic role is uncertain, but it may protect against oxidative stress [Echave03]. Under aerobic conditions AdhE may be protected against thermal and oxidative inactivation by the heat shock proteins IbpA and IbpB [Matuszewska09].</t>
    </r>
  </si>
  <si>
    <r>
      <t>The AdhE from </t>
    </r>
    <r>
      <rPr>
        <i/>
        <sz val="10"/>
        <color rgb="FF333333"/>
        <rFont val="Trebuchet MS"/>
        <family val="2"/>
      </rPr>
      <t>E. coli</t>
    </r>
    <r>
      <rPr>
        <sz val="10"/>
        <color rgb="FF333333"/>
        <rFont val="Trebuchet MS"/>
        <family val="2"/>
      </rPr>
      <t> B was partially purified and characterized in early work [Rudolph68]. It was later purified to homogeneity from </t>
    </r>
    <r>
      <rPr>
        <i/>
        <sz val="10"/>
        <color rgb="FF333333"/>
        <rFont val="Trebuchet MS"/>
        <family val="2"/>
      </rPr>
      <t>E. coli</t>
    </r>
    <r>
      <rPr>
        <sz val="10"/>
        <color rgb="FF333333"/>
        <rFont val="Trebuchet MS"/>
        <family val="2"/>
      </rPr>
      <t> B and its coenzyme A-linked aldehyde dehydrogenase activity was subjected to detailed kinetic analysis. A bi-uni-uni-uni ping-pong mechanism was proposed [Shone81]. AdhE from </t>
    </r>
    <r>
      <rPr>
        <i/>
        <sz val="10"/>
        <color rgb="FF333333"/>
        <rFont val="Trebuchet MS"/>
        <family val="2"/>
      </rPr>
      <t>Salmonella enterica</t>
    </r>
    <r>
      <rPr>
        <sz val="10"/>
        <color rgb="FF333333"/>
        <rFont val="Trebuchet MS"/>
        <family val="2"/>
      </rPr>
      <t> subsp. </t>
    </r>
    <r>
      <rPr>
        <i/>
        <sz val="10"/>
        <color rgb="FF333333"/>
        <rFont val="Trebuchet MS"/>
        <family val="2"/>
      </rPr>
      <t>enterica</t>
    </r>
    <r>
      <rPr>
        <sz val="10"/>
        <color rgb="FF333333"/>
        <rFont val="Trebuchet MS"/>
        <family val="2"/>
      </rPr>
      <t> serovar Typhimurium showed 70% amino acid sequence identity to that of </t>
    </r>
    <r>
      <rPr>
        <i/>
        <sz val="10"/>
        <color rgb="FF333333"/>
        <rFont val="Trebuchet MS"/>
        <family val="2"/>
      </rPr>
      <t>E. coli</t>
    </r>
    <r>
      <rPr>
        <sz val="10"/>
        <color rgb="FF333333"/>
        <rFont val="Trebuchet MS"/>
        <family val="2"/>
      </rPr>
      <t>. It had a lower </t>
    </r>
    <r>
      <rPr>
        <i/>
        <sz val="10"/>
        <color rgb="FF333333"/>
        <rFont val="Trebuchet MS"/>
        <family val="2"/>
      </rPr>
      <t>K</t>
    </r>
    <r>
      <rPr>
        <vertAlign val="subscript"/>
        <sz val="10"/>
        <color rgb="FF333333"/>
        <rFont val="Trebuchet MS"/>
        <family val="2"/>
      </rPr>
      <t>m</t>
    </r>
    <r>
      <rPr>
        <sz val="10"/>
        <color rgb="FF333333"/>
        <rFont val="Trebuchet MS"/>
        <family val="2"/>
      </rPr>
      <t> for alcohol substrates and some differences in substrate specificity as compared to the </t>
    </r>
    <r>
      <rPr>
        <i/>
        <sz val="10"/>
        <color rgb="FF333333"/>
        <rFont val="Trebuchet MS"/>
        <family val="2"/>
      </rPr>
      <t>E. coli</t>
    </r>
    <r>
      <rPr>
        <sz val="10"/>
        <color rgb="FF333333"/>
        <rFont val="Trebuchet MS"/>
        <family val="2"/>
      </rPr>
      <t> enzyme [Dailly00].</t>
    </r>
  </si>
  <si>
    <r>
      <t>In the metabolic engineering field, deletion of </t>
    </r>
    <r>
      <rPr>
        <i/>
        <sz val="10"/>
        <color rgb="FF333333"/>
        <rFont val="Trebuchet MS"/>
        <family val="2"/>
      </rPr>
      <t>adhE</t>
    </r>
    <r>
      <rPr>
        <sz val="10"/>
        <color rgb="FF333333"/>
        <rFont val="Trebuchet MS"/>
        <family val="2"/>
      </rPr>
      <t> is a determinant in the production of compounds such as succinate [Singh11], D-lactate [Zhou11], and polyhydroxyalkanoates [Jian10].</t>
    </r>
  </si>
  <si>
    <t>Reviews: [Knappe90, Clark89]</t>
  </si>
  <si>
    <t>Gene Citations: [Goodlove89, Leonardo93, MembrilloHernan99a]</t>
  </si>
  <si>
    <r>
      <t>Under anaerobic conditions, pyruvate formate-lyase activating enzyme (PflA, PFL-AE) activates PflB by generating an essential glycyl radical within the enzyme [Knappe69, Conradt84]. PFL-AE belongs to the radical SAM superfamily of proteins [Sofia01, Nicolet04]. The enzyme is also capable of activating the </t>
    </r>
    <r>
      <rPr>
        <i/>
        <sz val="10"/>
        <color rgb="FF333333"/>
        <rFont val="Trebuchet MS"/>
        <family val="2"/>
      </rPr>
      <t>tdcE</t>
    </r>
    <r>
      <rPr>
        <sz val="10"/>
        <color rgb="FF333333"/>
        <rFont val="Trebuchet MS"/>
        <family val="2"/>
      </rPr>
      <t>-encoded 2-ketobutyrate formate-lyase / pyruvate formate-lyase 4 [Hesslinger98] and stress-induced alternate pyruvate formate-lyase subunit [Wagner01].</t>
    </r>
  </si>
  <si>
    <r>
      <t>PFL-AE uses S-adenosylmethionine (SAM) and reduced flavodoxin as co-substrates to produce the glycyl radical, generating 5'-deoxyadenosine and methionine as side products. The pro-</t>
    </r>
    <r>
      <rPr>
        <i/>
        <sz val="10"/>
        <color rgb="FF333333"/>
        <rFont val="Trebuchet MS"/>
        <family val="2"/>
      </rPr>
      <t>S</t>
    </r>
    <r>
      <rPr>
        <sz val="10"/>
        <color rgb="FF333333"/>
        <rFont val="Trebuchet MS"/>
        <family val="2"/>
      </rPr>
      <t> hydrogen from Gly734 in pyruvate formate-lyase is abstracted by the 5'-deoxyadenosyl radical in the active site of PFL-AE and incorporated into 5'-deoxyadenosine [Frey94, Wagner99]. The interaction of the enzyme with SAM and the mechanism of radical generation has been investigated [Cosper03]. A redox-interconvertible [4Fe-4S] cluster is essential for interaction with S-adenosylmethionine [Kulzer98, Broderick00]. PFL-AE undergoes cluster interconversions </t>
    </r>
    <r>
      <rPr>
        <i/>
        <sz val="10"/>
        <color rgb="FF333333"/>
        <rFont val="Trebuchet MS"/>
        <family val="2"/>
      </rPr>
      <t>in vivo</t>
    </r>
    <r>
      <rPr>
        <sz val="10"/>
        <color rgb="FF333333"/>
        <rFont val="Trebuchet MS"/>
        <family val="2"/>
      </rPr>
      <t> in response to the redox state of the cell [Yang09a]. Site-directed mutagenesis of cysteine residues showed that Cys29, 33 and 36 are required for catalytic activity [Kulzer98]. Pyruvate or oxamate are required for optimal PFL activation [Crain14].</t>
    </r>
  </si>
  <si>
    <t>Crystal structures of the substrate-free and 7-mer substrate peptide-bound forms have been solved. PFL-AE undergoes a conformational change upon substrate binding [Vey08]. The conformational change is rate limiting for the interaction between PFL-AE and PFL [Crain14].</t>
  </si>
  <si>
    <r>
      <t>PflA expression is not significantly induced by anaerobiosis [Rodel88, Sauter90]. The fermentation products of a </t>
    </r>
    <r>
      <rPr>
        <i/>
        <sz val="10"/>
        <color rgb="FF333333"/>
        <rFont val="Trebuchet MS"/>
        <family val="2"/>
      </rPr>
      <t>pflA</t>
    </r>
    <r>
      <rPr>
        <sz val="10"/>
        <color rgb="FF333333"/>
        <rFont val="Trebuchet MS"/>
        <family val="2"/>
      </rPr>
      <t> mutant have been measured with different carbon sources and under aerobic and microaerobic conditions [Zhu04a].</t>
    </r>
  </si>
  <si>
    <r>
      <t>Act: "pyruvate formate-lyase </t>
    </r>
    <r>
      <rPr>
        <b/>
        <sz val="10"/>
        <color rgb="FF333333"/>
        <rFont val="Trebuchet MS"/>
        <family val="2"/>
      </rPr>
      <t>act</t>
    </r>
    <r>
      <rPr>
        <sz val="10"/>
        <color rgb="FF333333"/>
        <rFont val="Trebuchet MS"/>
        <family val="2"/>
      </rPr>
      <t>ivating enzyme"</t>
    </r>
  </si>
  <si>
    <r>
      <t>PflA: "</t>
    </r>
    <r>
      <rPr>
        <b/>
        <sz val="10"/>
        <color rgb="FF333333"/>
        <rFont val="Trebuchet MS"/>
        <family val="2"/>
      </rPr>
      <t>p</t>
    </r>
    <r>
      <rPr>
        <sz val="10"/>
        <color rgb="FF333333"/>
        <rFont val="Trebuchet MS"/>
        <family val="2"/>
      </rPr>
      <t>yruvate </t>
    </r>
    <r>
      <rPr>
        <b/>
        <sz val="10"/>
        <color rgb="FF333333"/>
        <rFont val="Trebuchet MS"/>
        <family val="2"/>
      </rPr>
      <t>f</t>
    </r>
    <r>
      <rPr>
        <sz val="10"/>
        <color rgb="FF333333"/>
        <rFont val="Trebuchet MS"/>
        <family val="2"/>
      </rPr>
      <t>ormate-</t>
    </r>
    <r>
      <rPr>
        <b/>
        <sz val="10"/>
        <color rgb="FF333333"/>
        <rFont val="Trebuchet MS"/>
        <family val="2"/>
      </rPr>
      <t>l</t>
    </r>
    <r>
      <rPr>
        <sz val="10"/>
        <color rgb="FF333333"/>
        <rFont val="Trebuchet MS"/>
        <family val="2"/>
      </rPr>
      <t>yase </t>
    </r>
    <r>
      <rPr>
        <b/>
        <sz val="10"/>
        <color rgb="FF333333"/>
        <rFont val="Trebuchet MS"/>
        <family val="2"/>
      </rPr>
      <t>a</t>
    </r>
    <r>
      <rPr>
        <sz val="10"/>
        <color rgb="FF333333"/>
        <rFont val="Trebuchet MS"/>
        <family val="2"/>
      </rPr>
      <t>ctivating enzyme"</t>
    </r>
  </si>
  <si>
    <t>Reviews: [Matsuoka14, Sawers98a, Knappe90]</t>
  </si>
  <si>
    <t>Citations: [Knappe76, Knappe84, Zhu05, Hasan08, Mugabi12, Marzan13]</t>
  </si>
  <si>
    <t>tdhE</t>
  </si>
  <si>
    <r>
      <t>The </t>
    </r>
    <r>
      <rPr>
        <i/>
        <sz val="10"/>
        <color rgb="FF333333"/>
        <rFont val="Trebuchet MS"/>
        <family val="2"/>
      </rPr>
      <t>tdcE</t>
    </r>
    <r>
      <rPr>
        <sz val="10"/>
        <color rgb="FF333333"/>
        <rFont val="Trebuchet MS"/>
        <family val="2"/>
      </rPr>
      <t> gene encodes a protein with both 2-ketobutyrate formate-lyase and pyruvate formate-lyase activities that is equally active with both substrates. TdcE is a glycyl radical enzyme, and its activity is dependent on the same pyruvate formate-lyase activating enzyme that is associated with the </t>
    </r>
    <r>
      <rPr>
        <i/>
        <sz val="10"/>
        <color rgb="FF333333"/>
        <rFont val="Trebuchet MS"/>
        <family val="2"/>
      </rPr>
      <t>pflB</t>
    </r>
    <r>
      <rPr>
        <sz val="10"/>
        <color rgb="FF333333"/>
        <rFont val="Trebuchet MS"/>
        <family val="2"/>
      </rPr>
      <t>-encoded pyruvate formate-lyase [Hesslinger98, Sawers98].</t>
    </r>
  </si>
  <si>
    <t>not expressed aerobically</t>
  </si>
  <si>
    <t>The 2-ketobutyrate formate-lyase (KFL) activity is part of an anaerobic pathway for degradation of L-threonine [Hesslinger98].</t>
  </si>
  <si>
    <r>
      <t>Overexpression of </t>
    </r>
    <r>
      <rPr>
        <i/>
        <sz val="10"/>
        <color rgb="FF333333"/>
        <rFont val="Trebuchet MS"/>
        <family val="2"/>
      </rPr>
      <t>tdcE</t>
    </r>
    <r>
      <rPr>
        <sz val="10"/>
        <color rgb="FF333333"/>
        <rFont val="Trebuchet MS"/>
        <family val="2"/>
      </rPr>
      <t> can partially complement the growth defect of a </t>
    </r>
    <r>
      <rPr>
        <i/>
        <sz val="10"/>
        <color rgb="FF333333"/>
        <rFont val="Trebuchet MS"/>
        <family val="2"/>
      </rPr>
      <t>pflB</t>
    </r>
    <r>
      <rPr>
        <sz val="10"/>
        <color rgb="FF333333"/>
        <rFont val="Trebuchet MS"/>
        <family val="2"/>
      </rPr>
      <t> mutant under conditions of anaerobic growth on glucose [Hesslinger98]. Expression of the </t>
    </r>
    <r>
      <rPr>
        <i/>
        <sz val="10"/>
        <color rgb="FF333333"/>
        <rFont val="Trebuchet MS"/>
        <family val="2"/>
      </rPr>
      <t>tdcABCDEFG</t>
    </r>
    <r>
      <rPr>
        <sz val="10"/>
        <color rgb="FF333333"/>
        <rFont val="Trebuchet MS"/>
        <family val="2"/>
      </rPr>
      <t> operon is normally under catabolite repression and induced under anaerobic growth conditions in the presence of L-threonine [Hesslinger98].</t>
    </r>
  </si>
  <si>
    <r>
      <t>A </t>
    </r>
    <r>
      <rPr>
        <i/>
        <sz val="10"/>
        <color rgb="FF333333"/>
        <rFont val="Trebuchet MS"/>
        <family val="2"/>
      </rPr>
      <t>tdcE</t>
    </r>
    <r>
      <rPr>
        <sz val="10"/>
        <color rgb="FF333333"/>
        <rFont val="Trebuchet MS"/>
        <family val="2"/>
      </rPr>
      <t> deletion mutant does not have an obvious growth defect [Hesslinger98]; later it was shown that a transposon insertion in </t>
    </r>
    <r>
      <rPr>
        <i/>
        <sz val="10"/>
        <color rgb="FF333333"/>
        <rFont val="Trebuchet MS"/>
        <family val="2"/>
      </rPr>
      <t>tdcE</t>
    </r>
    <r>
      <rPr>
        <sz val="10"/>
        <color rgb="FF333333"/>
        <rFont val="Trebuchet MS"/>
        <family val="2"/>
      </rPr>
      <t> leads to constitutive SOS expression [OReilly04].</t>
    </r>
  </si>
  <si>
    <t>TdcE showes 79% identity and 89% overall similarity to PflB over the entire amino acid sequence, although TdcE has an N-terminal extension of four amino acids [Hesslinger98].</t>
  </si>
  <si>
    <t>Review: [Simanshu07]</t>
  </si>
  <si>
    <t>Gene Citations: [Hagewood94, Sawers01]</t>
  </si>
  <si>
    <t>Phosphate acetyltransferase (Pta) catalyzes the reversible conversion between acetyl-CoA and acetylphosphate, a step in the metabolism of acetate. Both pyruvate and phosphoenolpyruvate activate the enzyme in the direction of acetylphosphate synthesis and inhibit the enzyme in the direction of acetyl-CoA synthesis [CamposBermudez10]. The acetate formation from acetyl-CoA I pathway has been the target of metabolic engineering to reduce the flux to acetate and increase the production of commercially desired end products; see, for example, [Dittrich05, De07, Shams08, Singh11]. It has also been studied using systems biology approaches such as metabolic modeling and flux balance analysis; see, for example, [Fong06, Young08, Valgepea10].</t>
  </si>
  <si>
    <t>Pta is composed of three domains; only the C-terminal domain is required for phosphate acetyltransferase activity. The N-terminal domain is involved in stabilization of the native quarternary structure and metabolic regulation [CamposBermudez10].</t>
  </si>
  <si>
    <r>
      <t>Pta may be able to utilize both acetyl-CoA and propionyl-CoA. An </t>
    </r>
    <r>
      <rPr>
        <i/>
        <sz val="10"/>
        <color rgb="FF333333"/>
        <rFont val="Trebuchet MS"/>
        <family val="2"/>
      </rPr>
      <t>ack pta</t>
    </r>
    <r>
      <rPr>
        <sz val="10"/>
        <color rgb="FF333333"/>
        <rFont val="Trebuchet MS"/>
        <family val="2"/>
      </rPr>
      <t> double mutant has reduced levels of propionate from L-threonine, suggesting that the enzyme is part of the anaerobic pathway metabolizing L-threonine to propionate [Hesslinger98] (see L-threonine degradation I).</t>
    </r>
  </si>
  <si>
    <r>
      <t>A </t>
    </r>
    <r>
      <rPr>
        <i/>
        <sz val="10"/>
        <color rgb="FF333333"/>
        <rFont val="Trebuchet MS"/>
        <family val="2"/>
      </rPr>
      <t>pta</t>
    </r>
    <r>
      <rPr>
        <sz val="10"/>
        <color rgb="FF333333"/>
        <rFont val="Trebuchet MS"/>
        <family val="2"/>
      </rPr>
      <t> mutant does not grow on acetate as the sole source of carbon [Brown77]. Both </t>
    </r>
    <r>
      <rPr>
        <i/>
        <sz val="10"/>
        <color rgb="FF333333"/>
        <rFont val="Trebuchet MS"/>
        <family val="2"/>
      </rPr>
      <t>pta</t>
    </r>
    <r>
      <rPr>
        <sz val="10"/>
        <color rgb="FF333333"/>
        <rFont val="Trebuchet MS"/>
        <family val="2"/>
      </rPr>
      <t> and </t>
    </r>
    <r>
      <rPr>
        <i/>
        <sz val="10"/>
        <color rgb="FF333333"/>
        <rFont val="Trebuchet MS"/>
        <family val="2"/>
      </rPr>
      <t>pta ackA</t>
    </r>
    <r>
      <rPr>
        <sz val="10"/>
        <color rgb="FF333333"/>
        <rFont val="Trebuchet MS"/>
        <family val="2"/>
      </rPr>
      <t> mutants are impaired in their ability to survive glucose starvation [Nystrom94]. The growth defect of a </t>
    </r>
    <r>
      <rPr>
        <i/>
        <sz val="10"/>
        <color rgb="FF333333"/>
        <rFont val="Trebuchet MS"/>
        <family val="2"/>
      </rPr>
      <t>pta</t>
    </r>
    <r>
      <rPr>
        <sz val="10"/>
        <color rgb="FF333333"/>
        <rFont val="Trebuchet MS"/>
        <family val="2"/>
      </rPr>
      <t> mutant appears to be due to perturbation of acetyl-CoA flux [Chang99]. </t>
    </r>
    <r>
      <rPr>
        <i/>
        <sz val="10"/>
        <color rgb="FF333333"/>
        <rFont val="Trebuchet MS"/>
        <family val="2"/>
      </rPr>
      <t>pta</t>
    </r>
    <r>
      <rPr>
        <sz val="10"/>
        <color rgb="FF333333"/>
        <rFont val="Trebuchet MS"/>
        <family val="2"/>
      </rPr>
      <t> mutants produce large amounts of lactate when grown on glucose as the carbon source under microaerophilic conditions [Zhu05]. The effect of a </t>
    </r>
    <r>
      <rPr>
        <i/>
        <sz val="10"/>
        <color rgb="FF333333"/>
        <rFont val="Trebuchet MS"/>
        <family val="2"/>
      </rPr>
      <t>pta</t>
    </r>
    <r>
      <rPr>
        <sz val="10"/>
        <color rgb="FF333333"/>
        <rFont val="Trebuchet MS"/>
        <family val="2"/>
      </rPr>
      <t> mutation on metabolism, enzyme activity and gene expression has been thoroughly studied recently [CastanoCerezo09]. </t>
    </r>
    <r>
      <rPr>
        <i/>
        <sz val="10"/>
        <color rgb="FF333333"/>
        <rFont val="Trebuchet MS"/>
        <family val="2"/>
      </rPr>
      <t>pta</t>
    </r>
    <r>
      <rPr>
        <sz val="10"/>
        <color rgb="FF333333"/>
        <rFont val="Trebuchet MS"/>
        <family val="2"/>
      </rPr>
      <t> and </t>
    </r>
    <r>
      <rPr>
        <i/>
        <sz val="10"/>
        <color rgb="FF333333"/>
        <rFont val="Trebuchet MS"/>
        <family val="2"/>
      </rPr>
      <t>recBC</t>
    </r>
    <r>
      <rPr>
        <sz val="10"/>
        <color rgb="FF333333"/>
        <rFont val="Trebuchet MS"/>
        <family val="2"/>
      </rPr>
      <t> mutants are synthetically growth inhibited [Shi05].</t>
    </r>
  </si>
  <si>
    <r>
      <t>Levels of Pta are decreased by growth on acetate [Kirkpatrick01] and under low pH conditions [Stancik02]. </t>
    </r>
    <r>
      <rPr>
        <i/>
        <sz val="10"/>
        <color rgb="FF333333"/>
        <rFont val="Trebuchet MS"/>
        <family val="2"/>
      </rPr>
      <t>pta</t>
    </r>
    <r>
      <rPr>
        <sz val="10"/>
        <color rgb="FF333333"/>
        <rFont val="Trebuchet MS"/>
        <family val="2"/>
      </rPr>
      <t> belongs to the CreBC regulon [Avison01]. FNR has a slightly positive effect on </t>
    </r>
    <r>
      <rPr>
        <i/>
        <sz val="10"/>
        <color rgb="FF333333"/>
        <rFont val="Trebuchet MS"/>
        <family val="2"/>
      </rPr>
      <t>pta</t>
    </r>
    <r>
      <rPr>
        <sz val="10"/>
        <color rgb="FF333333"/>
        <rFont val="Trebuchet MS"/>
        <family val="2"/>
      </rPr>
      <t> expression [ShalelLevanon05]. The growth-rate dependent expression pattern of </t>
    </r>
    <r>
      <rPr>
        <i/>
        <sz val="10"/>
        <color rgb="FF333333"/>
        <rFont val="Trebuchet MS"/>
        <family val="2"/>
      </rPr>
      <t>pta-ackA</t>
    </r>
    <r>
      <rPr>
        <sz val="10"/>
        <color rgb="FF333333"/>
        <rFont val="Trebuchet MS"/>
        <family val="2"/>
      </rPr>
      <t> was measured [Nahku10].</t>
    </r>
  </si>
  <si>
    <t>Pta: "phosphotransacetylase" [Brown77]</t>
  </si>
  <si>
    <t>Reviews: [ElMansi06, Wolfe05]</t>
  </si>
  <si>
    <r>
      <t>AckA has propionate kinase activity as well as acetate kinase activity. The </t>
    </r>
    <r>
      <rPr>
        <i/>
        <sz val="10"/>
        <color rgb="FF333333"/>
        <rFont val="Trebuchet MS"/>
        <family val="2"/>
      </rPr>
      <t>ackA</t>
    </r>
    <r>
      <rPr>
        <sz val="10"/>
        <color rgb="FF333333"/>
        <rFont val="Trebuchet MS"/>
        <family val="2"/>
      </rPr>
      <t>-encoded propionate kinase 2 has an important role in propionyl-CoA metabolism [Hesslinger98]. Acetate kinase can also catalyze acetylation of CheY, increasing signal strength for flagellar rotation [Ramakrishnan98, Barak98].</t>
    </r>
  </si>
  <si>
    <t>(no info on ackB)</t>
  </si>
  <si>
    <r>
      <t>A second gene encoding acetate kinase, </t>
    </r>
    <r>
      <rPr>
        <i/>
        <sz val="10"/>
        <color rgb="FF333333"/>
        <rFont val="Trebuchet MS"/>
        <family val="2"/>
      </rPr>
      <t>ackB</t>
    </r>
    <r>
      <rPr>
        <sz val="10"/>
        <color rgb="FF333333"/>
        <rFont val="Trebuchet MS"/>
        <family val="2"/>
      </rPr>
      <t>, was thought to exist [Pascal81].</t>
    </r>
  </si>
  <si>
    <t>Transcription of ackA is induced by the CreBC two-component system by minimal media growth conditions [Avison01].</t>
  </si>
  <si>
    <r>
      <t>E. coli</t>
    </r>
    <r>
      <rPr>
        <sz val="10"/>
        <color rgb="FF333333"/>
        <rFont val="Trebuchet MS"/>
        <family val="2"/>
      </rPr>
      <t> double mutants deficient in AckA and Pta activity, or AckA and TdcD activity, were unable to metabolize threonine to propionate. This suggested the participation of this enzyme in pathway L-threonine degradation I. An </t>
    </r>
    <r>
      <rPr>
        <i/>
        <sz val="10"/>
        <color rgb="FF333333"/>
        <rFont val="Trebuchet MS"/>
        <family val="2"/>
      </rPr>
      <t>ackA</t>
    </r>
    <r>
      <rPr>
        <sz val="10"/>
        <color rgb="FF333333"/>
        <rFont val="Trebuchet MS"/>
        <family val="2"/>
      </rPr>
      <t>mutant showed a significant reduction in the conversion of threonine to propionate, as well as a 75% reduction in acetate production [Hesslinger98].</t>
    </r>
  </si>
  <si>
    <r>
      <t>In </t>
    </r>
    <r>
      <rPr>
        <i/>
        <sz val="10"/>
        <color rgb="FF333333"/>
        <rFont val="Trebuchet MS"/>
        <family val="2"/>
      </rPr>
      <t>E. coli</t>
    </r>
    <r>
      <rPr>
        <sz val="10"/>
        <color rgb="FF333333"/>
        <rFont val="Trebuchet MS"/>
        <family val="2"/>
      </rPr>
      <t> acetylphosphate formation via the products of </t>
    </r>
    <r>
      <rPr>
        <i/>
        <sz val="10"/>
        <color rgb="FF333333"/>
        <rFont val="Trebuchet MS"/>
        <family val="2"/>
      </rPr>
      <t>pta</t>
    </r>
    <r>
      <rPr>
        <sz val="10"/>
        <color rgb="FF333333"/>
        <rFont val="Trebuchet MS"/>
        <family val="2"/>
      </rPr>
      <t> and </t>
    </r>
    <r>
      <rPr>
        <i/>
        <sz val="10"/>
        <color rgb="FF333333"/>
        <rFont val="Trebuchet MS"/>
        <family val="2"/>
      </rPr>
      <t>ackA</t>
    </r>
    <r>
      <rPr>
        <sz val="10"/>
        <color rgb="FF333333"/>
        <rFont val="Trebuchet MS"/>
        <family val="2"/>
      </rPr>
      <t> (as in pathway acetate formation from acetyl-CoA I) is the only source of this key metabolite. Acetylphosphate is involved in many cellular processes including the protein quality control system [Mizrahi06, Mizrahi09] and it acts as a global signal regulator [Klein07].</t>
    </r>
  </si>
  <si>
    <r>
      <t>An </t>
    </r>
    <r>
      <rPr>
        <i/>
        <sz val="10"/>
        <color rgb="FF333333"/>
        <rFont val="Trebuchet MS"/>
        <family val="2"/>
      </rPr>
      <t>ackA</t>
    </r>
    <r>
      <rPr>
        <sz val="10"/>
        <color rgb="FF333333"/>
        <rFont val="Trebuchet MS"/>
        <family val="2"/>
      </rPr>
      <t>-negative mutant was unable to utilize xylose in minimal medium under anaerobic conditions. This suggested that ATP generated from the conversion of acetylphosphate to acetate is necessary for growth under these conditions [Hasona04]. In other metabolic engineering studies, </t>
    </r>
    <r>
      <rPr>
        <i/>
        <sz val="10"/>
        <color rgb="FF333333"/>
        <rFont val="Trebuchet MS"/>
        <family val="2"/>
      </rPr>
      <t>pta</t>
    </r>
    <r>
      <rPr>
        <sz val="10"/>
        <color rgb="FF333333"/>
        <rFont val="Trebuchet MS"/>
        <family val="2"/>
      </rPr>
      <t> and </t>
    </r>
    <r>
      <rPr>
        <i/>
        <sz val="10"/>
        <color rgb="FF333333"/>
        <rFont val="Trebuchet MS"/>
        <family val="2"/>
      </rPr>
      <t>ackA</t>
    </r>
    <r>
      <rPr>
        <sz val="10"/>
        <color rgb="FF333333"/>
        <rFont val="Trebuchet MS"/>
        <family val="2"/>
      </rPr>
      <t> negative mutants were used to conserve acetyl-CoA for succinate production in </t>
    </r>
    <r>
      <rPr>
        <i/>
        <sz val="10"/>
        <color rgb="FF333333"/>
        <rFont val="Trebuchet MS"/>
        <family val="2"/>
      </rPr>
      <t>E. coli</t>
    </r>
    <r>
      <rPr>
        <sz val="10"/>
        <color rgb="FF333333"/>
        <rFont val="Trebuchet MS"/>
        <family val="2"/>
      </rPr>
      <t> [Sanchez05]. Differences in acetate production among </t>
    </r>
    <r>
      <rPr>
        <i/>
        <sz val="10"/>
        <color rgb="FF333333"/>
        <rFont val="Trebuchet MS"/>
        <family val="2"/>
      </rPr>
      <t>E. coli</t>
    </r>
    <r>
      <rPr>
        <sz val="10"/>
        <color rgb="FF333333"/>
        <rFont val="Trebuchet MS"/>
        <family val="2"/>
      </rPr>
      <t> strains have been described [Phue10].</t>
    </r>
  </si>
  <si>
    <t>Reviews: [Wolfe05, De07]</t>
  </si>
  <si>
    <t>Gene Citations: [Matsuyama89, Kakuda94, Pruss94]</t>
  </si>
  <si>
    <t>ackB is a phantom gene, meaning that previously it was thought to be a gene, but more recent analyses indicate it is not a gene.</t>
  </si>
  <si>
    <r>
      <t>Acetyl-CoA synthetase (Acs) activates acetate to acetyl-CoA in an ATP-dependent manner [Brown77, Kumari95]. Acs activity constitutes one of two distinct pathways by which </t>
    </r>
    <r>
      <rPr>
        <i/>
        <sz val="10"/>
        <color rgb="FF333333"/>
        <rFont val="Trebuchet MS"/>
        <family val="2"/>
      </rPr>
      <t>E. coli</t>
    </r>
    <r>
      <rPr>
        <sz val="10"/>
        <color rgb="FF333333"/>
        <rFont val="Trebuchet MS"/>
        <family val="2"/>
      </rPr>
      <t> activates acetate to acetyl-CoA. The Acs pathway (acetate conversion to acetyl-CoA) functions in a mainly anabolic role, scavenging acetate present in the extracellular medium. Induction of </t>
    </r>
    <r>
      <rPr>
        <i/>
        <sz val="10"/>
        <color rgb="FF333333"/>
        <rFont val="Trebuchet MS"/>
        <family val="2"/>
      </rPr>
      <t>acs</t>
    </r>
    <r>
      <rPr>
        <sz val="10"/>
        <color rgb="FF333333"/>
        <rFont val="Trebuchet MS"/>
        <family val="2"/>
      </rPr>
      <t> expression functions as the metabolic switch activating this pathway [Kumari00,Valgepea10].</t>
    </r>
  </si>
  <si>
    <t>Genetic interactions suggest that Acs is acetylated and thereby inactivated through the action of peptidyl-lysine acetyltransferase, and that CobB catalyzes deacetylation of Acs [CastanoCerezo11].</t>
  </si>
  <si>
    <r>
      <t>Acs was thought to be involved in acetylation of CheY [Wolfe88, Barak92, Barak98, Ramakrishnan98, Barak01, Barak04]. Acetylation of CheY by Acs </t>
    </r>
    <r>
      <rPr>
        <i/>
        <sz val="10"/>
        <color rgb="FF333333"/>
        <rFont val="Trebuchet MS"/>
        <family val="2"/>
      </rPr>
      <t>in vitro</t>
    </r>
    <r>
      <rPr>
        <sz val="10"/>
        <color rgb="FF333333"/>
        <rFont val="Trebuchet MS"/>
        <family val="2"/>
      </rPr>
      <t> is reversible and cooperative, with a Hill coefcient of 3 [Barak04a]. However, acetylation of CheY </t>
    </r>
    <r>
      <rPr>
        <i/>
        <sz val="10"/>
        <color rgb="FF333333"/>
        <rFont val="Trebuchet MS"/>
        <family val="2"/>
      </rPr>
      <t>in vivo</t>
    </r>
    <r>
      <rPr>
        <sz val="10"/>
        <color rgb="FF333333"/>
        <rFont val="Trebuchet MS"/>
        <family val="2"/>
      </rPr>
      <t> is largely a result of autoacetylation [Yan08]. An </t>
    </r>
    <r>
      <rPr>
        <i/>
        <sz val="10"/>
        <color rgb="FF333333"/>
        <rFont val="Trebuchet MS"/>
        <family val="2"/>
      </rPr>
      <t>acs</t>
    </r>
    <r>
      <rPr>
        <sz val="10"/>
        <color rgb="FF333333"/>
        <rFont val="Trebuchet MS"/>
        <family val="2"/>
      </rPr>
      <t> mutant has a defect in chemotaxis [Barak01], which was not seen by [Li10].</t>
    </r>
  </si>
  <si>
    <t>Based on sequence similarity, Acs has been predicted to be a hydroxycinnamate-CoA ligase [Reed03].</t>
  </si>
  <si>
    <t>An acs mutant strain grows poorly on solid media with low concentrations of acetate as the sole source of carbon [Kumari95].</t>
  </si>
  <si>
    <r>
      <t>Acs activity is induced by growth on acetate [Brown77]. Gene expression is observed during growth on acetate or propionate [Brock02] and at stationary phase [Shin97, Kumari00a]. CsrA positively regulates Acs expression [Wei00]. In a long-term glucose-limited continuous culture experiment, mutants in the </t>
    </r>
    <r>
      <rPr>
        <i/>
        <sz val="10"/>
        <color rgb="FF333333"/>
        <rFont val="Trebuchet MS"/>
        <family val="2"/>
      </rPr>
      <t>acs</t>
    </r>
    <r>
      <rPr>
        <sz val="10"/>
        <color rgb="FF333333"/>
        <rFont val="Trebuchet MS"/>
        <family val="2"/>
      </rPr>
      <t> promoter region that overexpress Acs appeared [Treves98, Kinnersley09].</t>
    </r>
  </si>
  <si>
    <t>Citations: [Canovas03, Lin06, Veit07, Rahman08, CastanoCerezo09, Nahku10, Shin09, Gonidakis10, Gonidakis10a, Renilla12, MartinezGomez12]</t>
  </si>
  <si>
    <t>Gene Citations: [Gimenez03]</t>
  </si>
  <si>
    <r>
      <t>Pyruvate oxidase is a peripheral membrane enzyme that catalyzes the oxidative decarboxylation of pyruvate to form acetate and CO</t>
    </r>
    <r>
      <rPr>
        <vertAlign val="subscript"/>
        <sz val="10"/>
        <color rgb="FF333333"/>
        <rFont val="Trebuchet MS"/>
        <family val="2"/>
      </rPr>
      <t>2</t>
    </r>
    <r>
      <rPr>
        <sz val="10"/>
        <color rgb="FF333333"/>
        <rFont val="Trebuchet MS"/>
        <family val="2"/>
      </rPr>
      <t>. The reaction is coupled to the electron transport chain via ubiquinone.</t>
    </r>
  </si>
  <si>
    <t>(we don't have information</t>
  </si>
  <si>
    <t>Metabolism of pyruvate by pyruvate oxidase is less efficient than the route via pyruvate dehydrogenase (PDH); however, the pyruvate oxidase route is important for wild-type growth efficiency and responsible for a significant amount of pyruvate metabolism under aerobic conditions [AbdelHamid01, Vemuri05, Nahku10]. PoxB is the main pathway for acetate production in stationary phase [Dittrich05]. Under aerobic phosphate starvation conditions, metabolic flux is diverted from PDH to PoxB, which may decrease oxidative stress [Moreau04, Moreau07]. Modern systems biology approaches have been used to enable a more thorough understanding of the transition to overflow metabolism (excretion of acetate) [Nahku10, Valgepea10] and growth on glycerol as the carbon source [MartinezGomez12].</t>
  </si>
  <si>
    <t>on this flux, only mRNA)</t>
  </si>
  <si>
    <r>
      <t>Activation of the enzyme by phospholipids plays an essential role </t>
    </r>
    <r>
      <rPr>
        <i/>
        <sz val="10"/>
        <color rgb="FF333333"/>
        <rFont val="Trebuchet MS"/>
        <family val="2"/>
      </rPr>
      <t>in vivo</t>
    </r>
    <r>
      <rPr>
        <sz val="10"/>
        <color rgb="FF333333"/>
        <rFont val="Trebuchet MS"/>
        <family val="2"/>
      </rPr>
      <t> [Chang84, Grabau86]. The lipid binding site localizes to the C terminus of PoxB [Hamilton86]. The enzyme is a homotetramer. Multimerization does not appear to be necessary for enzyme activity [Wang91]; however, the domain that interacts with lipid appears to be formed by contribution from two subunits [Wang91, Chang95, Chang97a]. The presence of the substrate pyruvate and the TPP cofactor causes a conformational change in the C terminus, which goes from a solvent-inaccessible state in which the C termini within the tetramer do not interact with each other to a solvent-accessible state in which C termini are proximal [Chang95, Chang97a]. The active site residue V380 is an important determinant of substrate specificity [Chang00].</t>
    </r>
  </si>
  <si>
    <r>
      <t>Mutations of </t>
    </r>
    <r>
      <rPr>
        <i/>
        <sz val="10"/>
        <color rgb="FF333333"/>
        <rFont val="Trebuchet MS"/>
        <family val="2"/>
      </rPr>
      <t>poxB</t>
    </r>
    <r>
      <rPr>
        <sz val="10"/>
        <color rgb="FF333333"/>
        <rFont val="Trebuchet MS"/>
        <family val="2"/>
      </rPr>
      <t> that abolish pyruvate oxidase enzymatic activity were isolated by selecting for lack of growth in the absence of acetate in an </t>
    </r>
    <r>
      <rPr>
        <i/>
        <sz val="10"/>
        <color rgb="FF333333"/>
        <rFont val="Trebuchet MS"/>
        <family val="2"/>
      </rPr>
      <t>aceEF</t>
    </r>
    <r>
      <rPr>
        <sz val="10"/>
        <color rgb="FF333333"/>
        <rFont val="Trebuchet MS"/>
        <family val="2"/>
      </rPr>
      <t> mutant background [Chang83]. Limited proteolytic digestion of PoxB activates the enzyme by removing the C-terminal amphipathic α-peptide that may be responsible for interaction with membrane phospholipids [Recny85]. The </t>
    </r>
    <r>
      <rPr>
        <i/>
        <sz val="10"/>
        <color rgb="FF333333"/>
        <rFont val="Trebuchet MS"/>
        <family val="2"/>
      </rPr>
      <t>poxB3</t>
    </r>
    <r>
      <rPr>
        <sz val="10"/>
        <color rgb="FF333333"/>
        <rFont val="Trebuchet MS"/>
        <family val="2"/>
      </rPr>
      <t> mutant allele is altered in lipid binding and has 15% of wild type activity [Chang84]. Both the </t>
    </r>
    <r>
      <rPr>
        <i/>
        <sz val="10"/>
        <color rgb="FF333333"/>
        <rFont val="Trebuchet MS"/>
        <family val="2"/>
      </rPr>
      <t>poxB3</t>
    </r>
    <r>
      <rPr>
        <sz val="10"/>
        <color rgb="FF333333"/>
        <rFont val="Trebuchet MS"/>
        <family val="2"/>
      </rPr>
      <t> (P536S) and </t>
    </r>
    <r>
      <rPr>
        <i/>
        <sz val="10"/>
        <color rgb="FF333333"/>
        <rFont val="Trebuchet MS"/>
        <family val="2"/>
      </rPr>
      <t>poxB4</t>
    </r>
    <r>
      <rPr>
        <sz val="10"/>
        <color rgb="FF333333"/>
        <rFont val="Trebuchet MS"/>
        <family val="2"/>
      </rPr>
      <t> (A467T) alleles localize to the C-terminal domain [Chang86]. A mutant protein lacking the C-terminal 24 amino acids is active </t>
    </r>
    <r>
      <rPr>
        <i/>
        <sz val="10"/>
        <color rgb="FF333333"/>
        <rFont val="Trebuchet MS"/>
        <family val="2"/>
      </rPr>
      <t>in vitro</t>
    </r>
    <r>
      <rPr>
        <sz val="10"/>
        <color rgb="FF333333"/>
        <rFont val="Trebuchet MS"/>
        <family val="2"/>
      </rPr>
      <t>, but can not be activated by lipids and is not active </t>
    </r>
    <r>
      <rPr>
        <i/>
        <sz val="10"/>
        <color rgb="FF333333"/>
        <rFont val="Trebuchet MS"/>
        <family val="2"/>
      </rPr>
      <t>in vivo</t>
    </r>
    <r>
      <rPr>
        <sz val="10"/>
        <color rgb="FF333333"/>
        <rFont val="Trebuchet MS"/>
        <family val="2"/>
      </rPr>
      <t>[Grabau86]. The study of additional mutants has contributed to a detailed understanding of PoxB interaction with and activation by lipids [Grabau89, Chang97a].</t>
    </r>
  </si>
  <si>
    <t>Crystal structures of full-length PoxB and the proteolytically activated Δ23 protein have been solved at 2.9 and 2.5 Å resolution, showing that activation is the result of a conformational rearrangement that uncovers the active site [Weidner08, Neumann08].</t>
  </si>
  <si>
    <r>
      <t>PoxB is evolutionarily related to the large subunits of </t>
    </r>
    <r>
      <rPr>
        <i/>
        <sz val="10"/>
        <color rgb="FF333333"/>
        <rFont val="Trebuchet MS"/>
        <family val="2"/>
      </rPr>
      <t>E. coli</t>
    </r>
    <r>
      <rPr>
        <sz val="10"/>
        <color rgb="FF333333"/>
        <rFont val="Trebuchet MS"/>
        <family val="2"/>
      </rPr>
      <t> acetohydroxy acid synthases (AHAS) IlvB, IlvG, and IlvI [Grabau86a, Chang88, Green89] and glyoxylate carboligase [Chang93].</t>
    </r>
  </si>
  <si>
    <r>
      <t>Gene expression and/or protein abundance increases at stationary phase [Chang94], in response to the herbicide and acetolactate synthase inhibitor, sulfometuron methyl [Van98], in response to osmotic stress [Weber06], and during growth on glycerol compared to growth on glucose as the carbon source [MartinezGomez12]. </t>
    </r>
    <r>
      <rPr>
        <i/>
        <sz val="10"/>
        <color rgb="FF333333"/>
        <rFont val="Trebuchet MS"/>
        <family val="2"/>
      </rPr>
      <t>poxB</t>
    </r>
    <r>
      <rPr>
        <sz val="10"/>
        <color rgb="FF333333"/>
        <rFont val="Trebuchet MS"/>
        <family val="2"/>
      </rPr>
      <t> is part of the σ</t>
    </r>
    <r>
      <rPr>
        <vertAlign val="superscript"/>
        <sz val="10"/>
        <color rgb="FF333333"/>
        <rFont val="Trebuchet MS"/>
        <family val="2"/>
      </rPr>
      <t>S</t>
    </r>
    <r>
      <rPr>
        <sz val="10"/>
        <color rgb="FF333333"/>
        <rFont val="Trebuchet MS"/>
        <family val="2"/>
      </rPr>
      <t> regulon [Chang94, Van98, Olvera09]. Gene expression decreases under anaerobic conditions [Chang94]. </t>
    </r>
    <r>
      <rPr>
        <i/>
        <sz val="10"/>
        <color rgb="FF333333"/>
        <rFont val="Trebuchet MS"/>
        <family val="2"/>
      </rPr>
      <t>poxB</t>
    </r>
    <r>
      <rPr>
        <sz val="10"/>
        <color rgb="FF333333"/>
        <rFont val="Trebuchet MS"/>
        <family val="2"/>
      </rPr>
      <t> transcript levels are higher in a K-12 strain than in </t>
    </r>
    <r>
      <rPr>
        <i/>
        <sz val="10"/>
        <color rgb="FF333333"/>
        <rFont val="Trebuchet MS"/>
        <family val="2"/>
      </rPr>
      <t>E. coli</t>
    </r>
    <r>
      <rPr>
        <sz val="10"/>
        <color rgb="FF333333"/>
        <rFont val="Trebuchet MS"/>
        <family val="2"/>
      </rPr>
      <t> B, contributing to higher acetate production in K-12 strains [Phue04, Phue05].</t>
    </r>
  </si>
  <si>
    <t>Manipulation of metabolic flux through pyruvate has been successfully used as a strategy in metabolic engineering; e.g. [Lin05, Flores05, Dittrich05a, De07a, Zhu08, Tao12].</t>
  </si>
  <si>
    <t>Review: [Tittmann09]</t>
  </si>
  <si>
    <t>pck</t>
  </si>
  <si>
    <t>Phosphoenolpyruvate (PEP) carboxykinase (Pck) is an enzyme involved in gluconeogenesis. Growth on succinate as the carbon and energy sourse is limited by the level of Pck in the cell [Chao93].</t>
  </si>
  <si>
    <t>PEP carboxykinase is unusual in that it appears to be a monomeric enzyme with an allosteric site [Goldie80].</t>
  </si>
  <si>
    <r>
      <t>Crystal structures of the enzyme have been solved [Delbaere91, Matte96, Tari96, Sudom01, Sudom03], providing insight into the mechanistic details of the enzymatic reaction [Tari96, Sudom01] and into the mechanism of activation by Ca</t>
    </r>
    <r>
      <rPr>
        <vertAlign val="superscript"/>
        <sz val="10"/>
        <color rgb="FF333333"/>
        <rFont val="Trebuchet MS"/>
        <family val="2"/>
      </rPr>
      <t>2+</t>
    </r>
    <r>
      <rPr>
        <sz val="10"/>
        <color rgb="FF333333"/>
        <rFont val="Trebuchet MS"/>
        <family val="2"/>
      </rPr>
      <t> [Sudom03].</t>
    </r>
  </si>
  <si>
    <r>
      <t>Transcription of </t>
    </r>
    <r>
      <rPr>
        <i/>
        <sz val="10"/>
        <color rgb="FF333333"/>
        <rFont val="Trebuchet MS"/>
        <family val="2"/>
      </rPr>
      <t>pck</t>
    </r>
    <r>
      <rPr>
        <sz val="10"/>
        <color rgb="FF333333"/>
        <rFont val="Trebuchet MS"/>
        <family val="2"/>
      </rPr>
      <t> is regulated by catabolite repression and is induced at the onset of stationary phase [Goldie80a, Goldie84, Goldie90] and is regulated by CsrA [Romeo93]. Overexpression of </t>
    </r>
    <r>
      <rPr>
        <i/>
        <sz val="10"/>
        <color rgb="FF333333"/>
        <rFont val="Trebuchet MS"/>
        <family val="2"/>
      </rPr>
      <t>pck</t>
    </r>
    <r>
      <rPr>
        <sz val="10"/>
        <color rgb="FF333333"/>
        <rFont val="Trebuchet MS"/>
        <family val="2"/>
      </rPr>
      <t> during growth on glucose leads to reduced growth yield and increased excretion of fermentation products such as acetate [Chao93a]. Expression of Pck is upregulated when acetate is used as the source of carbon [Peng03].</t>
    </r>
  </si>
  <si>
    <t>A double mutant defective in both PEP carboxykinase and phosphoenolpyruvate synthetase is unable to utilize C4-dicarboxylic acids such as succinate and malate as the sole source of carbon and energy [Hansen74].</t>
  </si>
  <si>
    <t>Reviews: [Liao94, Pai96, Matte97, Delbaere04]</t>
  </si>
  <si>
    <t>Citations: [Goldie81, Medina90, Bazaes93, Bazaes95, Hou95, Encinas95, Bustos96, Bazaes97, Tari97, Encinas98, Lee99, Encinas02]</t>
  </si>
  <si>
    <t>Gene Citations: [Sabnis95, Oh00]</t>
  </si>
  <si>
    <r>
      <t>Phosphoenolpyruvate (PEP) carboxylase (PPC) is a regulatory enzyme, which replenishes oxaloacetate in the tricarboxylic acid cycle [Kameshita79]. It is a unique allosteric enzyme in that it has many kinds of effectors, and has distinct binding sites for each. Cysteinyl, histidyl, lysyl and arginyl residues are essential for catalytic activity. PPC catalyzes the carboxylation of PEP to form oxaloacetate and P</t>
    </r>
    <r>
      <rPr>
        <vertAlign val="subscript"/>
        <sz val="10"/>
        <color rgb="FF333333"/>
        <rFont val="Trebuchet MS"/>
        <family val="2"/>
      </rPr>
      <t>i</t>
    </r>
    <r>
      <rPr>
        <sz val="10"/>
        <color rgb="FF333333"/>
        <rFont val="Trebuchet MS"/>
        <family val="2"/>
      </rPr>
      <t> using Mg</t>
    </r>
    <r>
      <rPr>
        <vertAlign val="superscript"/>
        <sz val="10"/>
        <color rgb="FF333333"/>
        <rFont val="Trebuchet MS"/>
        <family val="2"/>
      </rPr>
      <t>2+</t>
    </r>
    <r>
      <rPr>
        <sz val="10"/>
        <color rgb="FF333333"/>
        <rFont val="Trebuchet MS"/>
        <family val="2"/>
      </rPr>
      <t> or Mn</t>
    </r>
    <r>
      <rPr>
        <vertAlign val="superscript"/>
        <sz val="10"/>
        <color rgb="FF333333"/>
        <rFont val="Trebuchet MS"/>
        <family val="2"/>
      </rPr>
      <t>2+</t>
    </r>
    <r>
      <rPr>
        <sz val="10"/>
        <color rgb="FF333333"/>
        <rFont val="Trebuchet MS"/>
        <family val="2"/>
      </rPr>
      <t> as a cofactor. The reaction proceeds in two steps: formation of carboxyphosphate and the enolate form of pyruvate, followed by carboxylation of the enolate and release of phosphate. [Terada91, Izui83, Kameshita78, Yoshinaga77]</t>
    </r>
  </si>
  <si>
    <r>
      <t>Mutants of the </t>
    </r>
    <r>
      <rPr>
        <i/>
        <sz val="10"/>
        <color rgb="FF333333"/>
        <rFont val="Trebuchet MS"/>
        <family val="2"/>
      </rPr>
      <t>ppc</t>
    </r>
    <r>
      <rPr>
        <sz val="10"/>
        <color rgb="FF333333"/>
        <rFont val="Trebuchet MS"/>
        <family val="2"/>
      </rPr>
      <t> gene have been studied [Terada91, Terada91a, Coomes85, Yano95]. Overexpression of Ppc improves the growth yield on glucose [Chao93a] and increases production of succinate from glucose by fermentation [Millard96]. </t>
    </r>
    <r>
      <rPr>
        <i/>
        <sz val="10"/>
        <color rgb="FF333333"/>
        <rFont val="Trebuchet MS"/>
        <family val="2"/>
      </rPr>
      <t>ppc</t>
    </r>
    <r>
      <rPr>
        <sz val="10"/>
        <color rgb="FF333333"/>
        <rFont val="Trebuchet MS"/>
        <family val="2"/>
      </rPr>
      <t> knockout mutants grew slower with less glucose consumption than the parent. The mutants also produced less carbon dioxide and excreted little acetate [Peng04]. Gene expression, enzyme activities, metabolite concentrations and metabolic flux have been measured in a </t>
    </r>
    <r>
      <rPr>
        <i/>
        <sz val="10"/>
        <color rgb="FF333333"/>
        <rFont val="Trebuchet MS"/>
        <family val="2"/>
      </rPr>
      <t>ppc</t>
    </r>
    <r>
      <rPr>
        <sz val="10"/>
        <color rgb="FF333333"/>
        <rFont val="Trebuchet MS"/>
        <family val="2"/>
      </rPr>
      <t> mutant [Peng04, Peng04a]. Site directed mutagenesis of </t>
    </r>
    <r>
      <rPr>
        <i/>
        <sz val="10"/>
        <color rgb="FF333333"/>
        <rFont val="Trebuchet MS"/>
        <family val="2"/>
      </rPr>
      <t>ppc</t>
    </r>
    <r>
      <rPr>
        <sz val="10"/>
        <color rgb="FF333333"/>
        <rFont val="Trebuchet MS"/>
        <family val="2"/>
      </rPr>
      <t> has shown that a conserved histidine residue is essential for the second partial reaction [Terada91].</t>
    </r>
  </si>
  <si>
    <t>ppc is essential for growth on glycerol minimal medium [Joyce06].</t>
  </si>
  <si>
    <t>ppc has a highly conserved sequence in which a GRGG motif is repeated two times with intervening residues. Arg587 is located in this conserved region and was shown to be essential for catalytic activity [Yano95].</t>
  </si>
  <si>
    <r>
      <t>The crystal structure for PPC complexed with L-aspartate, Mn</t>
    </r>
    <r>
      <rPr>
        <vertAlign val="superscript"/>
        <sz val="10"/>
        <color rgb="FF333333"/>
        <rFont val="Trebuchet MS"/>
        <family val="2"/>
      </rPr>
      <t>2+</t>
    </r>
    <r>
      <rPr>
        <sz val="10"/>
        <color rgb="FF333333"/>
        <rFont val="Trebuchet MS"/>
        <family val="2"/>
      </rPr>
      <t> or Mn</t>
    </r>
    <r>
      <rPr>
        <vertAlign val="superscript"/>
        <sz val="10"/>
        <color rgb="FF333333"/>
        <rFont val="Trebuchet MS"/>
        <family val="2"/>
      </rPr>
      <t>2+</t>
    </r>
    <r>
      <rPr>
        <sz val="10"/>
        <color rgb="FF333333"/>
        <rFont val="Trebuchet MS"/>
        <family val="2"/>
      </rPr>
      <t> along with a PEP analog and L-aspartate were determined [Kai99, Matsumura99, Matsumura02]. PPC is a tetramer which is made up of a dimer of dimers. Mn</t>
    </r>
    <r>
      <rPr>
        <vertAlign val="superscript"/>
        <sz val="10"/>
        <color rgb="FF333333"/>
        <rFont val="Trebuchet MS"/>
        <family val="2"/>
      </rPr>
      <t>2+</t>
    </r>
    <r>
      <rPr>
        <sz val="10"/>
        <color rgb="FF333333"/>
        <rFont val="Trebuchet MS"/>
        <family val="2"/>
      </rPr>
      <t> and a PEP analog have been shown to directly interact with catalytically essential residues [Kai03].</t>
    </r>
  </si>
  <si>
    <r>
      <t>Extensive studies on the physical and molecular properties of </t>
    </r>
    <r>
      <rPr>
        <i/>
        <sz val="10"/>
        <color rgb="FF333333"/>
        <rFont val="Trebuchet MS"/>
        <family val="2"/>
      </rPr>
      <t>E. coli</t>
    </r>
    <r>
      <rPr>
        <sz val="10"/>
        <color rgb="FF333333"/>
        <rFont val="Trebuchet MS"/>
        <family val="2"/>
      </rPr>
      <t> strain W and B shows PPC to be a tetramer of approximately 400 kDa with monomers around 100 kDa [Yoshinaga70, Smith71, Wohl72].</t>
    </r>
  </si>
  <si>
    <t>Citations: [Inoue89, Tan13, Kwon08, Vandedrinck01, Ishijima86, Sabe84, Kodaki84, Canovas65]</t>
  </si>
  <si>
    <r>
      <t>There are two malic enzymes in </t>
    </r>
    <r>
      <rPr>
        <i/>
        <sz val="10"/>
        <color rgb="FF333333"/>
        <rFont val="Trebuchet MS"/>
        <family val="2"/>
      </rPr>
      <t>E. coli</t>
    </r>
    <r>
      <rPr>
        <sz val="10"/>
        <color rgb="FF333333"/>
        <rFont val="Trebuchet MS"/>
        <family val="2"/>
      </rPr>
      <t>, one NADP-dependent (MaeB, described here) and the other NAD-dependent (encoded by the </t>
    </r>
    <r>
      <rPr>
        <i/>
        <sz val="10"/>
        <color rgb="FF333333"/>
        <rFont val="Trebuchet MS"/>
        <family val="2"/>
      </rPr>
      <t>maeA</t>
    </r>
    <r>
      <rPr>
        <sz val="10"/>
        <color rgb="FF333333"/>
        <rFont val="Trebuchet MS"/>
        <family val="2"/>
      </rPr>
      <t> gene) [Takeo69, Mahajan90]. MaeB activity is highly regulated by key metabolites [Bologna07]. MaeB appears to be important for supplying NADPH during growth on two-carbon compounds [Wang11].</t>
    </r>
  </si>
  <si>
    <r>
      <t>Initial purification studies working with </t>
    </r>
    <r>
      <rPr>
        <i/>
        <sz val="10"/>
        <color rgb="FF333333"/>
        <rFont val="Trebuchet MS"/>
        <family val="2"/>
      </rPr>
      <t>E. coli</t>
    </r>
    <r>
      <rPr>
        <sz val="10"/>
        <color rgb="FF333333"/>
        <rFont val="Trebuchet MS"/>
        <family val="2"/>
      </rPr>
      <t> K10 indicated that the enzyme was composed of 8 subunits [Spina70]. Further studies, with both </t>
    </r>
    <r>
      <rPr>
        <i/>
        <sz val="10"/>
        <color rgb="FF333333"/>
        <rFont val="Trebuchet MS"/>
        <family val="2"/>
      </rPr>
      <t>E. coli</t>
    </r>
    <r>
      <rPr>
        <sz val="10"/>
        <color rgb="FF333333"/>
        <rFont val="Trebuchet MS"/>
        <family val="2"/>
      </rPr>
      <t> W and K-12, have indicated 6 subunits [Iwakura79, Brown81] or again 8 subunits [Bologna07].</t>
    </r>
  </si>
  <si>
    <t>The C-terminal domain of MaeB is similar to phosphotransacetylases; it is not required for catalytic activity, but appears to be required for metabolic regulation and oligomerization [Bologna07].</t>
  </si>
  <si>
    <r>
      <t>Deletion of </t>
    </r>
    <r>
      <rPr>
        <i/>
        <sz val="10"/>
        <color rgb="FF333333"/>
        <rFont val="Trebuchet MS"/>
        <family val="2"/>
      </rPr>
      <t>maeB</t>
    </r>
    <r>
      <rPr>
        <sz val="10"/>
        <color rgb="FF333333"/>
        <rFont val="Trebuchet MS"/>
        <family val="2"/>
      </rPr>
      <t> abolishes NADP-dependent malic enzyme activity [vanderRest00]. </t>
    </r>
    <r>
      <rPr>
        <i/>
        <sz val="10"/>
        <color rgb="FF333333"/>
        <rFont val="Trebuchet MS"/>
        <family val="2"/>
      </rPr>
      <t>maeB</t>
    </r>
    <r>
      <rPr>
        <sz val="10"/>
        <color rgb="FF333333"/>
        <rFont val="Trebuchet MS"/>
        <family val="2"/>
      </rPr>
      <t> expression is upregulated in a </t>
    </r>
    <r>
      <rPr>
        <i/>
        <sz val="10"/>
        <color rgb="FF333333"/>
        <rFont val="Trebuchet MS"/>
        <family val="2"/>
      </rPr>
      <t>pykF</t>
    </r>
    <r>
      <rPr>
        <sz val="10"/>
        <color rgb="FF333333"/>
        <rFont val="Trebuchet MS"/>
        <family val="2"/>
      </rPr>
      <t> (pyruvate kinase) null mutant [Siddiquee04]. Overexpression of MaeB increases the production of C4 metabolites under anaerobic conditions with supplemental bicarbonate [Kwon07].</t>
    </r>
  </si>
  <si>
    <t>maeA</t>
  </si>
  <si>
    <r>
      <t>E. coli</t>
    </r>
    <r>
      <rPr>
        <sz val="10"/>
        <color rgb="FF333333"/>
        <rFont val="Trebuchet MS"/>
        <family val="2"/>
      </rPr>
      <t> K-12 encodes two "malic enzymes" which catalyze the decarboxylation of malate to form pyruvate. One enzyme (described here) requires NAD, while the other, MaeB, requires NADP.</t>
    </r>
  </si>
  <si>
    <t>NAD-dependent malate dehydrogenase from E. coli W was shown to also possess oxaloacetate decarboxylase, oxaloacetate reductase, and pyruvate reductase activities [Yamaguchi79]; however, it has not been shown that the E. coli K-12 enzyme possesses these activities as well.</t>
  </si>
  <si>
    <r>
      <t>Malate dehydrogenase is present as a mixture of monomer, homotetramer and homooctamer in solution [Wang07a]. Mg</t>
    </r>
    <r>
      <rPr>
        <vertAlign val="superscript"/>
        <sz val="10"/>
        <color rgb="FF333333"/>
        <rFont val="Trebuchet MS"/>
        <family val="2"/>
      </rPr>
      <t>2+</t>
    </r>
    <r>
      <rPr>
        <sz val="10"/>
        <color rgb="FF333333"/>
        <rFont val="Trebuchet MS"/>
        <family val="2"/>
      </rPr>
      <t> and Mn</t>
    </r>
    <r>
      <rPr>
        <vertAlign val="superscript"/>
        <sz val="10"/>
        <color rgb="FF333333"/>
        <rFont val="Trebuchet MS"/>
        <family val="2"/>
      </rPr>
      <t>2+</t>
    </r>
    <r>
      <rPr>
        <sz val="10"/>
        <color rgb="FF333333"/>
        <rFont val="Trebuchet MS"/>
        <family val="2"/>
      </rPr>
      <t> appear to stabilize two different conformational states of the enzyme [Milne79, Cook83].</t>
    </r>
  </si>
  <si>
    <t>In a strain blocked in the fermentative metabolism of pyruvate, overexpressed NAD-dependent malate dehydrogenase can support growth by catalyzing the normally non-physiological reductive carboxylation of pyruvate to form malate [Stols97].</t>
  </si>
  <si>
    <r>
      <t>Expression of </t>
    </r>
    <r>
      <rPr>
        <i/>
        <sz val="10"/>
        <color rgb="FF333333"/>
        <rFont val="Trebuchet MS"/>
        <family val="2"/>
      </rPr>
      <t>sfcA</t>
    </r>
    <r>
      <rPr>
        <sz val="10"/>
        <color rgb="FF333333"/>
        <rFont val="Trebuchet MS"/>
        <family val="2"/>
      </rPr>
      <t> is induced by growth on acetate [Oh02]. An </t>
    </r>
    <r>
      <rPr>
        <i/>
        <sz val="10"/>
        <color rgb="FF333333"/>
        <rFont val="Trebuchet MS"/>
        <family val="2"/>
      </rPr>
      <t>sfcA</t>
    </r>
    <r>
      <rPr>
        <sz val="10"/>
        <color rgb="FF333333"/>
        <rFont val="Trebuchet MS"/>
        <family val="2"/>
      </rPr>
      <t> mutant does not show a defect when grown on acetate; however, an </t>
    </r>
    <r>
      <rPr>
        <i/>
        <sz val="10"/>
        <color rgb="FF333333"/>
        <rFont val="Trebuchet MS"/>
        <family val="2"/>
      </rPr>
      <t>maeB sfcA</t>
    </r>
    <r>
      <rPr>
        <sz val="10"/>
        <color rgb="FF333333"/>
        <rFont val="Trebuchet MS"/>
        <family val="2"/>
      </rPr>
      <t> double mutant containing deletions of both genes encoding malic enzymes in a </t>
    </r>
    <r>
      <rPr>
        <i/>
        <sz val="10"/>
        <color rgb="FF333333"/>
        <rFont val="Trebuchet MS"/>
        <family val="2"/>
      </rPr>
      <t>pckA</t>
    </r>
    <r>
      <rPr>
        <sz val="10"/>
        <color rgb="FF333333"/>
        <rFont val="Trebuchet MS"/>
        <family val="2"/>
      </rPr>
      <t>mutant background abolishes growth on acetate [Oh02]. A </t>
    </r>
    <r>
      <rPr>
        <i/>
        <sz val="10"/>
        <color rgb="FF333333"/>
        <rFont val="Trebuchet MS"/>
        <family val="2"/>
      </rPr>
      <t>maeB sfcA</t>
    </r>
    <r>
      <rPr>
        <sz val="10"/>
        <color rgb="FF333333"/>
        <rFont val="Trebuchet MS"/>
        <family val="2"/>
      </rPr>
      <t> double mutant alone shows a severe lag phase during the transition from growth on glucose to growth on acetate [Kao05].</t>
    </r>
  </si>
  <si>
    <t>SfcA: [Mahajan90]</t>
  </si>
  <si>
    <t>Adenylate kinase is an essential enzyme required for the biosynthesis of purine ribonucleotides [Cousin69, Glaser75] and has a key role in controlling the rate of cell growth [Glaser75, Esmon80].</t>
  </si>
  <si>
    <t>There are estimated to be approximately 10,000 molecules of adenylate kinase present in the cell [Brune85].</t>
  </si>
  <si>
    <r>
      <t>Various crystal [Muller88, Muller92, Muller93, Berry94, Muller96, Berry06, Schrank09] and solution [BurlacuMiron99, Shapiro00] structures of the enzyme have been solved, and a reaction mechanism was proposed and refined. Based on new data showing activation of adenylate kinase by direct binding of Mg</t>
    </r>
    <r>
      <rPr>
        <vertAlign val="superscript"/>
        <sz val="10"/>
        <color rgb="FF333333"/>
        <rFont val="Trebuchet MS"/>
        <family val="2"/>
      </rPr>
      <t>2+</t>
    </r>
    <r>
      <rPr>
        <sz val="10"/>
        <color rgb="FF333333"/>
        <rFont val="Trebuchet MS"/>
        <family val="2"/>
      </rPr>
      <t>, a new kinetic model for the forward reaction involving a Mg</t>
    </r>
    <r>
      <rPr>
        <vertAlign val="superscript"/>
        <sz val="10"/>
        <color rgb="FF333333"/>
        <rFont val="Trebuchet MS"/>
        <family val="2"/>
      </rPr>
      <t>2+</t>
    </r>
    <r>
      <rPr>
        <sz val="10"/>
        <color rgb="FF333333"/>
        <rFont val="Trebuchet MS"/>
        <family val="2"/>
      </rPr>
      <t>-activated random bi-bi mechanism has been proposed. The requirement for binding of Mg</t>
    </r>
    <r>
      <rPr>
        <vertAlign val="superscript"/>
        <sz val="10"/>
        <color rgb="FF333333"/>
        <rFont val="Trebuchet MS"/>
        <family val="2"/>
      </rPr>
      <t>2+</t>
    </r>
    <r>
      <rPr>
        <sz val="10"/>
        <color rgb="FF333333"/>
        <rFont val="Trebuchet MS"/>
        <family val="2"/>
      </rPr>
      <t>before binding of AMP to the enzyme explains the apparent competitive inhibition by AMP [Tan09].</t>
    </r>
  </si>
  <si>
    <t>Energy transfer experiments confirmed stepwise domain movement/closure upon binding of the substrates [Bilderback96, Sinev96, Sinev96a]. The dynamics and energetics of domain movements upon substrate binding and catalysis have been further analyzed [Temiz04, Krishnamurthy05, Maragakis05, Shapiro06, Lou06, Whitford07, Snow07]. Small, fast motion in the hinge regions facilitates larger, but slow movement of the lid domain [HenzlerWildman07]. Molecular dynamics simulation of the conformational transition has been reported [Kubitzki08].</t>
  </si>
  <si>
    <r>
      <t>Many additional studies have used </t>
    </r>
    <r>
      <rPr>
        <i/>
        <sz val="10"/>
        <color rgb="FF333333"/>
        <rFont val="Trebuchet MS"/>
        <family val="2"/>
      </rPr>
      <t>E. coli</t>
    </r>
    <r>
      <rPr>
        <sz val="10"/>
        <color rgb="FF333333"/>
        <rFont val="Trebuchet MS"/>
        <family val="2"/>
      </rPr>
      <t> Adk as a model protein to analyze folding and conformational dynamics, toward the ultimate goal of the rational design of proteins [Potestio09, Cukier09, Orevi09, Shapiro09, Schrank09, Feng09,Olsson10, Daily10, Schrank11, Nagarajan11, Daily11].</t>
    </r>
  </si>
  <si>
    <t>Site-directed mutants in residues in the nucleotide binding site [Reinstein88, Liang91], in the phosphate binding loop [Reinstein89, Reinstein90], and in the "second loop" [Rose91, Rose91a] have been kinetically analyzed. Amino acid changes that increase thermal stability of the enzyme have been introduced [Perrier98, BurlacuMiron98].</t>
  </si>
  <si>
    <r>
      <t>Adenylate kinase is able to fulfill the role of nucleoside diphosphate kinase in an </t>
    </r>
    <r>
      <rPr>
        <i/>
        <sz val="10"/>
        <color rgb="FF333333"/>
        <rFont val="Trebuchet MS"/>
        <family val="2"/>
      </rPr>
      <t>ndk</t>
    </r>
    <r>
      <rPr>
        <sz val="10"/>
        <color rgb="FF333333"/>
        <rFont val="Trebuchet MS"/>
        <family val="2"/>
      </rPr>
      <t> mutant [Lu96] and participates in the T4 dNTP synthetase complex [Kim05].</t>
    </r>
  </si>
  <si>
    <r>
      <t>Adenylate kinase can combine with polyphosphate kinase to catalyze the formation of ADP from AMP and poly(P</t>
    </r>
    <r>
      <rPr>
        <vertAlign val="subscript"/>
        <sz val="10"/>
        <color rgb="FF333333"/>
        <rFont val="Trebuchet MS"/>
        <family val="2"/>
      </rPr>
      <t>i</t>
    </r>
    <r>
      <rPr>
        <sz val="10"/>
        <color rgb="FF333333"/>
        <rFont val="Trebuchet MS"/>
        <family val="2"/>
      </rPr>
      <t>). This polyP:AMP phosphotransferase (PAP) activity requires both enzymes acting together [Ishige00]. Although adenylate kinase is able to catalyze thiamine triphosphate (ThTP) biosynthesis in vertebrates, it is not responsible for ThTP biosynthesis </t>
    </r>
    <r>
      <rPr>
        <i/>
        <sz val="10"/>
        <color rgb="FF333333"/>
        <rFont val="Trebuchet MS"/>
        <family val="2"/>
      </rPr>
      <t>in vivo</t>
    </r>
    <r>
      <rPr>
        <sz val="10"/>
        <color rgb="FF333333"/>
        <rFont val="Trebuchet MS"/>
        <family val="2"/>
      </rPr>
      <t> in </t>
    </r>
    <r>
      <rPr>
        <i/>
        <sz val="10"/>
        <color rgb="FF333333"/>
        <rFont val="Trebuchet MS"/>
        <family val="2"/>
      </rPr>
      <t>E. coli</t>
    </r>
    <r>
      <rPr>
        <sz val="10"/>
        <color rgb="FF333333"/>
        <rFont val="Trebuchet MS"/>
        <family val="2"/>
      </rPr>
      <t> [Gigliobianco08].</t>
    </r>
  </si>
  <si>
    <t>PlsA: "defective in phospholipid biosynthesis" [Cronan70]</t>
  </si>
  <si>
    <t>DnaW: [Blinkowa79, Henson82]</t>
  </si>
  <si>
    <t>Adk: "adenylate kinase" [Esmon80]</t>
  </si>
  <si>
    <t>Review: [HenzlerWildman07a]</t>
  </si>
  <si>
    <t>ndh1</t>
  </si>
  <si>
    <t>NADH:ubiquinone oxidoreductase I (NDH-1) is an NADH dehydrogenase that catalyzes the transfer of electrons from NADH to the quinone pool in the cytoplasmic membrane and is able to generate a proton electrochemical gradient. It is part of both the aerobic and anaerobic respiratory chain of the cell. The study of this enzyme is of great interest, because it is considered to be a structurally minimal form of a proton-pumping NADH:ubiquinone oxidoreductase and serves as a model for the more complex mitochondrial enzyme.</t>
  </si>
  <si>
    <r>
      <t>NDH-1 is one of two distinct NADH dehydrogenases in </t>
    </r>
    <r>
      <rPr>
        <i/>
        <sz val="10"/>
        <color rgb="FF333333"/>
        <rFont val="Trebuchet MS"/>
        <family val="2"/>
      </rPr>
      <t>E. coli</t>
    </r>
    <r>
      <rPr>
        <sz val="10"/>
        <color rgb="FF333333"/>
        <rFont val="Trebuchet MS"/>
        <family val="2"/>
      </rPr>
      <t>. In contrast to NDH-2 (encoded by </t>
    </r>
    <r>
      <rPr>
        <i/>
        <sz val="10"/>
        <color rgb="FF333333"/>
        <rFont val="Trebuchet MS"/>
        <family val="2"/>
      </rPr>
      <t>ndh</t>
    </r>
    <r>
      <rPr>
        <sz val="10"/>
        <color rgb="FF333333"/>
        <rFont val="Trebuchet MS"/>
        <family val="2"/>
      </rPr>
      <t>), NDH-1-catalyzed electron flow from NADH to ubiquinone generates an electrochemical gradient. Depending on the strain, NDH-2 utilizes NADH exclusively, while NDH-1 can utilize both NADH and d-NADH, which enables specific assays of the enzyme [Matsushita87, Hayashi89, Calhoun93]</t>
    </r>
  </si>
  <si>
    <r>
      <t>Crystal structures of the membrane domain of NDH-1 have been solved at 3.9 Å resolution [Efremov10] and later at 3 Å resolution [Efremov11]. A plausible mechanism of electron transfer and its coupling to proton translocation has been deduced from this crystal structure and that of the </t>
    </r>
    <r>
      <rPr>
        <i/>
        <sz val="10"/>
        <color rgb="FF333333"/>
        <rFont val="Trebuchet MS"/>
        <family val="2"/>
      </rPr>
      <t>Thermus thermophilus</t>
    </r>
    <r>
      <rPr>
        <sz val="10"/>
        <color rgb="FF333333"/>
        <rFont val="Trebuchet MS"/>
        <family val="2"/>
      </rPr>
      <t> enzyme [Sazanov07, Efremov10]. Proton translocation may be induced by movement of the long amphipathic α-helix of the NuoL subunit that is aligned parallel to the membrane [Efremov10]. This model is discussed in a comment by [Ohnishi10]. The exact number of protons translocated across the membrane remains unknown; the H</t>
    </r>
    <r>
      <rPr>
        <vertAlign val="superscript"/>
        <sz val="10"/>
        <color rgb="FF333333"/>
        <rFont val="Trebuchet MS"/>
        <family val="2"/>
      </rPr>
      <t>+</t>
    </r>
    <r>
      <rPr>
        <sz val="10"/>
        <color rgb="FF333333"/>
        <rFont val="Trebuchet MS"/>
        <family val="2"/>
      </rPr>
      <t>/e</t>
    </r>
    <r>
      <rPr>
        <vertAlign val="superscript"/>
        <sz val="10"/>
        <color rgb="FF333333"/>
        <rFont val="Trebuchet MS"/>
        <family val="2"/>
      </rPr>
      <t>-</t>
    </r>
    <r>
      <rPr>
        <sz val="10"/>
        <color rgb="FF333333"/>
        <rFont val="Trebuchet MS"/>
        <family val="2"/>
      </rPr>
      <t> stoichiometry is at least 1.5 [Bogachev96]. Recent experiments argue for at least two coupling sites for proton translocation, with NuoL being essential for the translocation of 2H</t>
    </r>
    <r>
      <rPr>
        <vertAlign val="superscript"/>
        <sz val="10"/>
        <color rgb="FF333333"/>
        <rFont val="Trebuchet MS"/>
        <family val="2"/>
      </rPr>
      <t>+</t>
    </r>
    <r>
      <rPr>
        <sz val="10"/>
        <color rgb="FF333333"/>
        <rFont val="Trebuchet MS"/>
        <family val="2"/>
      </rPr>
      <t>/2e</t>
    </r>
    <r>
      <rPr>
        <vertAlign val="superscript"/>
        <sz val="10"/>
        <color rgb="FF333333"/>
        <rFont val="Trebuchet MS"/>
        <family val="2"/>
      </rPr>
      <t>-</t>
    </r>
    <r>
      <rPr>
        <sz val="10"/>
        <color rgb="FF333333"/>
        <rFont val="Trebuchet MS"/>
        <family val="2"/>
      </rPr>
      <t> [Steimle11]. A crystal structure of the membrane component at higher resolution has allowed identification of possible proton translocation pathways and argues for a purely conformation-driven pathway of proton translocation [Efremov11]. Zn</t>
    </r>
    <r>
      <rPr>
        <vertAlign val="superscript"/>
        <sz val="10"/>
        <color rgb="FF333333"/>
        <rFont val="Trebuchet MS"/>
        <family val="2"/>
      </rPr>
      <t>2+</t>
    </r>
    <r>
      <rPr>
        <sz val="10"/>
        <color rgb="FF333333"/>
        <rFont val="Trebuchet MS"/>
        <family val="2"/>
      </rPr>
      <t> inhibits Ndh-1, possibly by blocking the entry or exit of a proton translocation pathway [Schulte14].</t>
    </r>
  </si>
  <si>
    <r>
      <t>Based on a stoichiometry of 4 H</t>
    </r>
    <r>
      <rPr>
        <vertAlign val="superscript"/>
        <sz val="10"/>
        <color rgb="FF333333"/>
        <rFont val="Trebuchet MS"/>
        <family val="2"/>
      </rPr>
      <t>+</t>
    </r>
    <r>
      <rPr>
        <sz val="10"/>
        <color rgb="FF333333"/>
        <rFont val="Trebuchet MS"/>
        <family val="2"/>
      </rPr>
      <t> translocated per NADH oxidized (2e</t>
    </r>
    <r>
      <rPr>
        <vertAlign val="superscript"/>
        <sz val="10"/>
        <color rgb="FF333333"/>
        <rFont val="Trebuchet MS"/>
        <family val="2"/>
      </rPr>
      <t>-</t>
    </r>
    <r>
      <rPr>
        <sz val="10"/>
        <color rgb="FF333333"/>
        <rFont val="Trebuchet MS"/>
        <family val="2"/>
      </rPr>
      <t>), a mixed model for proton translocation using both direct (redox-driven) and indirect (conformation-driven) mechanisms for proton pumping has been presented [Treberg11]. However, a lower ratio of 3H</t>
    </r>
    <r>
      <rPr>
        <vertAlign val="superscript"/>
        <sz val="10"/>
        <color rgb="FF333333"/>
        <rFont val="Trebuchet MS"/>
        <family val="2"/>
      </rPr>
      <t>+</t>
    </r>
    <r>
      <rPr>
        <sz val="10"/>
        <color rgb="FF333333"/>
        <rFont val="Trebuchet MS"/>
        <family val="2"/>
      </rPr>
      <t>/2e</t>
    </r>
    <r>
      <rPr>
        <vertAlign val="superscript"/>
        <sz val="10"/>
        <color rgb="FF333333"/>
        <rFont val="Trebuchet MS"/>
        <family val="2"/>
      </rPr>
      <t>-</t>
    </r>
    <r>
      <rPr>
        <sz val="10"/>
        <color rgb="FF333333"/>
        <rFont val="Trebuchet MS"/>
        <family val="2"/>
      </rPr>
      <t> has recently been proposed [Wikstrom12]. The Ndh-1 catalytic cycle has been followed in real time, revealing an essentially biphasic reaction [Belevich14].</t>
    </r>
  </si>
  <si>
    <r>
      <t>The purified enzyme can be separated into three components: a soluble fragment composed of the NuoE, F and G subunits which catalyzes the oxidation of NADH, representing the electron input part of the enzyme [Braun98]; an amphipathic connecting fragment composed of the NuoB, CD and I subunits; and a hydrophobic membrane fragment composed of the NuoA, H, J, K, L, M and N subunits [Leif95]. The soluble subunits contain all iron-sulfur clusters and the FMN cofactor; the redox properties of those cofactors have been studied [Euro08], and their intrinsic redox potential was modeled [Medvedev10]. Electron transfer from NADH via FMN to the iron-sulfur centers has been measured in real time [Verkhovskaya08]. Results from crosslinking analysis suggest that the ubiquinone-binding site of the enzyme is located on the membrane subunit NuoM [Gong03], but it has also been modeled to the interface between NuoB and NuoCD based on its location in the </t>
    </r>
    <r>
      <rPr>
        <i/>
        <sz val="10"/>
        <color rgb="FF333333"/>
        <rFont val="Trebuchet MS"/>
        <family val="2"/>
      </rPr>
      <t>T. thermophilus</t>
    </r>
    <r>
      <rPr>
        <sz val="10"/>
        <color rgb="FF333333"/>
        <rFont val="Trebuchet MS"/>
        <family val="2"/>
      </rPr>
      <t> enzyme [Baranova07]. Site-directed spin labeling is being used for localization of the ubiquinone binding site [Pohl10]. There may be two ubiquinone binding sites [Verkhovsky12], and NDH-1 purified using a new procedure contained two molecules of ubiquinone per complex [Narayanan13]. A tightly bound ubiquinone found by [Verkhovskaya14] has a very low midpoint potential of &lt; -300 mV, while two quinone radicals found by [Hielscher13] had midpoint potentials of -37 and -235 mV. The NuoJ [Kao05a], NuoK [Kervinen04, Kao05b], NuoM [TorresBacete07] and NuoN [Amarneh03] subunits are implicated in the ability to generate an electrochemical gradient. Molecular dynamics simulations of the membrane domain have established a possible coupling mechanism for energy transduction within NDH-1 [Kaila14].</t>
    </r>
  </si>
  <si>
    <t>Three-dimensional reconstruction and 2-D crystals of the NDH-1 complex based on cryo-electron microscopy showed an L-shaped form with an integral membrane and a peripheral arm [Guenebaut98, Holt03]. A model of the spatial arrangement of the subunits and the possible functional mechanism of proton pumping has been proposed [Holt03]. Under low ionic strength conditions, the complex appears to adopt a horseshoe-like conformation [Bottcher02]. Cryo-electron microscopy of the membrane domain allowed calculation of a projection structure at 8 Å resolution [Baranova07]; later, a cryo-EM 3D structure of the intact NDH-1 complex was obtained [Morgan08]. Binding of NADH induces a conformational change in both the membrane and peripheral arm of NDH-1 [Mamedova04, Pohl08]. A mechanism by which the redox reaction of the N2 Fe-S cluster induces a conformational change that may lead to proton translocation has been proposed [Friedrich10].</t>
  </si>
  <si>
    <t>Heterooligomers of NDH-1 and NDH-2 have been identified by electrophoresis and sucrose gradient centrifugation suggestive of a supramolecular organisation in the membrane [Sousa11].</t>
  </si>
  <si>
    <t>NDH-1 is required for the anaerobic respiration of NADH using fumarate or DMSO as the terminal electron acceptors, thus implying that the enzyme can transfer electrons to menaquinone [Tran97]. The comparative energy efficiency of utilization of the various components of the aerobic respiratory chain has been examined [Calhoun93a, Unden97].</t>
  </si>
  <si>
    <r>
      <t>Stolpe and Friedrich [Stolpe04] showed that NDH-1 is primarily an electrogenic proton pump which may have secondary Na</t>
    </r>
    <r>
      <rPr>
        <vertAlign val="superscript"/>
        <sz val="10"/>
        <color rgb="FF333333"/>
        <rFont val="Trebuchet MS"/>
        <family val="2"/>
      </rPr>
      <t>+</t>
    </r>
    <r>
      <rPr>
        <sz val="10"/>
        <color rgb="FF333333"/>
        <rFont val="Trebuchet MS"/>
        <family val="2"/>
      </rPr>
      <t>/H</t>
    </r>
    <r>
      <rPr>
        <vertAlign val="superscript"/>
        <sz val="10"/>
        <color rgb="FF333333"/>
        <rFont val="Trebuchet MS"/>
        <family val="2"/>
      </rPr>
      <t>+</t>
    </r>
    <r>
      <rPr>
        <sz val="10"/>
        <color rgb="FF333333"/>
        <rFont val="Trebuchet MS"/>
        <family val="2"/>
      </rPr>
      <t> antiport activity. However, contrary to the generally accepted view, Steuber et al. [Steuber00] suggested that NDH-1 functions primarily as a Na</t>
    </r>
    <r>
      <rPr>
        <vertAlign val="superscript"/>
        <sz val="10"/>
        <color rgb="FF333333"/>
        <rFont val="Trebuchet MS"/>
        <family val="2"/>
      </rPr>
      <t>+</t>
    </r>
    <r>
      <rPr>
        <sz val="10"/>
        <color rgb="FF333333"/>
        <rFont val="Trebuchet MS"/>
        <family val="2"/>
      </rPr>
      <t> pump, a function that can be conveyed by a truncated form of the NuoL subunit alone [Steuber03, Gemperli07].</t>
    </r>
  </si>
  <si>
    <r>
      <t>NDH-1 produces reactive oxygen species, mainly in the form of H</t>
    </r>
    <r>
      <rPr>
        <vertAlign val="subscript"/>
        <sz val="10"/>
        <color rgb="FF333333"/>
        <rFont val="Trebuchet MS"/>
        <family val="2"/>
      </rPr>
      <t>2</t>
    </r>
    <r>
      <rPr>
        <sz val="10"/>
        <color rgb="FF333333"/>
        <rFont val="Trebuchet MS"/>
        <family val="2"/>
      </rPr>
      <t>O</t>
    </r>
    <r>
      <rPr>
        <vertAlign val="subscript"/>
        <sz val="10"/>
        <color rgb="FF333333"/>
        <rFont val="Trebuchet MS"/>
        <family val="2"/>
      </rPr>
      <t>2</t>
    </r>
    <r>
      <rPr>
        <sz val="10"/>
        <color rgb="FF333333"/>
        <rFont val="Trebuchet MS"/>
        <family val="2"/>
      </rPr>
      <t>, at the NADH dehydrogenase active site, involving the FMN cofactor [Esterhazy08]. NADH-dependent production of hydrogen peroxide is increased in a NuoF E95Q mutant [Knuuti13]. The rate of O</t>
    </r>
    <r>
      <rPr>
        <vertAlign val="subscript"/>
        <sz val="10"/>
        <color rgb="FF333333"/>
        <rFont val="Trebuchet MS"/>
        <family val="2"/>
      </rPr>
      <t>2</t>
    </r>
    <r>
      <rPr>
        <sz val="10"/>
        <color rgb="FF333333"/>
        <rFont val="Trebuchet MS"/>
        <family val="2"/>
      </rPr>
      <t> reduction is dependent on the NAD</t>
    </r>
    <r>
      <rPr>
        <vertAlign val="superscript"/>
        <sz val="10"/>
        <color rgb="FF333333"/>
        <rFont val="Trebuchet MS"/>
        <family val="2"/>
      </rPr>
      <t>+</t>
    </r>
    <r>
      <rPr>
        <sz val="10"/>
        <color rgb="FF333333"/>
        <rFont val="Trebuchet MS"/>
        <family val="2"/>
      </rPr>
      <t>/NADH ratio [Esterhazy08].</t>
    </r>
  </si>
  <si>
    <r>
      <t>Purified NDH-1 is activated by detergent and phospholipids [Sinegina05, Stolpe04]. A tightly bound metal, most likely Ca</t>
    </r>
    <r>
      <rPr>
        <vertAlign val="superscript"/>
        <sz val="10"/>
        <color rgb="FF333333"/>
        <rFont val="Trebuchet MS"/>
        <family val="2"/>
      </rPr>
      <t>2+</t>
    </r>
    <r>
      <rPr>
        <sz val="10"/>
        <color rgb="FF333333"/>
        <rFont val="Trebuchet MS"/>
        <family val="2"/>
      </rPr>
      <t>, is required for activity [Verkhovskaya11].</t>
    </r>
  </si>
  <si>
    <r>
      <t>Mutants lacking NDH-1 can not compete with wild type in stationary phase [Zambrano93]. Expression of the </t>
    </r>
    <r>
      <rPr>
        <i/>
        <sz val="10"/>
        <color rgb="FF333333"/>
        <rFont val="Trebuchet MS"/>
        <family val="2"/>
      </rPr>
      <t>nuo</t>
    </r>
    <r>
      <rPr>
        <sz val="10"/>
        <color rgb="FF333333"/>
        <rFont val="Trebuchet MS"/>
        <family val="2"/>
      </rPr>
      <t> operon is regulated by oxygen, nitrate, fumarate, and other factors including C4 dicarboxylates [Bongaerts95, Tran97]. Transcription and activity of aerobic respiratory chain components in the different phases of aerobic growth have been measured [Sousa12].</t>
    </r>
  </si>
  <si>
    <t>Reviews: [Sato14, NakamaruOgiso14, Sazanov13, Kanjee13, Ohnishi10, Schneider08, Sazanov07, Friedrich04, Yagi03, Friedrich01, Friedrich00, Ohnishi98, Friedrich98, Unden97, Neijssel94, ECOSAL]</t>
  </si>
  <si>
    <t>Citations: [Wong14, Kriegel14]</t>
  </si>
  <si>
    <t>pntAB</t>
  </si>
  <si>
    <r>
      <t>E. coli</t>
    </r>
    <r>
      <rPr>
        <sz val="10"/>
        <color rgb="FF333333"/>
        <rFont val="Trebuchet MS"/>
        <family val="2"/>
      </rPr>
      <t> PntAB is a membrane bound proton translocating pyridine nucleotide transhydrogenase which couples the reversible reduction of NADP by NADH to an inward proton translocation across the membrane [Clarke85, Clarke85a]. The activity of PntAB is a major source of cytosolic NADPH in </t>
    </r>
    <r>
      <rPr>
        <i/>
        <sz val="10"/>
        <color rgb="FF333333"/>
        <rFont val="Trebuchet MS"/>
        <family val="2"/>
      </rPr>
      <t>E. coli</t>
    </r>
    <r>
      <rPr>
        <sz val="10"/>
        <color rgb="FF333333"/>
        <rFont val="Trebuchet MS"/>
        <family val="2"/>
      </rPr>
      <t> [Sauer04].</t>
    </r>
  </si>
  <si>
    <r>
      <t>The functional enzyme assembles as a tetramer composed of two alpha and two beta subunits [Hou90]. The enzyme complex contains three domains: domains 1 and 3 protrude from the membrane and contain the binding sites for NAD(H) and NADP(H) respectively [Johansson05] and domain 2 which spans the membrane. The transmembrane domain consists of 13 α-helices (4 from the α subunit and 9 from the β subunit) [Meuller99]. Mutagenesis of the βhis91 residue reduces proton translocation </t>
    </r>
    <r>
      <rPr>
        <i/>
        <sz val="10"/>
        <color rgb="FF333333"/>
        <rFont val="Trebuchet MS"/>
        <family val="2"/>
      </rPr>
      <t>in vitro</t>
    </r>
    <r>
      <rPr>
        <sz val="10"/>
        <color rgb="FF333333"/>
        <rFont val="Trebuchet MS"/>
        <family val="2"/>
      </rPr>
      <t> [Holmberg94, Glavas95].</t>
    </r>
  </si>
  <si>
    <r>
      <t>E. coli</t>
    </r>
    <r>
      <rPr>
        <sz val="10"/>
        <color rgb="FF333333"/>
        <rFont val="Trebuchet MS"/>
        <family val="2"/>
      </rPr>
      <t> also contains an energy independent soluble pyridine nucleotide transhydrogenase encoded by the </t>
    </r>
    <r>
      <rPr>
        <i/>
        <sz val="10"/>
        <color rgb="FF333333"/>
        <rFont val="Trebuchet MS"/>
        <family val="2"/>
      </rPr>
      <t>sthA</t>
    </r>
    <r>
      <rPr>
        <sz val="10"/>
        <color rgb="FF333333"/>
        <rFont val="Trebuchet MS"/>
        <family val="2"/>
      </rPr>
      <t> gene. Its primary physiological role appears to be the reoxidation of NADPH [Canonaco01, Sauer04]. The two transhydrogenases are also distinguished by the stereospecificity of the reducing equivalents transfer. SthA is a BB-specific transhydrogenase, while PntAB is AB-specific.</t>
    </r>
  </si>
  <si>
    <t>Transcription of pntA is downregulated by growth on acetate [Sauer04].</t>
  </si>
  <si>
    <t>Reviews: [Bizouarn00, Rydstrom98, Pedersen08, Bizouarn02]</t>
  </si>
  <si>
    <t>D-lactate dehydrogenase (Dld) is a FAD-dependent peripheral membrane dehydrogenase catalysing the oxidation of D-lactate to pyruvate. Dld is a respiratory enzyme; electrons derived from D-lactate oxidation are transferred to the membrane soluble quinone pool [Kohn73, Futai73, Matsushita86].</t>
  </si>
  <si>
    <r>
      <t>D-lactate dehydrogenase functions as a primary dehydrogenase in aerobic and anaerobic respiratory chains </t>
    </r>
    <r>
      <rPr>
        <i/>
        <sz val="10"/>
        <color rgb="FF333333"/>
        <rFont val="Trebuchet MS"/>
        <family val="2"/>
      </rPr>
      <t>invitro</t>
    </r>
    <r>
      <rPr>
        <sz val="10"/>
        <color rgb="FF333333"/>
        <rFont val="Trebuchet MS"/>
        <family val="2"/>
      </rPr>
      <t>. Electron transfer from D-lactate to oxygen under aerobic conditions and electron transfer from D-lactate to nitrate under anaerobic conditions depends on the presence of a quinone [Wallace77]. Anaerobic β-galactoside transport in whole cells and membrane vesicles can be coupled to the oxidation of D-lactate with fumarate as a terminal acceptor [Konings73].</t>
    </r>
  </si>
  <si>
    <r>
      <t>Proteoliposomes reconstituted with purified cytochrome </t>
    </r>
    <r>
      <rPr>
        <i/>
        <sz val="10"/>
        <color rgb="FF333333"/>
        <rFont val="Trebuchet MS"/>
        <family val="2"/>
      </rPr>
      <t>bo</t>
    </r>
    <r>
      <rPr>
        <sz val="10"/>
        <color rgb="FF333333"/>
        <rFont val="Trebuchet MS"/>
        <family val="2"/>
      </rPr>
      <t> oxidase, ubiquinone-8 and D-lactate dehydrogenase generate an H</t>
    </r>
    <r>
      <rPr>
        <vertAlign val="superscript"/>
        <sz val="10"/>
        <color rgb="FF333333"/>
        <rFont val="Trebuchet MS"/>
        <family val="2"/>
      </rPr>
      <t>+</t>
    </r>
    <r>
      <rPr>
        <sz val="10"/>
        <color rgb="FF333333"/>
        <rFont val="Trebuchet MS"/>
        <family val="2"/>
      </rPr>
      <t> electrochemical gradient (negative inside) in the presence of D-lactate. Studies using strains with defined respiratory enzyme composition suggest that the electron flow from D-lactate dehydrogenase to ubiquinone is not electrogenic [Matsushita86]. Membrane vesicles prepared from Dld negative mutants do not catalyse D-lactate oxidation [Hong72].</t>
    </r>
  </si>
  <si>
    <t>The crystal structure has been solved at 1.9 Å resolution. The protein contains 3 discontinuous domains - a FAD binding domain, a cap domain and a membrane binding domain. The membrane domain of Dld has an electropositive surface; Dld binds to the membrane through electrostatic force [Dym00, Peersen90, Sun93].</t>
  </si>
  <si>
    <t>D-lactate dehydrogenase was widely used in experiments investigating the mechanism for energy coupling between respiration and active transport (see articles by [Lombardi74], [Harold74] and [Kaback74]).</t>
  </si>
  <si>
    <r>
      <t>E. coli</t>
    </r>
    <r>
      <rPr>
        <sz val="10"/>
        <color rgb="FF333333"/>
        <rFont val="Trebuchet MS"/>
        <family val="2"/>
      </rPr>
      <t> K-12 also contains a membrane bound L-lactate dehydrogenase and a soluble NAD-linked fermentative D-lactate dehydrogenase (ldhA)</t>
    </r>
  </si>
  <si>
    <t>L-lactate dehydrogenase is an FMN-dependent membrane-associated dehydrogenase [Futai77, Dong93a]. It functions in aerobic respiration and also has a role in anaerobic nitrate respiration [Nishimura83, Iuchi94]. L-lactate dehydrogenase is associated with the inner membrane [Kung72, Futai77, LopezCampistrou05].</t>
  </si>
  <si>
    <r>
      <t>LldD is one of three lactate dehydrogenase enzymes which interconvert pyruvate and lactate in </t>
    </r>
    <r>
      <rPr>
        <i/>
        <sz val="10"/>
        <color rgb="FF333333"/>
        <rFont val="Trebuchet MS"/>
        <family val="2"/>
      </rPr>
      <t>E. coli</t>
    </r>
    <r>
      <rPr>
        <sz val="10"/>
        <color rgb="FF333333"/>
        <rFont val="Trebuchet MS"/>
        <family val="2"/>
      </rPr>
      <t>. The other two enzymes are specific for D-lactate: the soluble LdhA, an NAD-linked fermentative enzyme, and Dld, a membrane-associated respiratory enzyme.</t>
    </r>
  </si>
  <si>
    <r>
      <t>L-lactate dehydrogenase is induced by aerobic growth on L-lactate and L-fucose [Cocks74, Futai77, Dong93a] and in the presence of lactate under nitrate, fumarate and TMAO respiration conditions [Nishimura83]. Repression of </t>
    </r>
    <r>
      <rPr>
        <i/>
        <sz val="10"/>
        <color rgb="FF333333"/>
        <rFont val="Trebuchet MS"/>
        <family val="2"/>
      </rPr>
      <t>lldD</t>
    </r>
    <r>
      <rPr>
        <sz val="10"/>
        <color rgb="FF333333"/>
        <rFont val="Trebuchet MS"/>
        <family val="2"/>
      </rPr>
      <t>expression under anaerobic conditions is mediated by ArcA [Iuchi94]. An </t>
    </r>
    <r>
      <rPr>
        <i/>
        <sz val="10"/>
        <color rgb="FF333333"/>
        <rFont val="Trebuchet MS"/>
        <family val="2"/>
      </rPr>
      <t>lldD</t>
    </r>
    <r>
      <rPr>
        <sz val="10"/>
        <color rgb="FF333333"/>
        <rFont val="Trebuchet MS"/>
        <family val="2"/>
      </rPr>
      <t> insertion mutant has lost the ability to grow on L-lactate as the sole source of carbon and energy, but can still utilize D-lactate [Dong93a].</t>
    </r>
  </si>
  <si>
    <t>udhA (sthA)</t>
  </si>
  <si>
    <r>
      <t>E. coli</t>
    </r>
    <r>
      <rPr>
        <sz val="10"/>
        <color rgb="FF333333"/>
        <rFont val="Trebuchet MS"/>
        <family val="2"/>
      </rPr>
      <t> contains both a soluble and a membrane-bound pyridine nucleotide transhydrogenase. The soluble pyridine nucleotide transhydrogenase is the </t>
    </r>
    <r>
      <rPr>
        <i/>
        <sz val="10"/>
        <color rgb="FF333333"/>
        <rFont val="Trebuchet MS"/>
        <family val="2"/>
      </rPr>
      <t>sthA</t>
    </r>
    <r>
      <rPr>
        <sz val="10"/>
        <color rgb="FF333333"/>
        <rFont val="Trebuchet MS"/>
        <family val="2"/>
      </rPr>
      <t> gene product; its primary physiological role appears to be the reoxidation of NADPH [Canonaco01, Sauer04]. The membrane-bound proton-translocating transhydrogenase is the </t>
    </r>
    <r>
      <rPr>
        <i/>
        <sz val="10"/>
        <color rgb="FF333333"/>
        <rFont val="Trebuchet MS"/>
        <family val="2"/>
      </rPr>
      <t>pntAB</t>
    </r>
    <r>
      <rPr>
        <sz val="10"/>
        <color rgb="FF333333"/>
        <rFont val="Trebuchet MS"/>
        <family val="2"/>
      </rPr>
      <t> gene product; PntAB is a major source of NADPH [Sauer04].</t>
    </r>
  </si>
  <si>
    <t>SthA contains noncovalently bound FAD and is present in a form consisting of seven or eight monomers [Boonstra99].</t>
  </si>
  <si>
    <r>
      <t>Moderate overexpression of SthA allows an increased maximal growth rate of a phosphoglucose isomerase mutant [Canonaco01], and a </t>
    </r>
    <r>
      <rPr>
        <i/>
        <sz val="10"/>
        <color rgb="FF333333"/>
        <rFont val="Trebuchet MS"/>
        <family val="2"/>
      </rPr>
      <t>pgi sthA</t>
    </r>
    <r>
      <rPr>
        <sz val="10"/>
        <color rgb="FF333333"/>
        <rFont val="Trebuchet MS"/>
        <family val="2"/>
      </rPr>
      <t> double mutant is not viable [Sauer04]. These phenotypes may be due to the ability of SthA to restore the cellular redox balance under conditions of excess NADPH formation [Canonaco01, Sauer04]. Mutations in </t>
    </r>
    <r>
      <rPr>
        <i/>
        <sz val="10"/>
        <color rgb="FF333333"/>
        <rFont val="Trebuchet MS"/>
        <family val="2"/>
      </rPr>
      <t>sthA</t>
    </r>
    <r>
      <rPr>
        <sz val="10"/>
        <color rgb="FF333333"/>
        <rFont val="Trebuchet MS"/>
        <family val="2"/>
      </rPr>
      <t> appear during adaptation of a </t>
    </r>
    <r>
      <rPr>
        <i/>
        <sz val="10"/>
        <color rgb="FF333333"/>
        <rFont val="Trebuchet MS"/>
        <family val="2"/>
      </rPr>
      <t>pgi</t>
    </r>
    <r>
      <rPr>
        <sz val="10"/>
        <color rgb="FF333333"/>
        <rFont val="Trebuchet MS"/>
        <family val="2"/>
      </rPr>
      <t> mutant strain to growth on glucose minimal medium [Charusanti10].</t>
    </r>
  </si>
  <si>
    <t>Transcription of sthA is downregulated by growth on glycerol [Sauer04].</t>
  </si>
  <si>
    <r>
      <t>EIIA</t>
    </r>
    <r>
      <rPr>
        <vertAlign val="superscript"/>
        <sz val="10"/>
        <color rgb="FF333333"/>
        <rFont val="Trebuchet MS"/>
        <family val="2"/>
      </rPr>
      <t>Glc</t>
    </r>
    <r>
      <rPr>
        <sz val="10"/>
        <color rgb="FF333333"/>
        <rFont val="Trebuchet MS"/>
        <family val="2"/>
      </rPr>
      <t> is an intermediate phosphotransfer protein in the uptake and phosphorylation of glucose [Buhr94], N-acetylmuramic acid [Dahl04] and trehalose [Boos90] and also probably interacts with MalX - a PTS permease whose physiological substrate is unclear [Reidl91]. EIIA</t>
    </r>
    <r>
      <rPr>
        <vertAlign val="superscript"/>
        <sz val="10"/>
        <color rgb="FF333333"/>
        <rFont val="Trebuchet MS"/>
        <family val="2"/>
      </rPr>
      <t>Glc</t>
    </r>
    <r>
      <rPr>
        <sz val="10"/>
        <color rgb="FF333333"/>
        <rFont val="Trebuchet MS"/>
        <family val="2"/>
      </rPr>
      <t> accepts a phosphoryl group from PtsH and transfers it to the the EIIB domain of the sugar PTS permeases.</t>
    </r>
  </si>
  <si>
    <r>
      <t>EIIA</t>
    </r>
    <r>
      <rPr>
        <vertAlign val="superscript"/>
        <sz val="10"/>
        <color rgb="FF333333"/>
        <rFont val="Trebuchet MS"/>
        <family val="2"/>
      </rPr>
      <t>Glc</t>
    </r>
    <r>
      <rPr>
        <sz val="10"/>
        <color rgb="FF333333"/>
        <rFont val="Trebuchet MS"/>
        <family val="2"/>
      </rPr>
      <t> is phosphorylated by phosphoenolpyruvate (PEP) in a reaction requiring PtsH and PtsI. EIIA</t>
    </r>
    <r>
      <rPr>
        <vertAlign val="superscript"/>
        <sz val="10"/>
        <color rgb="FF333333"/>
        <rFont val="Trebuchet MS"/>
        <family val="2"/>
      </rPr>
      <t>Glc</t>
    </r>
    <r>
      <rPr>
        <sz val="10"/>
        <color rgb="FF333333"/>
        <rFont val="Trebuchet MS"/>
        <family val="2"/>
      </rPr>
      <t> is phosphorylated at the N3 position of His90 [Dorschug84, Presper89]. Solution structures of the complex between PtsH and EIIA</t>
    </r>
    <r>
      <rPr>
        <vertAlign val="superscript"/>
        <sz val="10"/>
        <color rgb="FF333333"/>
        <rFont val="Trebuchet MS"/>
        <family val="2"/>
      </rPr>
      <t>Glc</t>
    </r>
    <r>
      <rPr>
        <sz val="10"/>
        <color rgb="FF333333"/>
        <rFont val="Trebuchet MS"/>
        <family val="2"/>
      </rPr>
      <t> and between EIIA</t>
    </r>
    <r>
      <rPr>
        <vertAlign val="superscript"/>
        <sz val="10"/>
        <color rgb="FF333333"/>
        <rFont val="Trebuchet MS"/>
        <family val="2"/>
      </rPr>
      <t>Glc</t>
    </r>
    <r>
      <rPr>
        <sz val="10"/>
        <color rgb="FF333333"/>
        <rFont val="Trebuchet MS"/>
        <family val="2"/>
      </rPr>
      <t> and EIIB</t>
    </r>
    <r>
      <rPr>
        <vertAlign val="superscript"/>
        <sz val="10"/>
        <color rgb="FF333333"/>
        <rFont val="Trebuchet MS"/>
        <family val="2"/>
      </rPr>
      <t>Glc</t>
    </r>
    <r>
      <rPr>
        <sz val="10"/>
        <color rgb="FF333333"/>
        <rFont val="Trebuchet MS"/>
        <family val="2"/>
      </rPr>
      <t> have been determined. The binding surface on EIIA</t>
    </r>
    <r>
      <rPr>
        <vertAlign val="superscript"/>
        <sz val="10"/>
        <color rgb="FF333333"/>
        <rFont val="Trebuchet MS"/>
        <family val="2"/>
      </rPr>
      <t>Glc</t>
    </r>
    <r>
      <rPr>
        <sz val="10"/>
        <color rgb="FF333333"/>
        <rFont val="Trebuchet MS"/>
        <family val="2"/>
      </rPr>
      <t> for EIIB</t>
    </r>
    <r>
      <rPr>
        <vertAlign val="superscript"/>
        <sz val="10"/>
        <color rgb="FF333333"/>
        <rFont val="Trebuchet MS"/>
        <family val="2"/>
      </rPr>
      <t>Glc</t>
    </r>
    <r>
      <rPr>
        <sz val="10"/>
        <color rgb="FF333333"/>
        <rFont val="Trebuchet MS"/>
        <family val="2"/>
      </rPr>
      <t> and PtsH overlap. There are both similarities and differences between the binding interaction of EIIA</t>
    </r>
    <r>
      <rPr>
        <vertAlign val="superscript"/>
        <sz val="10"/>
        <color rgb="FF333333"/>
        <rFont val="Trebuchet MS"/>
        <family val="2"/>
      </rPr>
      <t>Glc</t>
    </r>
    <r>
      <rPr>
        <sz val="10"/>
        <color rgb="FF333333"/>
        <rFont val="Trebuchet MS"/>
        <family val="2"/>
      </rPr>
      <t> with PtsH and EIIB</t>
    </r>
    <r>
      <rPr>
        <vertAlign val="superscript"/>
        <sz val="10"/>
        <color rgb="FF333333"/>
        <rFont val="Trebuchet MS"/>
        <family val="2"/>
      </rPr>
      <t>Glc</t>
    </r>
    <r>
      <rPr>
        <sz val="10"/>
        <color rgb="FF333333"/>
        <rFont val="Trebuchet MS"/>
        <family val="2"/>
      </rPr>
      <t> [Wang00, Cai03].</t>
    </r>
  </si>
  <si>
    <r>
      <t>Two forms of EIIA</t>
    </r>
    <r>
      <rPr>
        <vertAlign val="superscript"/>
        <sz val="10"/>
        <color rgb="FF333333"/>
        <rFont val="Trebuchet MS"/>
        <family val="2"/>
      </rPr>
      <t>Glc</t>
    </r>
    <r>
      <rPr>
        <sz val="10"/>
        <color rgb="FF333333"/>
        <rFont val="Trebuchet MS"/>
        <family val="2"/>
      </rPr>
      <t> have been purified from </t>
    </r>
    <r>
      <rPr>
        <i/>
        <sz val="10"/>
        <color rgb="FF333333"/>
        <rFont val="Trebuchet MS"/>
        <family val="2"/>
      </rPr>
      <t>E.coli</t>
    </r>
    <r>
      <rPr>
        <sz val="10"/>
        <color rgb="FF333333"/>
        <rFont val="Trebuchet MS"/>
        <family val="2"/>
      </rPr>
      <t> K-12 and identified on the basis of electrophoretic mobility as EIIA</t>
    </r>
    <r>
      <rPr>
        <vertAlign val="superscript"/>
        <sz val="10"/>
        <color rgb="FF333333"/>
        <rFont val="Trebuchet MS"/>
        <family val="2"/>
      </rPr>
      <t>Glc</t>
    </r>
    <r>
      <rPr>
        <vertAlign val="subscript"/>
        <sz val="10"/>
        <color rgb="FF333333"/>
        <rFont val="Trebuchet MS"/>
        <family val="2"/>
      </rPr>
      <t>fast</t>
    </r>
    <r>
      <rPr>
        <sz val="10"/>
        <color rgb="FF333333"/>
        <rFont val="Trebuchet MS"/>
        <family val="2"/>
      </rPr>
      <t> and EIIA</t>
    </r>
    <r>
      <rPr>
        <vertAlign val="superscript"/>
        <sz val="10"/>
        <color rgb="FF333333"/>
        <rFont val="Trebuchet MS"/>
        <family val="2"/>
      </rPr>
      <t>Glc</t>
    </r>
    <r>
      <rPr>
        <vertAlign val="subscript"/>
        <sz val="10"/>
        <color rgb="FF333333"/>
        <rFont val="Trebuchet MS"/>
        <family val="2"/>
      </rPr>
      <t>slow</t>
    </r>
    <r>
      <rPr>
        <sz val="10"/>
        <color rgb="FF333333"/>
        <rFont val="Trebuchet MS"/>
        <family val="2"/>
      </rPr>
      <t>. EIIA</t>
    </r>
    <r>
      <rPr>
        <vertAlign val="superscript"/>
        <sz val="10"/>
        <color rgb="FF333333"/>
        <rFont val="Trebuchet MS"/>
        <family val="2"/>
      </rPr>
      <t>Glc</t>
    </r>
    <r>
      <rPr>
        <vertAlign val="subscript"/>
        <sz val="10"/>
        <color rgb="FF333333"/>
        <rFont val="Trebuchet MS"/>
        <family val="2"/>
      </rPr>
      <t>fast</t>
    </r>
    <r>
      <rPr>
        <sz val="10"/>
        <color rgb="FF333333"/>
        <rFont val="Trebuchet MS"/>
        <family val="2"/>
      </rPr>
      <t> lacks an N-terminal heptapeptide region due to proteolytic activity which appears to reside in the outer membrane. The two forms are equally able to act as phosphoacceptors but EIIA</t>
    </r>
    <r>
      <rPr>
        <vertAlign val="superscript"/>
        <sz val="10"/>
        <color rgb="FF333333"/>
        <rFont val="Trebuchet MS"/>
        <family val="2"/>
      </rPr>
      <t>Glc</t>
    </r>
    <r>
      <rPr>
        <vertAlign val="subscript"/>
        <sz val="10"/>
        <color rgb="FF333333"/>
        <rFont val="Trebuchet MS"/>
        <family val="2"/>
      </rPr>
      <t>fast</t>
    </r>
    <r>
      <rPr>
        <sz val="10"/>
        <color rgb="FF333333"/>
        <rFont val="Trebuchet MS"/>
        <family val="2"/>
      </rPr>
      <t> is an inefficient phosphodonor [Meadow86, Meadow82].</t>
    </r>
  </si>
  <si>
    <r>
      <t>Crr or Enzyme IIA</t>
    </r>
    <r>
      <rPr>
        <vertAlign val="superscript"/>
        <sz val="10"/>
        <color rgb="FF333333"/>
        <rFont val="Trebuchet MS"/>
        <family val="2"/>
      </rPr>
      <t>Glc</t>
    </r>
    <r>
      <rPr>
        <sz val="10"/>
        <color rgb="FF333333"/>
        <rFont val="Trebuchet MS"/>
        <family val="2"/>
      </rPr>
      <t> also plays an important role in the regulation of carbon metabolism in </t>
    </r>
    <r>
      <rPr>
        <i/>
        <sz val="10"/>
        <color rgb="FF333333"/>
        <rFont val="Trebuchet MS"/>
        <family val="2"/>
      </rPr>
      <t>E. coli</t>
    </r>
    <r>
      <rPr>
        <sz val="10"/>
        <color rgb="FF333333"/>
        <rFont val="Trebuchet MS"/>
        <family val="2"/>
      </rPr>
      <t> K-12 ([Saier76] and reviewed in [Postma93] and [Deutscher06]). EIIA</t>
    </r>
    <r>
      <rPr>
        <vertAlign val="superscript"/>
        <sz val="10"/>
        <color rgb="FF333333"/>
        <rFont val="Trebuchet MS"/>
        <family val="2"/>
      </rPr>
      <t>Glc</t>
    </r>
    <r>
      <rPr>
        <sz val="10"/>
        <color rgb="FF333333"/>
        <rFont val="Trebuchet MS"/>
        <family val="2"/>
      </rPr>
      <t> is a negative regulator of several enzymes involved in the transport and metabolism of non-PTS carbohydrates such as glycerol, lactose, melibiose and maltose. Purified, unphosphorylated EIIA</t>
    </r>
    <r>
      <rPr>
        <vertAlign val="superscript"/>
        <sz val="10"/>
        <color rgb="FF333333"/>
        <rFont val="Trebuchet MS"/>
        <family val="2"/>
      </rPr>
      <t>Glc</t>
    </r>
    <r>
      <rPr>
        <sz val="10"/>
        <color rgb="FF333333"/>
        <rFont val="Trebuchet MS"/>
        <family val="2"/>
      </rPr>
      <t> binds to, and inhibits galactoside transport by the lactose permease </t>
    </r>
    <r>
      <rPr>
        <i/>
        <sz val="10"/>
        <color rgb="FF333333"/>
        <rFont val="Trebuchet MS"/>
        <family val="2"/>
      </rPr>
      <t>in vitro</t>
    </r>
    <r>
      <rPr>
        <sz val="10"/>
        <color rgb="FF333333"/>
        <rFont val="Trebuchet MS"/>
        <family val="2"/>
      </rPr>
      <t> [Nelson83, Osumi82]. Purified, unphosphorylated EIIA</t>
    </r>
    <r>
      <rPr>
        <vertAlign val="superscript"/>
        <sz val="10"/>
        <color rgb="FF333333"/>
        <rFont val="Trebuchet MS"/>
        <family val="2"/>
      </rPr>
      <t>Glc</t>
    </r>
    <r>
      <rPr>
        <sz val="10"/>
        <color rgb="FF333333"/>
        <rFont val="Trebuchet MS"/>
        <family val="2"/>
      </rPr>
      <t> binds to, and inhibits glycerol kinase </t>
    </r>
    <r>
      <rPr>
        <i/>
        <sz val="10"/>
        <color rgb="FF333333"/>
        <rFont val="Trebuchet MS"/>
        <family val="2"/>
      </rPr>
      <t>in vitro</t>
    </r>
    <r>
      <rPr>
        <sz val="10"/>
        <color rgb="FF333333"/>
        <rFont val="Trebuchet MS"/>
        <family val="2"/>
      </rPr>
      <t> [Novotny85, deBoer86]. Purified EIIA</t>
    </r>
    <r>
      <rPr>
        <vertAlign val="superscript"/>
        <sz val="10"/>
        <color rgb="FF333333"/>
        <rFont val="Trebuchet MS"/>
        <family val="2"/>
      </rPr>
      <t>Glc</t>
    </r>
    <r>
      <rPr>
        <sz val="10"/>
        <color rgb="FF333333"/>
        <rFont val="Trebuchet MS"/>
        <family val="2"/>
      </rPr>
      <t> binds to the melibiose symporter, MelB, in both the presence and absence of melibiose; binding inhibits the conformation dynamics and melibiose affinity of the transport protein [Hariharan14].</t>
    </r>
  </si>
  <si>
    <r>
      <t>EIIA</t>
    </r>
    <r>
      <rPr>
        <vertAlign val="superscript"/>
        <sz val="10"/>
        <color rgb="FF333333"/>
        <rFont val="Trebuchet MS"/>
        <family val="2"/>
      </rPr>
      <t>Glc</t>
    </r>
    <r>
      <rPr>
        <sz val="10"/>
        <color rgb="FF333333"/>
        <rFont val="Trebuchet MS"/>
        <family val="2"/>
      </rPr>
      <t> inhibits the activity of the maltose ABC transporter reconstituted in proteopliposomes [Dean90]. EIIA</t>
    </r>
    <r>
      <rPr>
        <vertAlign val="superscript"/>
        <sz val="10"/>
        <color rgb="FF333333"/>
        <rFont val="Trebuchet MS"/>
        <family val="2"/>
      </rPr>
      <t>Glc</t>
    </r>
    <r>
      <rPr>
        <sz val="10"/>
        <color rgb="FF333333"/>
        <rFont val="Trebuchet MS"/>
        <family val="2"/>
      </rPr>
      <t> interacts with the nucleotide binding domain and the C-terminal regulatory domain of the MalK dimer and inhibits the ATPase activity of the maltose transporter reconstituted in proteoliposomes. The stoichiometry of interaction between EIIA</t>
    </r>
    <r>
      <rPr>
        <vertAlign val="superscript"/>
        <sz val="10"/>
        <color rgb="FF333333"/>
        <rFont val="Trebuchet MS"/>
        <family val="2"/>
      </rPr>
      <t>Glc</t>
    </r>
    <r>
      <rPr>
        <sz val="10"/>
        <color rgb="FF333333"/>
        <rFont val="Trebuchet MS"/>
        <family val="2"/>
      </rPr>
      <t> and MalFGK</t>
    </r>
    <r>
      <rPr>
        <vertAlign val="subscript"/>
        <sz val="10"/>
        <color rgb="FF333333"/>
        <rFont val="Trebuchet MS"/>
        <family val="2"/>
      </rPr>
      <t>2</t>
    </r>
    <r>
      <rPr>
        <sz val="10"/>
        <color rgb="FF333333"/>
        <rFont val="Trebuchet MS"/>
        <family val="2"/>
      </rPr>
      <t> is 2:1 [Bao13]. A crystal structure of EIIA</t>
    </r>
    <r>
      <rPr>
        <vertAlign val="superscript"/>
        <sz val="10"/>
        <color rgb="FF333333"/>
        <rFont val="Trebuchet MS"/>
        <family val="2"/>
      </rPr>
      <t>Glc</t>
    </r>
    <r>
      <rPr>
        <sz val="10"/>
        <color rgb="FF333333"/>
        <rFont val="Trebuchet MS"/>
        <family val="2"/>
      </rPr>
      <t> in complex with the maltose ABC transporter has been obtained. Two molecules of EIIA</t>
    </r>
    <r>
      <rPr>
        <vertAlign val="superscript"/>
        <sz val="10"/>
        <color rgb="FF333333"/>
        <rFont val="Trebuchet MS"/>
        <family val="2"/>
      </rPr>
      <t>Glc</t>
    </r>
    <r>
      <rPr>
        <sz val="10"/>
        <color rgb="FF333333"/>
        <rFont val="Trebuchet MS"/>
        <family val="2"/>
      </rPr>
      <t> interact with the MalK subunits and stabilise an inward facing conformation of the transporter. This interaction would prevent the structural rearrangements required for ATP hydrolysis and maltose transport. The phosphorylation site, His90, is located at the EIIA</t>
    </r>
    <r>
      <rPr>
        <vertAlign val="superscript"/>
        <sz val="10"/>
        <color rgb="FF333333"/>
        <rFont val="Trebuchet MS"/>
        <family val="2"/>
      </rPr>
      <t>Glc</t>
    </r>
    <r>
      <rPr>
        <sz val="10"/>
        <color rgb="FF333333"/>
        <rFont val="Trebuchet MS"/>
        <family val="2"/>
      </rPr>
      <t>-MalK interface, and is in its unphosphorylated form. Phosphorylation of the active histidine is predicted to disrupt the interface [Chen13a].</t>
    </r>
  </si>
  <si>
    <r>
      <t>The N-terminal domain of EIIA</t>
    </r>
    <r>
      <rPr>
        <vertAlign val="superscript"/>
        <sz val="10"/>
        <color rgb="FF333333"/>
        <rFont val="Trebuchet MS"/>
        <family val="2"/>
      </rPr>
      <t>Glc</t>
    </r>
    <r>
      <rPr>
        <sz val="10"/>
        <color rgb="FF333333"/>
        <rFont val="Trebuchet MS"/>
        <family val="2"/>
      </rPr>
      <t> (residues 1-18) adopts a helical conformation in detergent micelles and in the presence of </t>
    </r>
    <r>
      <rPr>
        <i/>
        <sz val="10"/>
        <color rgb="FF333333"/>
        <rFont val="Trebuchet MS"/>
        <family val="2"/>
      </rPr>
      <t>E. coli</t>
    </r>
    <r>
      <rPr>
        <sz val="10"/>
        <color rgb="FF333333"/>
        <rFont val="Trebuchet MS"/>
        <family val="2"/>
      </rPr>
      <t> lipids. The N-terminal domain probably acts as a membrane anchor and allows EIIA</t>
    </r>
    <r>
      <rPr>
        <vertAlign val="superscript"/>
        <sz val="10"/>
        <color rgb="FF333333"/>
        <rFont val="Trebuchet MS"/>
        <family val="2"/>
      </rPr>
      <t>Glc</t>
    </r>
    <r>
      <rPr>
        <sz val="10"/>
        <color rgb="FF333333"/>
        <rFont val="Trebuchet MS"/>
        <family val="2"/>
      </rPr>
      <t> to shuttle between the cytoplasm and the inner membrane [Wang00a, Wang03a]. Full-length EIIA</t>
    </r>
    <r>
      <rPr>
        <vertAlign val="superscript"/>
        <sz val="10"/>
        <color rgb="FF333333"/>
        <rFont val="Trebuchet MS"/>
        <family val="2"/>
      </rPr>
      <t>Glc</t>
    </r>
    <r>
      <rPr>
        <sz val="10"/>
        <color rgb="FF333333"/>
        <rFont val="Trebuchet MS"/>
        <family val="2"/>
      </rPr>
      <t> is concentrated near the inner surface of the cytoplasmic membrane via its N-terminal region [Chen13a].</t>
    </r>
  </si>
  <si>
    <r>
      <t>EIIA</t>
    </r>
    <r>
      <rPr>
        <vertAlign val="superscript"/>
        <sz val="10"/>
        <color rgb="FF333333"/>
        <rFont val="Trebuchet MS"/>
        <family val="2"/>
      </rPr>
      <t>Glc</t>
    </r>
    <r>
      <rPr>
        <sz val="10"/>
        <color rgb="FF333333"/>
        <rFont val="Trebuchet MS"/>
        <family val="2"/>
      </rPr>
      <t> is also involved in the regulation of adenylate cyclase activity although the precise mechanism remains unclear [Saier76a, Feucht80, Daniel84, Liberman86, Peterkofsky88, Levy90, Takahashi98]. A direct interaction between membrane tethered EIIA</t>
    </r>
    <r>
      <rPr>
        <vertAlign val="superscript"/>
        <sz val="10"/>
        <color rgb="FF333333"/>
        <rFont val="Trebuchet MS"/>
        <family val="2"/>
      </rPr>
      <t>Glc</t>
    </r>
    <r>
      <rPr>
        <sz val="10"/>
        <color rgb="FF333333"/>
        <rFont val="Trebuchet MS"/>
        <family val="2"/>
      </rPr>
      <t> (both phosphorylated and unphosphorylated) and adenylate cyclase has been demonstrated </t>
    </r>
    <r>
      <rPr>
        <i/>
        <sz val="10"/>
        <color rgb="FF333333"/>
        <rFont val="Trebuchet MS"/>
        <family val="2"/>
      </rPr>
      <t>in vitro</t>
    </r>
    <r>
      <rPr>
        <sz val="10"/>
        <color rgb="FF333333"/>
        <rFont val="Trebuchet MS"/>
        <family val="2"/>
      </rPr>
      <t> [Park06]. Adenylate cyclase activity is not affected by either phosphorylated or dephosphorylated EIIA</t>
    </r>
    <r>
      <rPr>
        <vertAlign val="superscript"/>
        <sz val="10"/>
        <color rgb="FF333333"/>
        <rFont val="Trebuchet MS"/>
        <family val="2"/>
      </rPr>
      <t>Glc</t>
    </r>
    <r>
      <rPr>
        <sz val="10"/>
        <color rgb="FF333333"/>
        <rFont val="Trebuchet MS"/>
        <family val="2"/>
      </rPr>
      <t>however phosphorylated EIIA</t>
    </r>
    <r>
      <rPr>
        <vertAlign val="superscript"/>
        <sz val="10"/>
        <color rgb="FF333333"/>
        <rFont val="Trebuchet MS"/>
        <family val="2"/>
      </rPr>
      <t>Glc</t>
    </r>
    <r>
      <rPr>
        <sz val="10"/>
        <color rgb="FF333333"/>
        <rFont val="Trebuchet MS"/>
        <family val="2"/>
      </rPr>
      <t> activates adenylate cyclase in the presence of a crude </t>
    </r>
    <r>
      <rPr>
        <i/>
        <sz val="10"/>
        <color rgb="FF333333"/>
        <rFont val="Trebuchet MS"/>
        <family val="2"/>
      </rPr>
      <t>E. coli</t>
    </r>
    <r>
      <rPr>
        <sz val="10"/>
        <color rgb="FF333333"/>
        <rFont val="Trebuchet MS"/>
        <family val="2"/>
      </rPr>
      <t> extract implying that regulation depends upon an additional unidentified factor [Park06]. Phosphorylated EIIA</t>
    </r>
    <r>
      <rPr>
        <vertAlign val="superscript"/>
        <sz val="10"/>
        <color rgb="FF333333"/>
        <rFont val="Trebuchet MS"/>
        <family val="2"/>
      </rPr>
      <t>Glc</t>
    </r>
    <r>
      <rPr>
        <sz val="10"/>
        <color rgb="FF333333"/>
        <rFont val="Trebuchet MS"/>
        <family val="2"/>
      </rPr>
      <t> is a positive effector of adenylate cyclase activity while EIIA</t>
    </r>
    <r>
      <rPr>
        <vertAlign val="superscript"/>
        <sz val="10"/>
        <color rgb="FF333333"/>
        <rFont val="Trebuchet MS"/>
        <family val="2"/>
      </rPr>
      <t>Glc</t>
    </r>
    <r>
      <rPr>
        <sz val="10"/>
        <color rgb="FF333333"/>
        <rFont val="Trebuchet MS"/>
        <family val="2"/>
      </rPr>
      <t> does not affect basal activity [Reddy98].</t>
    </r>
  </si>
  <si>
    <t>crr insertion mutants were identified in a genetic screen for genes that are important for survival of exposure to ionizing radiation (IR). A crr deletion mutant has a moderate decrease in IR survival [Byrne14].</t>
  </si>
  <si>
    <t>Reviews: [Chen93, Peterkofsky89]</t>
  </si>
  <si>
    <r>
      <t>crr</t>
    </r>
    <r>
      <rPr>
        <sz val="10"/>
        <color rgb="FF333333"/>
        <rFont val="Trebuchet MS"/>
        <family val="2"/>
      </rPr>
      <t>: </t>
    </r>
    <r>
      <rPr>
        <u/>
        <sz val="10"/>
        <color rgb="FF333333"/>
        <rFont val="Trebuchet MS"/>
        <family val="2"/>
      </rPr>
      <t>c</t>
    </r>
    <r>
      <rPr>
        <sz val="10"/>
        <color rgb="FF333333"/>
        <rFont val="Trebuchet MS"/>
        <family val="2"/>
      </rPr>
      <t>arbohydrate </t>
    </r>
    <r>
      <rPr>
        <u/>
        <sz val="10"/>
        <color rgb="FF333333"/>
        <rFont val="Trebuchet MS"/>
        <family val="2"/>
      </rPr>
      <t>r</t>
    </r>
    <r>
      <rPr>
        <sz val="10"/>
        <color rgb="FF333333"/>
        <rFont val="Trebuchet MS"/>
        <family val="2"/>
      </rPr>
      <t>epression </t>
    </r>
    <r>
      <rPr>
        <u/>
        <sz val="10"/>
        <color rgb="FF333333"/>
        <rFont val="Trebuchet MS"/>
        <family val="2"/>
      </rPr>
      <t>r</t>
    </r>
    <r>
      <rPr>
        <sz val="10"/>
        <color rgb="FF333333"/>
        <rFont val="Trebuchet MS"/>
        <family val="2"/>
      </rPr>
      <t>esistant</t>
    </r>
  </si>
  <si>
    <r>
      <t>PtsG belongs to the bacterial phosphotransferase system and mediates uptake with concomittant phosphorylation of glucose. PtsG consists of a large hydrophobic domain (IIC domain) that spans the membrane 8 - 10 times and contains the sugar binding site plus a smaller hydrophilic domain (IIB domain) that is exposed on the cytoplasmic face of the membrane and is the site of phosphotransfer from EIIA</t>
    </r>
    <r>
      <rPr>
        <vertAlign val="superscript"/>
        <sz val="10"/>
        <color rgb="FF333333"/>
        <rFont val="Trebuchet MS"/>
        <family val="2"/>
      </rPr>
      <t>glc</t>
    </r>
    <r>
      <rPr>
        <sz val="10"/>
        <color rgb="FF333333"/>
        <rFont val="Trebuchet MS"/>
        <family val="2"/>
      </rPr>
      <t> (Crr) to O-6' of glucose. Purified PtsG is a homodimeric protein [Meins88, Buhr93, Zhuang99]. Phosphorylated PtsG is an intermediate during transport and phosphorylation of glucose [Begley82]. Purified EIIBC</t>
    </r>
    <r>
      <rPr>
        <vertAlign val="superscript"/>
        <sz val="10"/>
        <color rgb="FF333333"/>
        <rFont val="Trebuchet MS"/>
        <family val="2"/>
      </rPr>
      <t>glc</t>
    </r>
    <r>
      <rPr>
        <sz val="10"/>
        <color rgb="FF333333"/>
        <rFont val="Trebuchet MS"/>
        <family val="2"/>
      </rPr>
      <t> is phosphorylated in the presence of phosphoenolpyruvate, Enzyme I (PtsI), HPr (PtsH) and EIIA</t>
    </r>
    <r>
      <rPr>
        <vertAlign val="superscript"/>
        <sz val="10"/>
        <color rgb="FF333333"/>
        <rFont val="Trebuchet MS"/>
        <family val="2"/>
      </rPr>
      <t>glc</t>
    </r>
    <r>
      <rPr>
        <sz val="10"/>
        <color rgb="FF333333"/>
        <rFont val="Trebuchet MS"/>
        <family val="2"/>
      </rPr>
      <t> (Crr) [Meins93]. Cysteine residue 421 is required for transport and phosphorylation of glucose [Nuoffer88, Meins93].</t>
    </r>
  </si>
  <si>
    <r>
      <t>PtsG may exist in two forms. It is oligomeric within the membrane and monomeric in its soluble form in the cytoplasm. Both forms exhibit PEP-dependent sugar phosphorylation and sugar phosphate-dependent transphosphorylation activity, though the kinetic properties of these reactions differ between the two forms of the protein [Aboulwafa03, Aboulwafa04, Aboulwafa11]. Soluble and membrane integrated forms of PtsG </t>
    </r>
    <r>
      <rPr>
        <vertAlign val="superscript"/>
        <sz val="10"/>
        <color rgb="FF333333"/>
        <rFont val="Trebuchet MS"/>
        <family val="2"/>
      </rPr>
      <t>glc</t>
    </r>
    <r>
      <rPr>
        <sz val="10"/>
        <color rgb="FF333333"/>
        <rFont val="Trebuchet MS"/>
        <family val="2"/>
      </rPr>
      <t> can be interconverted </t>
    </r>
    <r>
      <rPr>
        <i/>
        <sz val="10"/>
        <color rgb="FF333333"/>
        <rFont val="Trebuchet MS"/>
        <family val="2"/>
      </rPr>
      <t>in vitro</t>
    </r>
    <r>
      <rPr>
        <sz val="10"/>
        <color rgb="FF333333"/>
        <rFont val="Trebuchet MS"/>
        <family val="2"/>
      </rPr>
      <t>[Aboulwafa07].</t>
    </r>
  </si>
  <si>
    <t>The IIB domain of PtsG forms a spit α/β sandwich containing 4 β strands and 3 α helices. The active cysteine residue is located on a convex surface surrounded by hydrophobic residues [Eberstadt96, Golic94, Buhr94]. A mutant form of the IIC domain of PtsG has been overexpressed, purified and crystallised [Zurbriggen10, Jeckelmann11].</t>
  </si>
  <si>
    <r>
      <t>The monocistronic </t>
    </r>
    <r>
      <rPr>
        <i/>
        <sz val="10"/>
        <color rgb="FF333333"/>
        <rFont val="Trebuchet MS"/>
        <family val="2"/>
      </rPr>
      <t>ptsG</t>
    </r>
    <r>
      <rPr>
        <sz val="10"/>
        <color rgb="FF333333"/>
        <rFont val="Trebuchet MS"/>
        <family val="2"/>
      </rPr>
      <t> operon is subject to multiple layers of transcriptional and post-transcriptional control (reviewed in [Plumbridge02] and [Deutscher06]). Expression of </t>
    </r>
    <r>
      <rPr>
        <i/>
        <sz val="10"/>
        <color rgb="FF333333"/>
        <rFont val="Trebuchet MS"/>
        <family val="2"/>
      </rPr>
      <t>ptsG</t>
    </r>
    <r>
      <rPr>
        <sz val="10"/>
        <color rgb="FF333333"/>
        <rFont val="Trebuchet MS"/>
        <family val="2"/>
      </rPr>
      <t> is stimulated by the cyclic AMP-cyclic AMP receptor protein (CRP) complex and repressed by the Mlc transcriptional regulator [Kimata97, Plumbridge98, Kimata98, Zeppenfeld00, Lee00, Tanaka00].</t>
    </r>
  </si>
  <si>
    <t>Citations: [Erni86, Gutknecht98, Lanz98, Meadow05, Peterkofsky01]</t>
  </si>
  <si>
    <t>Locations: cytosol, inner membrane</t>
  </si>
  <si>
    <t>Reactions  (mmol/gdcw/h)</t>
  </si>
  <si>
    <t>G3P -&gt; PGP</t>
  </si>
  <si>
    <t>3PG -&gt; 2PG</t>
  </si>
  <si>
    <t>Specific rates (mmol/gdcw/h)</t>
  </si>
  <si>
    <t>Reference</t>
  </si>
  <si>
    <t>Protein</t>
  </si>
  <si>
    <t>Metabolite</t>
  </si>
  <si>
    <t>mmol/L</t>
  </si>
  <si>
    <t>K02</t>
  </si>
  <si>
    <t>RNA</t>
  </si>
  <si>
    <t>Protein concentration</t>
  </si>
  <si>
    <t>RNA (it seems to always underestimate the actual protein concentration)</t>
  </si>
  <si>
    <t>Interpolated protein concentration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</si>
</sst>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0"/>
      <color theme="1"/>
      <name val="HG PゴシックB Sun"/>
    </font>
    <font>
      <sz val="10"/>
      <color theme="1"/>
      <name val="Arial"/>
      <family val="2"/>
    </font>
    <font>
      <sz val="10"/>
      <color rgb="FFFF0000"/>
      <name val="HG PゴシックB Sun"/>
    </font>
    <font>
      <i/>
      <sz val="10"/>
      <color theme="1"/>
      <name val="Arial"/>
      <family val="2"/>
    </font>
    <font>
      <b/>
      <sz val="24"/>
      <color rgb="FF000000"/>
      <name val="HG PゴシックB Sun"/>
    </font>
    <font>
      <sz val="11"/>
      <color theme="1"/>
      <name val="Arial"/>
      <family val="2"/>
    </font>
    <font>
      <sz val="10"/>
      <color rgb="FF333333"/>
      <name val="Trebuchet MS"/>
      <family val="2"/>
    </font>
    <font>
      <i/>
      <sz val="10"/>
      <color rgb="FF333333"/>
      <name val="Trebuchet MS"/>
      <family val="2"/>
    </font>
    <font>
      <u/>
      <sz val="11"/>
      <color theme="10"/>
      <name val="Calibri"/>
      <family val="2"/>
      <scheme val="minor"/>
    </font>
    <font>
      <b/>
      <sz val="10"/>
      <color rgb="FF333333"/>
      <name val="Trebuchet MS"/>
      <family val="2"/>
    </font>
    <font>
      <vertAlign val="superscript"/>
      <sz val="10"/>
      <color rgb="FF333333"/>
      <name val="Trebuchet MS"/>
      <family val="2"/>
    </font>
    <font>
      <sz val="10"/>
      <color rgb="FF333333"/>
      <name val="Arial"/>
      <family val="2"/>
    </font>
    <font>
      <i/>
      <sz val="10"/>
      <color rgb="FF333333"/>
      <name val="Arial"/>
      <family val="2"/>
    </font>
    <font>
      <vertAlign val="subscript"/>
      <sz val="10"/>
      <color rgb="FF333333"/>
      <name val="Arial"/>
      <family val="2"/>
    </font>
    <font>
      <b/>
      <sz val="10"/>
      <color rgb="FF333333"/>
      <name val="Arial"/>
      <family val="2"/>
    </font>
    <font>
      <vertAlign val="superscript"/>
      <sz val="10"/>
      <color rgb="FF333333"/>
      <name val="Arial"/>
      <family val="2"/>
    </font>
    <font>
      <vertAlign val="subscript"/>
      <sz val="10"/>
      <color rgb="FF333333"/>
      <name val="Trebuchet MS"/>
      <family val="2"/>
    </font>
    <font>
      <sz val="10"/>
      <color theme="1"/>
      <name val="Aria;"/>
    </font>
    <font>
      <u/>
      <sz val="10"/>
      <color rgb="FF333333"/>
      <name val="Trebuchet MS"/>
      <family val="2"/>
    </font>
  </fonts>
  <fills count="18">
    <fill>
      <patternFill patternType="none"/>
    </fill>
    <fill>
      <patternFill patternType="gray125"/>
    </fill>
    <fill>
      <patternFill patternType="solid">
        <fgColor rgb="FF00FFFF"/>
        <bgColor indexed="64"/>
      </patternFill>
    </fill>
    <fill>
      <patternFill patternType="solid">
        <fgColor rgb="FFEDF3FE"/>
        <bgColor indexed="64"/>
      </patternFill>
    </fill>
    <fill>
      <patternFill patternType="solid">
        <fgColor rgb="FFFFCC99"/>
        <bgColor indexed="64"/>
      </patternFill>
    </fill>
    <fill>
      <patternFill patternType="solid">
        <fgColor rgb="FFCCFFFF"/>
        <bgColor indexed="64"/>
      </patternFill>
    </fill>
    <fill>
      <patternFill patternType="solid">
        <fgColor rgb="FFCCFFCC"/>
        <bgColor indexed="64"/>
      </patternFill>
    </fill>
    <fill>
      <patternFill patternType="solid">
        <fgColor rgb="FF00FF00"/>
        <bgColor indexed="64"/>
      </patternFill>
    </fill>
    <fill>
      <patternFill patternType="solid">
        <fgColor rgb="FFFF00FF"/>
        <bgColor indexed="64"/>
      </patternFill>
    </fill>
    <fill>
      <patternFill patternType="solid">
        <fgColor rgb="FFFFFFFF"/>
        <bgColor indexed="64"/>
      </patternFill>
    </fill>
    <fill>
      <patternFill patternType="solid">
        <fgColor rgb="FF6AF2A8"/>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FE2F2A"/>
        <bgColor indexed="64"/>
      </patternFill>
    </fill>
    <fill>
      <patternFill patternType="solid">
        <fgColor theme="8" tint="0.79998168889431442"/>
        <bgColor indexed="64"/>
      </patternFill>
    </fill>
    <fill>
      <patternFill patternType="solid">
        <fgColor rgb="FFFFFF00"/>
        <bgColor indexed="64"/>
      </patternFill>
    </fill>
    <fill>
      <patternFill patternType="solid">
        <fgColor theme="8" tint="0.39997558519241921"/>
        <bgColor indexed="64"/>
      </patternFill>
    </fill>
    <fill>
      <patternFill patternType="solid">
        <fgColor theme="8" tint="0.59999389629810485"/>
        <bgColor indexed="64"/>
      </patternFill>
    </fill>
  </fills>
  <borders count="54">
    <border>
      <left/>
      <right/>
      <top/>
      <bottom/>
      <diagonal/>
    </border>
    <border>
      <left style="thin">
        <color rgb="FF000000"/>
      </left>
      <right style="medium">
        <color rgb="FFCCCCCC"/>
      </right>
      <top style="thin">
        <color rgb="FF000000"/>
      </top>
      <bottom style="thin">
        <color rgb="FF000000"/>
      </bottom>
      <diagonal/>
    </border>
    <border>
      <left style="medium">
        <color rgb="FF888888"/>
      </left>
      <right/>
      <top style="medium">
        <color rgb="FF888888"/>
      </top>
      <bottom/>
      <diagonal/>
    </border>
    <border>
      <left/>
      <right/>
      <top style="medium">
        <color rgb="FF888888"/>
      </top>
      <bottom/>
      <diagonal/>
    </border>
    <border>
      <left/>
      <right style="medium">
        <color rgb="FF888888"/>
      </right>
      <top style="medium">
        <color rgb="FF888888"/>
      </top>
      <bottom/>
      <diagonal/>
    </border>
    <border>
      <left style="medium">
        <color rgb="FF888888"/>
      </left>
      <right style="medium">
        <color rgb="FFCCCCCC"/>
      </right>
      <top style="thin">
        <color rgb="FF000000"/>
      </top>
      <bottom style="thin">
        <color rgb="FF000000"/>
      </bottom>
      <diagonal/>
    </border>
    <border>
      <left style="thin">
        <color rgb="FF000000"/>
      </left>
      <right style="medium">
        <color rgb="FF888888"/>
      </right>
      <top style="thin">
        <color rgb="FF000000"/>
      </top>
      <bottom style="thin">
        <color rgb="FF000000"/>
      </bottom>
      <diagonal/>
    </border>
    <border>
      <left style="medium">
        <color rgb="FF888888"/>
      </left>
      <right style="medium">
        <color rgb="FFCCCCCC"/>
      </right>
      <top style="thin">
        <color rgb="FF000000"/>
      </top>
      <bottom style="medium">
        <color rgb="FF888888"/>
      </bottom>
      <diagonal/>
    </border>
    <border>
      <left style="thin">
        <color rgb="FF000000"/>
      </left>
      <right style="medium">
        <color rgb="FFCCCCCC"/>
      </right>
      <top style="thin">
        <color rgb="FF000000"/>
      </top>
      <bottom style="medium">
        <color rgb="FF888888"/>
      </bottom>
      <diagonal/>
    </border>
    <border>
      <left/>
      <right style="medium">
        <color rgb="FF888888"/>
      </right>
      <top/>
      <bottom style="medium">
        <color rgb="FF888888"/>
      </bottom>
      <diagonal/>
    </border>
    <border>
      <left style="medium">
        <color rgb="FF888888"/>
      </left>
      <right style="medium">
        <color rgb="FFCCCCCC"/>
      </right>
      <top style="medium">
        <color rgb="FF888888"/>
      </top>
      <bottom style="thin">
        <color rgb="FF000000"/>
      </bottom>
      <diagonal/>
    </border>
    <border>
      <left style="thin">
        <color rgb="FF000000"/>
      </left>
      <right style="medium">
        <color rgb="FFCCCCCC"/>
      </right>
      <top style="medium">
        <color rgb="FF888888"/>
      </top>
      <bottom style="thin">
        <color rgb="FF000000"/>
      </bottom>
      <diagonal/>
    </border>
    <border>
      <left style="thin">
        <color rgb="FF000000"/>
      </left>
      <right style="medium">
        <color rgb="FF888888"/>
      </right>
      <top style="medium">
        <color rgb="FF888888"/>
      </top>
      <bottom style="thin">
        <color rgb="FF000000"/>
      </bottom>
      <diagonal/>
    </border>
    <border>
      <left style="thin">
        <color rgb="FF000000"/>
      </left>
      <right style="medium">
        <color rgb="FF888888"/>
      </right>
      <top style="thin">
        <color rgb="FF000000"/>
      </top>
      <bottom style="medium">
        <color rgb="FF888888"/>
      </bottom>
      <diagonal/>
    </border>
    <border>
      <left style="thin">
        <color rgb="FF000000"/>
      </left>
      <right style="medium">
        <color rgb="FFCCCCCC"/>
      </right>
      <top/>
      <bottom/>
      <diagonal/>
    </border>
    <border>
      <left style="medium">
        <color indexed="64"/>
      </left>
      <right style="medium">
        <color indexed="64"/>
      </right>
      <top style="medium">
        <color indexed="64"/>
      </top>
      <bottom style="medium">
        <color indexed="64"/>
      </bottom>
      <diagonal/>
    </border>
    <border>
      <left/>
      <right style="medium">
        <color rgb="FFCCCCCC"/>
      </right>
      <top style="medium">
        <color rgb="FF888888"/>
      </top>
      <bottom style="thin">
        <color rgb="FF000000"/>
      </bottom>
      <diagonal/>
    </border>
    <border>
      <left/>
      <right style="medium">
        <color rgb="FFCCCCCC"/>
      </right>
      <top style="thin">
        <color rgb="FF000000"/>
      </top>
      <bottom style="thin">
        <color rgb="FF000000"/>
      </bottom>
      <diagonal/>
    </border>
    <border>
      <left style="medium">
        <color indexed="64"/>
      </left>
      <right style="medium">
        <color rgb="FFCCCCCC"/>
      </right>
      <top style="medium">
        <color indexed="64"/>
      </top>
      <bottom style="thin">
        <color rgb="FF000000"/>
      </bottom>
      <diagonal/>
    </border>
    <border>
      <left style="thin">
        <color rgb="FF000000"/>
      </left>
      <right style="medium">
        <color rgb="FFCCCCCC"/>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medium">
        <color rgb="FFCCCCCC"/>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medium">
        <color rgb="FFCCCCCC"/>
      </right>
      <top style="thin">
        <color rgb="FF000000"/>
      </top>
      <bottom style="medium">
        <color indexed="64"/>
      </bottom>
      <diagonal/>
    </border>
    <border>
      <left style="thin">
        <color rgb="FF000000"/>
      </left>
      <right style="medium">
        <color rgb="FFCCCCCC"/>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top style="medium">
        <color rgb="FF888888"/>
      </top>
      <bottom style="thin">
        <color rgb="FF000000"/>
      </bottom>
      <diagonal/>
    </border>
    <border>
      <left style="thin">
        <color rgb="FF000000"/>
      </left>
      <right/>
      <top style="thin">
        <color rgb="FF000000"/>
      </top>
      <bottom style="thin">
        <color rgb="FF000000"/>
      </bottom>
      <diagonal/>
    </border>
    <border>
      <left style="medium">
        <color indexed="64"/>
      </left>
      <right style="medium">
        <color rgb="FFCCCCCC"/>
      </right>
      <top style="medium">
        <color indexed="64"/>
      </top>
      <bottom/>
      <diagonal/>
    </border>
    <border>
      <left style="medium">
        <color indexed="64"/>
      </left>
      <right style="medium">
        <color rgb="FFCCCCCC"/>
      </right>
      <top/>
      <bottom style="thin">
        <color rgb="FF000000"/>
      </bottom>
      <diagonal/>
    </border>
    <border>
      <left style="medium">
        <color indexed="64"/>
      </left>
      <right/>
      <top style="thin">
        <color rgb="FF000000"/>
      </top>
      <bottom style="thin">
        <color rgb="FF000000"/>
      </bottom>
      <diagonal/>
    </border>
    <border>
      <left style="medium">
        <color indexed="64"/>
      </left>
      <right/>
      <top style="thin">
        <color rgb="FF000000"/>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thin">
        <color rgb="FF000000"/>
      </bottom>
      <diagonal/>
    </border>
    <border>
      <left style="medium">
        <color indexed="64"/>
      </left>
      <right style="medium">
        <color rgb="FFCCCCCC"/>
      </right>
      <top/>
      <bottom/>
      <diagonal/>
    </border>
    <border>
      <left style="thin">
        <color rgb="FF000000"/>
      </left>
      <right style="medium">
        <color indexed="64"/>
      </right>
      <top/>
      <bottom style="thin">
        <color rgb="FF000000"/>
      </bottom>
      <diagonal/>
    </border>
    <border>
      <left style="medium">
        <color indexed="64"/>
      </left>
      <right style="medium">
        <color rgb="FFCCCCCC"/>
      </right>
      <top style="thin">
        <color rgb="FF000000"/>
      </top>
      <bottom/>
      <diagonal/>
    </border>
    <border>
      <left style="thin">
        <color rgb="FF000000"/>
      </left>
      <right style="medium">
        <color indexed="64"/>
      </right>
      <top style="thin">
        <color rgb="FF000000"/>
      </top>
      <bottom/>
      <diagonal/>
    </border>
    <border>
      <left style="thin">
        <color rgb="FF000000"/>
      </left>
      <right style="medium">
        <color rgb="FFCCCCCC"/>
      </right>
      <top style="thin">
        <color rgb="FF000000"/>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CCCCCC"/>
      </left>
      <right style="medium">
        <color rgb="FFCCCCCC"/>
      </right>
      <top style="thin">
        <color rgb="FF000000"/>
      </top>
      <bottom/>
      <diagonal/>
    </border>
    <border>
      <left style="medium">
        <color rgb="FFCCCCCC"/>
      </left>
      <right style="medium">
        <color rgb="FFCCCCCC"/>
      </right>
      <top/>
      <bottom style="thin">
        <color rgb="FF000000"/>
      </bottom>
      <diagonal/>
    </border>
    <border>
      <left style="medium">
        <color indexed="64"/>
      </left>
      <right style="medium">
        <color indexed="64"/>
      </right>
      <top style="medium">
        <color indexed="64"/>
      </top>
      <bottom style="thin">
        <color rgb="FF000000"/>
      </bottom>
      <diagonal/>
    </border>
  </borders>
  <cellStyleXfs count="2">
    <xf numFmtId="0" fontId="0" fillId="0" borderId="0"/>
    <xf numFmtId="0" fontId="9" fillId="0" borderId="0" applyNumberFormat="0" applyFill="0" applyBorder="0" applyAlignment="0" applyProtection="0"/>
  </cellStyleXfs>
  <cellXfs count="248">
    <xf numFmtId="0" fontId="0" fillId="0" borderId="0" xfId="0"/>
    <xf numFmtId="0" fontId="2" fillId="2"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2" fillId="0" borderId="1" xfId="0" applyFont="1" applyBorder="1" applyAlignment="1">
      <alignment horizontal="left" vertical="center" wrapText="1"/>
    </xf>
    <xf numFmtId="0" fontId="1" fillId="0" borderId="1" xfId="0" applyFont="1" applyBorder="1" applyAlignment="1">
      <alignment horizontal="left" vertical="center" wrapText="1"/>
    </xf>
    <xf numFmtId="0" fontId="2" fillId="3"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1" fillId="5" borderId="1" xfId="0" applyFont="1" applyFill="1" applyBorder="1" applyAlignment="1">
      <alignment horizontal="left" vertical="center" wrapText="1"/>
    </xf>
    <xf numFmtId="0" fontId="1" fillId="6" borderId="1" xfId="0" applyFont="1" applyFill="1" applyBorder="1" applyAlignment="1">
      <alignment horizontal="left" vertical="center" wrapText="1"/>
    </xf>
    <xf numFmtId="0" fontId="0" fillId="0" borderId="2" xfId="0" applyBorder="1"/>
    <xf numFmtId="0" fontId="0" fillId="0" borderId="3" xfId="0" applyBorder="1"/>
    <xf numFmtId="0" fontId="0" fillId="0" borderId="4" xfId="0" applyBorder="1"/>
    <xf numFmtId="0" fontId="2" fillId="2" borderId="5" xfId="0" applyFont="1" applyFill="1" applyBorder="1" applyAlignment="1">
      <alignment horizontal="left" vertical="center" wrapText="1"/>
    </xf>
    <xf numFmtId="0" fontId="1" fillId="3" borderId="6" xfId="0" applyFont="1" applyFill="1" applyBorder="1" applyAlignment="1">
      <alignment horizontal="left" vertical="center" wrapText="1"/>
    </xf>
    <xf numFmtId="0" fontId="2" fillId="0" borderId="5" xfId="0" applyFont="1" applyBorder="1" applyAlignment="1">
      <alignment horizontal="left" vertical="center" wrapText="1"/>
    </xf>
    <xf numFmtId="0" fontId="1" fillId="0" borderId="6" xfId="0" applyFont="1" applyBorder="1" applyAlignment="1">
      <alignment horizontal="left" vertical="center" wrapText="1"/>
    </xf>
    <xf numFmtId="0" fontId="2" fillId="3" borderId="5" xfId="0" applyFont="1" applyFill="1" applyBorder="1" applyAlignment="1">
      <alignment horizontal="left" vertical="center" wrapText="1"/>
    </xf>
    <xf numFmtId="0" fontId="1"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3" borderId="6" xfId="0" applyFont="1" applyFill="1" applyBorder="1" applyAlignment="1">
      <alignment horizontal="left" vertical="center" wrapText="1"/>
    </xf>
    <xf numFmtId="0" fontId="2" fillId="0" borderId="6" xfId="0" applyFont="1" applyBorder="1" applyAlignment="1">
      <alignment horizontal="left" vertical="center" wrapText="1"/>
    </xf>
    <xf numFmtId="0" fontId="1" fillId="3" borderId="5" xfId="0" applyFont="1" applyFill="1" applyBorder="1" applyAlignment="1">
      <alignment horizontal="left" vertical="center" wrapText="1"/>
    </xf>
    <xf numFmtId="0" fontId="2" fillId="3" borderId="6"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0" borderId="5" xfId="0" applyFont="1" applyBorder="1" applyAlignment="1">
      <alignment horizontal="left" vertical="center" wrapText="1"/>
    </xf>
    <xf numFmtId="0" fontId="2" fillId="0" borderId="7" xfId="0" applyFont="1" applyBorder="1" applyAlignment="1">
      <alignment horizontal="left" vertical="center" wrapText="1"/>
    </xf>
    <xf numFmtId="0" fontId="1" fillId="0" borderId="8" xfId="0" applyFont="1" applyBorder="1" applyAlignment="1">
      <alignment horizontal="left" vertical="center" wrapText="1"/>
    </xf>
    <xf numFmtId="0" fontId="0" fillId="0" borderId="9" xfId="0" applyBorder="1"/>
    <xf numFmtId="0" fontId="0" fillId="0" borderId="9" xfId="0" applyBorder="1" applyAlignment="1">
      <alignment wrapText="1"/>
    </xf>
    <xf numFmtId="0" fontId="2" fillId="7" borderId="1" xfId="0" applyFont="1" applyFill="1" applyBorder="1" applyAlignment="1">
      <alignment horizontal="left" vertical="center" wrapText="1"/>
    </xf>
    <xf numFmtId="0" fontId="1" fillId="7" borderId="1" xfId="0" applyFont="1" applyFill="1" applyBorder="1" applyAlignment="1">
      <alignment horizontal="left" vertical="center" wrapText="1"/>
    </xf>
    <xf numFmtId="0" fontId="2" fillId="7" borderId="1" xfId="0" applyFont="1" applyFill="1" applyBorder="1" applyAlignment="1">
      <alignment horizontal="right" vertical="center" wrapText="1"/>
    </xf>
    <xf numFmtId="0" fontId="2" fillId="8" borderId="1" xfId="0" applyFont="1" applyFill="1" applyBorder="1" applyAlignment="1">
      <alignment horizontal="left" vertical="center" wrapText="1"/>
    </xf>
    <xf numFmtId="0" fontId="1" fillId="8" borderId="1" xfId="0" applyFont="1" applyFill="1" applyBorder="1" applyAlignment="1">
      <alignment horizontal="left" vertical="center" wrapText="1"/>
    </xf>
    <xf numFmtId="11" fontId="2" fillId="3" borderId="1" xfId="0" applyNumberFormat="1" applyFont="1" applyFill="1" applyBorder="1" applyAlignment="1">
      <alignment horizontal="right" vertical="center" wrapText="1"/>
    </xf>
    <xf numFmtId="11" fontId="2" fillId="0" borderId="1" xfId="0" applyNumberFormat="1" applyFont="1" applyBorder="1" applyAlignment="1">
      <alignment horizontal="right" vertical="center" wrapText="1"/>
    </xf>
    <xf numFmtId="0" fontId="2" fillId="7" borderId="10" xfId="0" applyFont="1" applyFill="1" applyBorder="1" applyAlignment="1">
      <alignment horizontal="left" vertical="center" wrapText="1"/>
    </xf>
    <xf numFmtId="0" fontId="2" fillId="7" borderId="11" xfId="0" applyFont="1" applyFill="1" applyBorder="1" applyAlignment="1">
      <alignment horizontal="left" vertical="center" wrapText="1"/>
    </xf>
    <xf numFmtId="0" fontId="1" fillId="7" borderId="11" xfId="0" applyFont="1" applyFill="1"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2" fillId="7" borderId="5" xfId="0" applyFont="1" applyFill="1" applyBorder="1" applyAlignment="1">
      <alignment horizontal="left" vertical="center" wrapText="1"/>
    </xf>
    <xf numFmtId="0" fontId="1" fillId="8" borderId="6" xfId="0" applyFont="1" applyFill="1" applyBorder="1" applyAlignment="1">
      <alignment horizontal="left" vertical="center" wrapText="1"/>
    </xf>
    <xf numFmtId="0" fontId="2" fillId="2" borderId="6" xfId="0" applyFont="1" applyFill="1" applyBorder="1" applyAlignment="1">
      <alignment horizontal="left" vertical="center" wrapText="1"/>
    </xf>
    <xf numFmtId="11" fontId="2" fillId="3" borderId="6" xfId="0" applyNumberFormat="1" applyFont="1" applyFill="1" applyBorder="1" applyAlignment="1">
      <alignment horizontal="right" vertical="center" wrapText="1"/>
    </xf>
    <xf numFmtId="11" fontId="2" fillId="0" borderId="6" xfId="0" applyNumberFormat="1" applyFont="1" applyBorder="1" applyAlignment="1">
      <alignment horizontal="right" vertical="center" wrapText="1"/>
    </xf>
    <xf numFmtId="0" fontId="2" fillId="2" borderId="7" xfId="0" applyFont="1" applyFill="1" applyBorder="1" applyAlignment="1">
      <alignment horizontal="left" vertical="center" wrapText="1"/>
    </xf>
    <xf numFmtId="11" fontId="2" fillId="3" borderId="8" xfId="0" applyNumberFormat="1" applyFont="1" applyFill="1" applyBorder="1" applyAlignment="1">
      <alignment horizontal="right" vertical="center" wrapText="1"/>
    </xf>
    <xf numFmtId="0" fontId="1" fillId="3" borderId="8" xfId="0" applyFont="1" applyFill="1" applyBorder="1" applyAlignment="1">
      <alignment horizontal="left" vertical="center" wrapText="1"/>
    </xf>
    <xf numFmtId="11" fontId="2" fillId="3" borderId="13" xfId="0" applyNumberFormat="1" applyFont="1" applyFill="1" applyBorder="1" applyAlignment="1">
      <alignment horizontal="right" vertical="center" wrapText="1"/>
    </xf>
    <xf numFmtId="0" fontId="5" fillId="0" borderId="0" xfId="0" applyFont="1" applyAlignment="1">
      <alignment vertical="center" wrapText="1"/>
    </xf>
    <xf numFmtId="0" fontId="6" fillId="0" borderId="0" xfId="0" applyFont="1"/>
    <xf numFmtId="11" fontId="6" fillId="0" borderId="0" xfId="0" applyNumberFormat="1" applyFont="1"/>
    <xf numFmtId="11" fontId="2" fillId="0" borderId="8" xfId="0" applyNumberFormat="1" applyFont="1" applyBorder="1" applyAlignment="1">
      <alignment horizontal="right" vertical="center" wrapText="1"/>
    </xf>
    <xf numFmtId="0" fontId="2" fillId="3" borderId="1" xfId="0" applyFont="1" applyFill="1" applyBorder="1" applyAlignment="1">
      <alignment horizontal="right" vertical="center" wrapText="1"/>
    </xf>
    <xf numFmtId="0" fontId="2" fillId="0" borderId="1" xfId="0" applyFont="1" applyBorder="1" applyAlignment="1">
      <alignment horizontal="right" vertical="center" wrapText="1"/>
    </xf>
    <xf numFmtId="0" fontId="2" fillId="7" borderId="12" xfId="0" applyFont="1" applyFill="1" applyBorder="1" applyAlignment="1">
      <alignment horizontal="left" vertical="center" wrapText="1"/>
    </xf>
    <xf numFmtId="0" fontId="2" fillId="3" borderId="6" xfId="0" applyFont="1" applyFill="1" applyBorder="1" applyAlignment="1">
      <alignment horizontal="right" vertical="center" wrapText="1"/>
    </xf>
    <xf numFmtId="0" fontId="2" fillId="0" borderId="6" xfId="0" applyFont="1" applyBorder="1" applyAlignment="1">
      <alignment horizontal="right" vertical="center" wrapText="1"/>
    </xf>
    <xf numFmtId="0" fontId="2" fillId="0" borderId="8" xfId="0" applyFont="1" applyBorder="1" applyAlignment="1">
      <alignment horizontal="right" vertical="center" wrapText="1"/>
    </xf>
    <xf numFmtId="0" fontId="2" fillId="0" borderId="13" xfId="0" applyFont="1" applyBorder="1" applyAlignment="1">
      <alignment horizontal="right" vertical="center" wrapText="1"/>
    </xf>
    <xf numFmtId="11" fontId="2" fillId="0" borderId="13" xfId="0" applyNumberFormat="1" applyFont="1" applyBorder="1" applyAlignment="1">
      <alignment horizontal="right" vertical="center" wrapText="1"/>
    </xf>
    <xf numFmtId="0" fontId="2" fillId="2" borderId="5" xfId="0" applyFont="1" applyFill="1" applyBorder="1" applyAlignment="1">
      <alignment horizontal="left" vertical="center"/>
    </xf>
    <xf numFmtId="0" fontId="2" fillId="3" borderId="1" xfId="0" applyFont="1" applyFill="1" applyBorder="1" applyAlignment="1">
      <alignment horizontal="right" vertical="center"/>
    </xf>
    <xf numFmtId="0" fontId="1" fillId="3" borderId="1" xfId="0" applyFont="1" applyFill="1" applyBorder="1" applyAlignment="1">
      <alignment horizontal="left" vertical="center"/>
    </xf>
    <xf numFmtId="0" fontId="2" fillId="3" borderId="6" xfId="0" applyFont="1" applyFill="1" applyBorder="1" applyAlignment="1">
      <alignment horizontal="right" vertical="center"/>
    </xf>
    <xf numFmtId="0" fontId="2" fillId="0" borderId="1" xfId="0" applyFont="1" applyBorder="1" applyAlignment="1">
      <alignment horizontal="right" vertical="center"/>
    </xf>
    <xf numFmtId="0" fontId="2" fillId="0" borderId="1" xfId="0" applyFont="1" applyBorder="1" applyAlignment="1">
      <alignment horizontal="left" vertical="center"/>
    </xf>
    <xf numFmtId="0" fontId="1" fillId="0" borderId="1" xfId="0" applyFont="1" applyBorder="1" applyAlignment="1">
      <alignment horizontal="left" vertical="center"/>
    </xf>
    <xf numFmtId="0" fontId="2" fillId="0" borderId="6" xfId="0" applyFont="1" applyBorder="1" applyAlignment="1">
      <alignment horizontal="right" vertical="center"/>
    </xf>
    <xf numFmtId="0" fontId="2" fillId="3" borderId="1" xfId="0" applyFont="1" applyFill="1" applyBorder="1" applyAlignment="1">
      <alignment horizontal="left" vertical="center"/>
    </xf>
    <xf numFmtId="0" fontId="2" fillId="0" borderId="6"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2" fillId="2" borderId="7" xfId="0" applyFont="1" applyFill="1" applyBorder="1" applyAlignment="1">
      <alignment horizontal="left" vertical="center"/>
    </xf>
    <xf numFmtId="0" fontId="2" fillId="3" borderId="8" xfId="0" applyFont="1" applyFill="1" applyBorder="1" applyAlignment="1">
      <alignment horizontal="right" vertical="center"/>
    </xf>
    <xf numFmtId="0" fontId="1" fillId="3" borderId="8" xfId="0" applyFont="1" applyFill="1" applyBorder="1" applyAlignment="1">
      <alignment horizontal="left" vertical="center"/>
    </xf>
    <xf numFmtId="0" fontId="2" fillId="3" borderId="13" xfId="0" applyFont="1" applyFill="1" applyBorder="1" applyAlignment="1">
      <alignment horizontal="right" vertical="center"/>
    </xf>
    <xf numFmtId="0" fontId="2" fillId="2" borderId="1" xfId="0" applyFont="1" applyFill="1" applyBorder="1" applyAlignment="1">
      <alignment horizontal="left" vertical="center"/>
    </xf>
    <xf numFmtId="0" fontId="1" fillId="2" borderId="1" xfId="0" applyFont="1" applyFill="1" applyBorder="1" applyAlignment="1">
      <alignment horizontal="left" vertical="center"/>
    </xf>
    <xf numFmtId="0" fontId="2" fillId="2" borderId="6" xfId="0" applyFont="1" applyFill="1" applyBorder="1" applyAlignment="1">
      <alignment horizontal="left" vertical="center"/>
    </xf>
    <xf numFmtId="0" fontId="2" fillId="3" borderId="5" xfId="0" applyFont="1" applyFill="1" applyBorder="1" applyAlignment="1">
      <alignment horizontal="left" vertical="center"/>
    </xf>
    <xf numFmtId="0" fontId="2" fillId="0" borderId="5" xfId="0" applyFont="1" applyBorder="1" applyAlignment="1">
      <alignment horizontal="left" vertical="center"/>
    </xf>
    <xf numFmtId="0" fontId="2" fillId="0" borderId="7" xfId="0" applyFont="1" applyBorder="1" applyAlignment="1">
      <alignment horizontal="left" vertical="center"/>
    </xf>
    <xf numFmtId="0" fontId="7" fillId="0" borderId="0" xfId="0" applyFont="1" applyAlignment="1">
      <alignment horizontal="left" vertical="center"/>
    </xf>
    <xf numFmtId="0" fontId="9" fillId="0" borderId="0" xfId="1" applyAlignment="1">
      <alignment horizontal="left" vertical="center"/>
    </xf>
    <xf numFmtId="0" fontId="8" fillId="0" borderId="0" xfId="0" applyFont="1" applyAlignment="1">
      <alignment horizontal="left" vertical="center"/>
    </xf>
    <xf numFmtId="0" fontId="7" fillId="9" borderId="0" xfId="0" applyFont="1" applyFill="1" applyAlignment="1">
      <alignment horizontal="left" vertical="center"/>
    </xf>
    <xf numFmtId="0" fontId="12" fillId="0" borderId="0" xfId="0" applyFont="1" applyAlignment="1">
      <alignment horizontal="left" vertical="center"/>
    </xf>
    <xf numFmtId="0" fontId="15" fillId="0" borderId="0" xfId="0" applyFont="1" applyAlignment="1">
      <alignment horizontal="left" vertical="center"/>
    </xf>
    <xf numFmtId="0" fontId="2" fillId="7" borderId="5" xfId="0" applyFont="1" applyFill="1" applyBorder="1" applyAlignment="1">
      <alignment horizontal="left" vertical="center"/>
    </xf>
    <xf numFmtId="0" fontId="1" fillId="3" borderId="5" xfId="0" applyFont="1" applyFill="1" applyBorder="1" applyAlignment="1">
      <alignment horizontal="left" vertical="center"/>
    </xf>
    <xf numFmtId="0" fontId="2" fillId="4" borderId="5" xfId="0" applyFont="1" applyFill="1" applyBorder="1" applyAlignment="1">
      <alignment horizontal="left" vertical="center"/>
    </xf>
    <xf numFmtId="0" fontId="2" fillId="5" borderId="5" xfId="0" applyFont="1" applyFill="1" applyBorder="1" applyAlignment="1">
      <alignment horizontal="left" vertical="center"/>
    </xf>
    <xf numFmtId="0" fontId="2" fillId="6" borderId="5" xfId="0" applyFont="1" applyFill="1" applyBorder="1" applyAlignment="1">
      <alignment horizontal="left" vertical="center"/>
    </xf>
    <xf numFmtId="0" fontId="2" fillId="6" borderId="7" xfId="0" applyFont="1" applyFill="1" applyBorder="1" applyAlignment="1">
      <alignment horizontal="left" vertical="center"/>
    </xf>
    <xf numFmtId="0" fontId="2" fillId="7" borderId="10" xfId="0" applyFont="1" applyFill="1" applyBorder="1" applyAlignment="1">
      <alignment horizontal="left" vertical="center"/>
    </xf>
    <xf numFmtId="0" fontId="2" fillId="0" borderId="14" xfId="0" applyFont="1" applyBorder="1" applyAlignment="1">
      <alignment horizontal="right" vertical="center"/>
    </xf>
    <xf numFmtId="2" fontId="2" fillId="3" borderId="1" xfId="0" applyNumberFormat="1" applyFont="1" applyFill="1" applyBorder="1" applyAlignment="1">
      <alignment horizontal="center" vertical="center" wrapText="1"/>
    </xf>
    <xf numFmtId="0" fontId="2" fillId="0" borderId="0" xfId="0" applyFont="1" applyAlignment="1">
      <alignment horizontal="right" vertical="center"/>
    </xf>
    <xf numFmtId="0" fontId="2" fillId="2" borderId="17" xfId="0" applyFont="1" applyFill="1" applyBorder="1" applyAlignment="1">
      <alignment horizontal="left" vertical="center"/>
    </xf>
    <xf numFmtId="0" fontId="2" fillId="7" borderId="18" xfId="0" applyFont="1" applyFill="1" applyBorder="1" applyAlignment="1">
      <alignment horizontal="left" vertical="center" wrapText="1"/>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2" fillId="2" borderId="21" xfId="0" applyFont="1" applyFill="1" applyBorder="1" applyAlignment="1">
      <alignment horizontal="left" vertical="center"/>
    </xf>
    <xf numFmtId="0" fontId="2" fillId="2" borderId="22" xfId="0" applyFont="1" applyFill="1" applyBorder="1" applyAlignment="1">
      <alignment horizontal="left" vertical="center"/>
    </xf>
    <xf numFmtId="0" fontId="2" fillId="7" borderId="26" xfId="0" applyFont="1" applyFill="1" applyBorder="1" applyAlignment="1">
      <alignment horizontal="left" vertical="center" wrapText="1"/>
    </xf>
    <xf numFmtId="0" fontId="2" fillId="2" borderId="27" xfId="0" applyFont="1" applyFill="1" applyBorder="1" applyAlignment="1">
      <alignment horizontal="left" vertical="center"/>
    </xf>
    <xf numFmtId="0" fontId="2" fillId="3" borderId="21" xfId="0" applyFont="1" applyFill="1" applyBorder="1" applyAlignment="1">
      <alignment horizontal="right" vertical="center" wrapText="1"/>
    </xf>
    <xf numFmtId="0" fontId="2" fillId="3" borderId="22" xfId="0" applyFont="1" applyFill="1" applyBorder="1" applyAlignment="1">
      <alignment horizontal="right" vertical="center" wrapText="1"/>
    </xf>
    <xf numFmtId="0" fontId="2" fillId="0" borderId="21" xfId="0" applyFont="1" applyBorder="1" applyAlignment="1">
      <alignment horizontal="right" vertical="center" wrapText="1"/>
    </xf>
    <xf numFmtId="0" fontId="2" fillId="0" borderId="22" xfId="0" applyFont="1" applyBorder="1" applyAlignment="1">
      <alignment horizontal="right" vertical="center" wrapText="1"/>
    </xf>
    <xf numFmtId="0" fontId="1" fillId="0" borderId="21" xfId="0" applyFont="1" applyBorder="1" applyAlignment="1">
      <alignment horizontal="left" vertical="center" wrapText="1"/>
    </xf>
    <xf numFmtId="0" fontId="1" fillId="0" borderId="22" xfId="0" applyFont="1" applyBorder="1" applyAlignment="1">
      <alignment horizontal="left" vertical="center" wrapText="1"/>
    </xf>
    <xf numFmtId="0" fontId="2" fillId="0" borderId="23" xfId="0" applyFont="1" applyBorder="1" applyAlignment="1">
      <alignment horizontal="right" vertical="center" wrapText="1"/>
    </xf>
    <xf numFmtId="0" fontId="2" fillId="0" borderId="24" xfId="0" applyFont="1" applyBorder="1" applyAlignment="1">
      <alignment horizontal="right" vertical="center" wrapText="1"/>
    </xf>
    <xf numFmtId="0" fontId="2" fillId="0" borderId="25" xfId="0" applyFont="1" applyBorder="1" applyAlignment="1">
      <alignment horizontal="right" vertical="center" wrapText="1"/>
    </xf>
    <xf numFmtId="0" fontId="2" fillId="2" borderId="15" xfId="0" applyFont="1" applyFill="1" applyBorder="1" applyAlignment="1">
      <alignment horizontal="left" vertical="center"/>
    </xf>
    <xf numFmtId="2" fontId="2" fillId="3" borderId="21" xfId="0" applyNumberFormat="1" applyFont="1" applyFill="1" applyBorder="1" applyAlignment="1">
      <alignment horizontal="center" vertical="center" wrapText="1"/>
    </xf>
    <xf numFmtId="2" fontId="2" fillId="3" borderId="22" xfId="0" applyNumberFormat="1" applyFont="1" applyFill="1" applyBorder="1" applyAlignment="1">
      <alignment horizontal="center" vertical="center" wrapText="1"/>
    </xf>
    <xf numFmtId="2" fontId="2" fillId="3" borderId="23" xfId="0" applyNumberFormat="1" applyFont="1" applyFill="1" applyBorder="1" applyAlignment="1">
      <alignment horizontal="center" vertical="center" wrapText="1"/>
    </xf>
    <xf numFmtId="2" fontId="2" fillId="3" borderId="24" xfId="0" applyNumberFormat="1" applyFont="1" applyFill="1" applyBorder="1" applyAlignment="1">
      <alignment horizontal="center" vertical="center" wrapText="1"/>
    </xf>
    <xf numFmtId="2" fontId="2" fillId="3" borderId="25" xfId="0" applyNumberFormat="1" applyFont="1" applyFill="1" applyBorder="1" applyAlignment="1">
      <alignment horizontal="center" vertical="center" wrapText="1"/>
    </xf>
    <xf numFmtId="0" fontId="2" fillId="3" borderId="30" xfId="0" applyFont="1" applyFill="1" applyBorder="1" applyAlignment="1">
      <alignment horizontal="left" vertical="center"/>
    </xf>
    <xf numFmtId="0" fontId="2" fillId="0" borderId="30" xfId="0" applyFont="1" applyBorder="1" applyAlignment="1">
      <alignment horizontal="left" vertical="center"/>
    </xf>
    <xf numFmtId="0" fontId="1" fillId="0" borderId="30" xfId="0" applyFont="1" applyBorder="1" applyAlignment="1">
      <alignment horizontal="left" vertical="center"/>
    </xf>
    <xf numFmtId="0" fontId="2" fillId="0" borderId="31" xfId="0" applyFont="1" applyBorder="1" applyAlignment="1">
      <alignment horizontal="left" vertical="center"/>
    </xf>
    <xf numFmtId="0" fontId="2" fillId="7" borderId="32" xfId="0" applyFont="1" applyFill="1" applyBorder="1" applyAlignment="1">
      <alignment vertical="center"/>
    </xf>
    <xf numFmtId="0" fontId="2" fillId="7" borderId="32" xfId="0" applyFont="1" applyFill="1" applyBorder="1" applyAlignment="1">
      <alignment vertical="center" wrapText="1"/>
    </xf>
    <xf numFmtId="0" fontId="2" fillId="2" borderId="34" xfId="0" applyFont="1" applyFill="1" applyBorder="1" applyAlignment="1">
      <alignment horizontal="left" vertical="center"/>
    </xf>
    <xf numFmtId="0" fontId="2" fillId="2" borderId="35" xfId="0" applyFont="1" applyFill="1" applyBorder="1" applyAlignment="1">
      <alignment horizontal="left" vertical="center"/>
    </xf>
    <xf numFmtId="0" fontId="0" fillId="0" borderId="32" xfId="0" applyBorder="1"/>
    <xf numFmtId="0" fontId="0" fillId="0" borderId="36" xfId="0" applyBorder="1"/>
    <xf numFmtId="0" fontId="0" fillId="0" borderId="37" xfId="0" applyBorder="1"/>
    <xf numFmtId="0" fontId="2" fillId="2" borderId="17" xfId="0" applyFont="1" applyFill="1" applyBorder="1" applyAlignment="1">
      <alignment horizontal="left" vertical="center" wrapText="1"/>
    </xf>
    <xf numFmtId="0" fontId="2" fillId="2" borderId="21" xfId="0" applyFont="1" applyFill="1" applyBorder="1" applyAlignment="1">
      <alignment horizontal="left" vertical="center" wrapText="1"/>
    </xf>
    <xf numFmtId="0" fontId="2" fillId="2" borderId="22" xfId="0" applyFont="1" applyFill="1" applyBorder="1" applyAlignment="1">
      <alignment horizontal="left" vertical="center" wrapText="1"/>
    </xf>
    <xf numFmtId="11" fontId="2" fillId="3" borderId="22" xfId="0" applyNumberFormat="1" applyFont="1" applyFill="1" applyBorder="1" applyAlignment="1">
      <alignment horizontal="right" vertical="center" wrapText="1"/>
    </xf>
    <xf numFmtId="11" fontId="2" fillId="0" borderId="21" xfId="0" applyNumberFormat="1" applyFont="1" applyBorder="1" applyAlignment="1">
      <alignment horizontal="right" vertical="center" wrapText="1"/>
    </xf>
    <xf numFmtId="11" fontId="2" fillId="0" borderId="22" xfId="0" applyNumberFormat="1" applyFont="1" applyBorder="1" applyAlignment="1">
      <alignment horizontal="right" vertical="center" wrapText="1"/>
    </xf>
    <xf numFmtId="0" fontId="1" fillId="3" borderId="21" xfId="0" applyFont="1" applyFill="1" applyBorder="1" applyAlignment="1">
      <alignment horizontal="left" vertical="center" wrapText="1"/>
    </xf>
    <xf numFmtId="0" fontId="1" fillId="3" borderId="22"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27" xfId="0" applyFont="1" applyFill="1" applyBorder="1" applyAlignment="1">
      <alignment horizontal="left" vertical="center" wrapText="1"/>
    </xf>
    <xf numFmtId="0" fontId="2" fillId="7" borderId="16" xfId="0" applyFont="1" applyFill="1" applyBorder="1" applyAlignment="1">
      <alignment horizontal="left" vertical="center"/>
    </xf>
    <xf numFmtId="0" fontId="2" fillId="2" borderId="23" xfId="0" applyFont="1" applyFill="1" applyBorder="1" applyAlignment="1">
      <alignment horizontal="left" vertical="center" wrapText="1"/>
    </xf>
    <xf numFmtId="2" fontId="2" fillId="10" borderId="22" xfId="0" applyNumberFormat="1" applyFont="1" applyFill="1" applyBorder="1" applyAlignment="1">
      <alignment horizontal="right" vertical="center" wrapText="1"/>
    </xf>
    <xf numFmtId="11" fontId="2" fillId="10" borderId="22" xfId="0" applyNumberFormat="1" applyFont="1" applyFill="1" applyBorder="1" applyAlignment="1">
      <alignment horizontal="right" vertical="center" wrapText="1"/>
    </xf>
    <xf numFmtId="2" fontId="1" fillId="10" borderId="22" xfId="0" applyNumberFormat="1" applyFont="1" applyFill="1" applyBorder="1" applyAlignment="1">
      <alignment horizontal="left" vertical="center" wrapText="1"/>
    </xf>
    <xf numFmtId="11" fontId="2" fillId="10" borderId="25" xfId="0" applyNumberFormat="1" applyFont="1" applyFill="1" applyBorder="1" applyAlignment="1">
      <alignment horizontal="right" vertical="center" wrapText="1"/>
    </xf>
    <xf numFmtId="2" fontId="2" fillId="10" borderId="25" xfId="0" applyNumberFormat="1" applyFont="1" applyFill="1" applyBorder="1" applyAlignment="1">
      <alignment horizontal="right" vertical="center" wrapText="1"/>
    </xf>
    <xf numFmtId="2" fontId="2" fillId="11" borderId="22" xfId="0" applyNumberFormat="1" applyFont="1" applyFill="1" applyBorder="1" applyAlignment="1">
      <alignment horizontal="right" vertical="center" wrapText="1"/>
    </xf>
    <xf numFmtId="2" fontId="2" fillId="11" borderId="25" xfId="0" applyNumberFormat="1" applyFont="1" applyFill="1" applyBorder="1" applyAlignment="1">
      <alignment horizontal="right" vertical="center" wrapText="1"/>
    </xf>
    <xf numFmtId="0" fontId="18" fillId="0" borderId="0" xfId="0" applyFont="1"/>
    <xf numFmtId="11" fontId="2" fillId="0" borderId="0" xfId="0" applyNumberFormat="1" applyFont="1" applyAlignment="1">
      <alignment horizontal="right" vertical="center" wrapText="1"/>
    </xf>
    <xf numFmtId="0" fontId="2" fillId="0" borderId="0" xfId="0" applyFont="1" applyAlignment="1">
      <alignment horizontal="left" vertical="center" wrapText="1"/>
    </xf>
    <xf numFmtId="0" fontId="1" fillId="0" borderId="0" xfId="0" applyFont="1" applyAlignment="1">
      <alignment horizontal="left" vertical="center" wrapText="1"/>
    </xf>
    <xf numFmtId="2" fontId="2" fillId="0" borderId="0" xfId="0" applyNumberFormat="1" applyFont="1" applyAlignment="1">
      <alignment horizontal="right" vertical="center" wrapText="1"/>
    </xf>
    <xf numFmtId="2" fontId="2" fillId="11" borderId="34" xfId="0" applyNumberFormat="1" applyFont="1" applyFill="1" applyBorder="1" applyAlignment="1">
      <alignment horizontal="right" vertical="center" wrapText="1"/>
    </xf>
    <xf numFmtId="2" fontId="2" fillId="11" borderId="35" xfId="0" applyNumberFormat="1" applyFont="1" applyFill="1" applyBorder="1" applyAlignment="1">
      <alignment horizontal="right" vertical="center" wrapText="1"/>
    </xf>
    <xf numFmtId="0" fontId="2" fillId="2" borderId="42" xfId="0" applyFont="1" applyFill="1" applyBorder="1" applyAlignment="1">
      <alignment horizontal="left" vertical="center"/>
    </xf>
    <xf numFmtId="0" fontId="2" fillId="2" borderId="44" xfId="0" applyFont="1" applyFill="1" applyBorder="1" applyAlignment="1">
      <alignment horizontal="left" vertical="center"/>
    </xf>
    <xf numFmtId="0" fontId="2" fillId="2" borderId="43" xfId="0" applyFont="1" applyFill="1" applyBorder="1" applyAlignment="1">
      <alignment horizontal="left" vertical="center"/>
    </xf>
    <xf numFmtId="0" fontId="2" fillId="2" borderId="45" xfId="0" applyFont="1" applyFill="1" applyBorder="1" applyAlignment="1">
      <alignment horizontal="left" vertical="center" wrapText="1"/>
    </xf>
    <xf numFmtId="2" fontId="2" fillId="10" borderId="45" xfId="0" applyNumberFormat="1" applyFont="1" applyFill="1" applyBorder="1" applyAlignment="1">
      <alignment horizontal="right" vertical="center" wrapText="1"/>
    </xf>
    <xf numFmtId="2" fontId="1" fillId="10" borderId="45" xfId="0" applyNumberFormat="1" applyFont="1" applyFill="1" applyBorder="1" applyAlignment="1">
      <alignment horizontal="left" vertical="center" wrapText="1"/>
    </xf>
    <xf numFmtId="2" fontId="2" fillId="11" borderId="45" xfId="0" applyNumberFormat="1" applyFont="1" applyFill="1" applyBorder="1" applyAlignment="1">
      <alignment horizontal="right" vertical="center" wrapText="1"/>
    </xf>
    <xf numFmtId="0" fontId="2" fillId="2" borderId="46" xfId="0" applyFont="1" applyFill="1" applyBorder="1" applyAlignment="1">
      <alignment horizontal="left" vertical="center" wrapText="1"/>
    </xf>
    <xf numFmtId="2" fontId="2" fillId="11" borderId="47" xfId="0" applyNumberFormat="1" applyFont="1" applyFill="1" applyBorder="1" applyAlignment="1">
      <alignment horizontal="right" vertical="center" wrapText="1"/>
    </xf>
    <xf numFmtId="0" fontId="2" fillId="2" borderId="48" xfId="0" applyFont="1" applyFill="1" applyBorder="1" applyAlignment="1">
      <alignment horizontal="left" vertical="center" wrapText="1"/>
    </xf>
    <xf numFmtId="2" fontId="2" fillId="11" borderId="49" xfId="0" applyNumberFormat="1" applyFont="1" applyFill="1" applyBorder="1" applyAlignment="1">
      <alignment horizontal="right" vertical="center" wrapText="1"/>
    </xf>
    <xf numFmtId="2" fontId="2" fillId="11" borderId="50" xfId="0" applyNumberFormat="1" applyFont="1" applyFill="1" applyBorder="1" applyAlignment="1">
      <alignment horizontal="right" vertical="center" wrapText="1"/>
    </xf>
    <xf numFmtId="2" fontId="2" fillId="13" borderId="49" xfId="0" applyNumberFormat="1" applyFont="1" applyFill="1" applyBorder="1" applyAlignment="1">
      <alignment horizontal="right" vertical="center" wrapText="1"/>
    </xf>
    <xf numFmtId="2" fontId="2" fillId="13" borderId="45" xfId="0" applyNumberFormat="1" applyFont="1" applyFill="1" applyBorder="1" applyAlignment="1">
      <alignment horizontal="right" vertical="center" wrapText="1"/>
    </xf>
    <xf numFmtId="0" fontId="2" fillId="0" borderId="0" xfId="0" applyFont="1" applyAlignment="1">
      <alignment horizontal="left" vertical="center"/>
    </xf>
    <xf numFmtId="2" fontId="1" fillId="14" borderId="45" xfId="0" applyNumberFormat="1" applyFont="1" applyFill="1" applyBorder="1" applyAlignment="1">
      <alignment horizontal="left" vertical="center" wrapText="1"/>
    </xf>
    <xf numFmtId="2" fontId="2" fillId="14" borderId="45" xfId="0" applyNumberFormat="1" applyFont="1" applyFill="1" applyBorder="1" applyAlignment="1">
      <alignment horizontal="right" vertical="center" wrapText="1"/>
    </xf>
    <xf numFmtId="2" fontId="2" fillId="11" borderId="22" xfId="0" applyNumberFormat="1" applyFont="1" applyFill="1" applyBorder="1" applyAlignment="1">
      <alignment horizontal="center" vertical="center" wrapText="1"/>
    </xf>
    <xf numFmtId="2" fontId="2" fillId="11" borderId="34" xfId="0" applyNumberFormat="1" applyFont="1" applyFill="1" applyBorder="1" applyAlignment="1">
      <alignment horizontal="center" vertical="center" wrapText="1"/>
    </xf>
    <xf numFmtId="2" fontId="2" fillId="10" borderId="22" xfId="0" applyNumberFormat="1" applyFont="1" applyFill="1" applyBorder="1" applyAlignment="1">
      <alignment horizontal="center" vertical="center" wrapText="1"/>
    </xf>
    <xf numFmtId="2" fontId="2" fillId="10" borderId="45" xfId="0" applyNumberFormat="1" applyFont="1" applyFill="1" applyBorder="1" applyAlignment="1">
      <alignment horizontal="center" vertical="center" wrapText="1"/>
    </xf>
    <xf numFmtId="2" fontId="1" fillId="14" borderId="45" xfId="0" applyNumberFormat="1" applyFont="1" applyFill="1" applyBorder="1" applyAlignment="1">
      <alignment horizontal="center" vertical="center" wrapText="1"/>
    </xf>
    <xf numFmtId="2" fontId="2" fillId="14" borderId="45" xfId="0" applyNumberFormat="1" applyFont="1" applyFill="1" applyBorder="1" applyAlignment="1">
      <alignment horizontal="center" vertical="center" wrapText="1"/>
    </xf>
    <xf numFmtId="2" fontId="1" fillId="10" borderId="22" xfId="0" applyNumberFormat="1" applyFont="1" applyFill="1" applyBorder="1" applyAlignment="1">
      <alignment horizontal="center" vertical="center" wrapText="1"/>
    </xf>
    <xf numFmtId="2" fontId="2" fillId="10" borderId="22" xfId="0" applyNumberFormat="1" applyFont="1" applyFill="1" applyBorder="1" applyAlignment="1">
      <alignment horizontal="center" vertical="center"/>
    </xf>
    <xf numFmtId="2" fontId="2" fillId="11" borderId="22" xfId="0" applyNumberFormat="1" applyFont="1" applyFill="1" applyBorder="1" applyAlignment="1">
      <alignment horizontal="center" vertical="center"/>
    </xf>
    <xf numFmtId="2" fontId="2" fillId="10" borderId="25" xfId="0" applyNumberFormat="1" applyFont="1" applyFill="1" applyBorder="1" applyAlignment="1">
      <alignment horizontal="center" vertical="center"/>
    </xf>
    <xf numFmtId="2" fontId="2" fillId="10" borderId="25" xfId="0" applyNumberFormat="1" applyFont="1" applyFill="1" applyBorder="1" applyAlignment="1">
      <alignment horizontal="center" vertical="center" wrapText="1"/>
    </xf>
    <xf numFmtId="0" fontId="2" fillId="2" borderId="29" xfId="0" applyFont="1" applyFill="1" applyBorder="1" applyAlignment="1">
      <alignment horizontal="left" vertical="center" wrapText="1"/>
    </xf>
    <xf numFmtId="2" fontId="2" fillId="11" borderId="41" xfId="0" applyNumberFormat="1" applyFont="1" applyFill="1" applyBorder="1" applyAlignment="1">
      <alignment horizontal="center" vertical="center" wrapText="1"/>
    </xf>
    <xf numFmtId="2" fontId="2" fillId="11" borderId="33" xfId="0" applyNumberFormat="1" applyFont="1" applyFill="1" applyBorder="1" applyAlignment="1">
      <alignment horizontal="center" vertical="center" wrapText="1"/>
    </xf>
    <xf numFmtId="0" fontId="2" fillId="2" borderId="25" xfId="0" applyFont="1" applyFill="1" applyBorder="1" applyAlignment="1">
      <alignment horizontal="left" vertical="center" wrapText="1"/>
    </xf>
    <xf numFmtId="0" fontId="2" fillId="2" borderId="24" xfId="0" applyFont="1" applyFill="1" applyBorder="1" applyAlignment="1">
      <alignment horizontal="left" vertical="center" wrapText="1"/>
    </xf>
    <xf numFmtId="0" fontId="7" fillId="12" borderId="0" xfId="0" applyFont="1" applyFill="1"/>
    <xf numFmtId="2" fontId="2" fillId="11" borderId="25" xfId="0" applyNumberFormat="1" applyFont="1" applyFill="1" applyBorder="1" applyAlignment="1">
      <alignment horizontal="center" vertical="center" wrapText="1"/>
    </xf>
    <xf numFmtId="2" fontId="2" fillId="11" borderId="35" xfId="0" applyNumberFormat="1" applyFont="1" applyFill="1" applyBorder="1" applyAlignment="1">
      <alignment horizontal="center" vertical="center" wrapText="1"/>
    </xf>
    <xf numFmtId="0" fontId="2" fillId="7" borderId="51" xfId="0" applyFont="1" applyFill="1" applyBorder="1" applyAlignment="1">
      <alignment vertical="center"/>
    </xf>
    <xf numFmtId="0" fontId="2" fillId="7" borderId="52" xfId="0" applyFont="1" applyFill="1" applyBorder="1" applyAlignment="1">
      <alignment vertical="center"/>
    </xf>
    <xf numFmtId="0" fontId="2" fillId="7" borderId="27" xfId="0" applyFont="1" applyFill="1" applyBorder="1" applyAlignment="1">
      <alignment horizontal="left" vertical="center" wrapText="1"/>
    </xf>
    <xf numFmtId="11" fontId="2" fillId="0" borderId="27" xfId="0" applyNumberFormat="1" applyFont="1" applyBorder="1" applyAlignment="1">
      <alignment horizontal="right" vertical="center" wrapText="1"/>
    </xf>
    <xf numFmtId="0" fontId="1" fillId="0" borderId="27" xfId="0" applyFont="1" applyBorder="1" applyAlignment="1">
      <alignment horizontal="left" vertical="center" wrapText="1"/>
    </xf>
    <xf numFmtId="11" fontId="2" fillId="3" borderId="27" xfId="0" applyNumberFormat="1" applyFont="1" applyFill="1" applyBorder="1" applyAlignment="1">
      <alignment horizontal="right" vertical="center" wrapText="1"/>
    </xf>
    <xf numFmtId="0" fontId="1" fillId="3" borderId="27" xfId="0" applyFont="1" applyFill="1" applyBorder="1" applyAlignment="1">
      <alignment horizontal="left" vertical="center" wrapText="1"/>
    </xf>
    <xf numFmtId="11" fontId="2" fillId="3" borderId="21" xfId="0" applyNumberFormat="1" applyFont="1" applyFill="1" applyBorder="1" applyAlignment="1">
      <alignment horizontal="right" vertical="center" wrapText="1"/>
    </xf>
    <xf numFmtId="0" fontId="2" fillId="15" borderId="5" xfId="0" applyFont="1" applyFill="1" applyBorder="1" applyAlignment="1">
      <alignment horizontal="left" vertical="center"/>
    </xf>
    <xf numFmtId="11" fontId="2" fillId="15" borderId="1" xfId="0" applyNumberFormat="1" applyFont="1" applyFill="1" applyBorder="1" applyAlignment="1">
      <alignment horizontal="right" vertical="center" wrapText="1"/>
    </xf>
    <xf numFmtId="0" fontId="1" fillId="15" borderId="1" xfId="0" applyFont="1" applyFill="1" applyBorder="1" applyAlignment="1">
      <alignment horizontal="left" vertical="center" wrapText="1"/>
    </xf>
    <xf numFmtId="0" fontId="1" fillId="15" borderId="27" xfId="0" applyFont="1" applyFill="1" applyBorder="1" applyAlignment="1">
      <alignment horizontal="left" vertical="center" wrapText="1"/>
    </xf>
    <xf numFmtId="0" fontId="1" fillId="15" borderId="21" xfId="0" applyFont="1" applyFill="1" applyBorder="1" applyAlignment="1">
      <alignment horizontal="left" vertical="center" wrapText="1"/>
    </xf>
    <xf numFmtId="0" fontId="1" fillId="15" borderId="22" xfId="0" applyFont="1" applyFill="1" applyBorder="1" applyAlignment="1">
      <alignment horizontal="left" vertical="center" wrapText="1"/>
    </xf>
    <xf numFmtId="0" fontId="0" fillId="15" borderId="0" xfId="0" applyFill="1"/>
    <xf numFmtId="11" fontId="2" fillId="15" borderId="27" xfId="0" applyNumberFormat="1" applyFont="1" applyFill="1" applyBorder="1" applyAlignment="1">
      <alignment horizontal="right" vertical="center" wrapText="1"/>
    </xf>
    <xf numFmtId="11" fontId="2" fillId="15" borderId="21" xfId="0" applyNumberFormat="1" applyFont="1" applyFill="1" applyBorder="1" applyAlignment="1">
      <alignment horizontal="right" vertical="center" wrapText="1"/>
    </xf>
    <xf numFmtId="11" fontId="2" fillId="15" borderId="22" xfId="0" applyNumberFormat="1" applyFont="1" applyFill="1" applyBorder="1" applyAlignment="1">
      <alignment horizontal="right" vertical="center" wrapText="1"/>
    </xf>
    <xf numFmtId="0" fontId="2" fillId="16" borderId="5" xfId="0" applyFont="1" applyFill="1" applyBorder="1" applyAlignment="1">
      <alignment horizontal="left" vertical="center"/>
    </xf>
    <xf numFmtId="2" fontId="2" fillId="0" borderId="1" xfId="0" applyNumberFormat="1" applyFont="1" applyBorder="1" applyAlignment="1">
      <alignment horizontal="right" vertical="center" wrapText="1"/>
    </xf>
    <xf numFmtId="2" fontId="2" fillId="3" borderId="1" xfId="0" applyNumberFormat="1" applyFont="1" applyFill="1" applyBorder="1" applyAlignment="1">
      <alignment horizontal="right" vertical="center" wrapText="1"/>
    </xf>
    <xf numFmtId="2" fontId="1" fillId="3" borderId="1" xfId="0" applyNumberFormat="1" applyFont="1" applyFill="1" applyBorder="1" applyAlignment="1">
      <alignment horizontal="left" vertical="center" wrapText="1"/>
    </xf>
    <xf numFmtId="2" fontId="1" fillId="3" borderId="21" xfId="0" applyNumberFormat="1" applyFont="1" applyFill="1" applyBorder="1" applyAlignment="1">
      <alignment horizontal="left" vertical="center" wrapText="1"/>
    </xf>
    <xf numFmtId="2" fontId="1" fillId="3" borderId="22" xfId="0" applyNumberFormat="1" applyFont="1" applyFill="1" applyBorder="1" applyAlignment="1">
      <alignment horizontal="left" vertical="center" wrapText="1"/>
    </xf>
    <xf numFmtId="2" fontId="2" fillId="3" borderId="21" xfId="0" applyNumberFormat="1" applyFont="1" applyFill="1" applyBorder="1" applyAlignment="1">
      <alignment horizontal="right" vertical="center" wrapText="1"/>
    </xf>
    <xf numFmtId="2" fontId="1" fillId="0" borderId="1" xfId="0" applyNumberFormat="1" applyFont="1" applyBorder="1" applyAlignment="1">
      <alignment horizontal="left" vertical="center" wrapText="1"/>
    </xf>
    <xf numFmtId="2" fontId="1" fillId="0" borderId="21" xfId="0" applyNumberFormat="1" applyFont="1" applyBorder="1" applyAlignment="1">
      <alignment horizontal="left" vertical="center" wrapText="1"/>
    </xf>
    <xf numFmtId="2" fontId="1" fillId="0" borderId="22" xfId="0" applyNumberFormat="1" applyFont="1" applyBorder="1" applyAlignment="1">
      <alignment horizontal="left" vertical="center" wrapText="1"/>
    </xf>
    <xf numFmtId="2" fontId="2" fillId="17" borderId="1" xfId="0" applyNumberFormat="1" applyFont="1" applyFill="1" applyBorder="1" applyAlignment="1">
      <alignment horizontal="right" vertical="center" wrapText="1"/>
    </xf>
    <xf numFmtId="2" fontId="1" fillId="17" borderId="22" xfId="0" applyNumberFormat="1" applyFont="1" applyFill="1" applyBorder="1" applyAlignment="1">
      <alignment horizontal="left" vertical="center" wrapText="1"/>
    </xf>
    <xf numFmtId="2" fontId="2" fillId="17" borderId="21" xfId="0" applyNumberFormat="1" applyFont="1" applyFill="1" applyBorder="1" applyAlignment="1">
      <alignment horizontal="right" vertical="center" wrapText="1"/>
    </xf>
    <xf numFmtId="2" fontId="2" fillId="17" borderId="22" xfId="0" applyNumberFormat="1" applyFont="1" applyFill="1" applyBorder="1" applyAlignment="1">
      <alignment horizontal="right" vertical="center" wrapText="1"/>
    </xf>
    <xf numFmtId="2" fontId="2" fillId="17" borderId="23" xfId="0" applyNumberFormat="1" applyFont="1" applyFill="1" applyBorder="1" applyAlignment="1">
      <alignment horizontal="right" vertical="center" wrapText="1"/>
    </xf>
    <xf numFmtId="2" fontId="2" fillId="17" borderId="24" xfId="0" applyNumberFormat="1" applyFont="1" applyFill="1" applyBorder="1" applyAlignment="1">
      <alignment horizontal="right" vertical="center" wrapText="1"/>
    </xf>
    <xf numFmtId="2" fontId="2" fillId="17" borderId="25" xfId="0" applyNumberFormat="1" applyFont="1" applyFill="1" applyBorder="1" applyAlignment="1">
      <alignment horizontal="right" vertical="center" wrapText="1"/>
    </xf>
    <xf numFmtId="0" fontId="2" fillId="7" borderId="28" xfId="0" applyFont="1" applyFill="1" applyBorder="1" applyAlignment="1">
      <alignment vertical="center"/>
    </xf>
    <xf numFmtId="0" fontId="2" fillId="7" borderId="29" xfId="0" applyFont="1" applyFill="1" applyBorder="1" applyAlignment="1">
      <alignment vertical="center"/>
    </xf>
    <xf numFmtId="2" fontId="2" fillId="0" borderId="22" xfId="0" applyNumberFormat="1" applyFont="1" applyBorder="1" applyAlignment="1">
      <alignment horizontal="right" vertical="center" wrapText="1"/>
    </xf>
    <xf numFmtId="2" fontId="2" fillId="3" borderId="22" xfId="0" applyNumberFormat="1" applyFont="1" applyFill="1" applyBorder="1" applyAlignment="1">
      <alignment horizontal="right" vertical="center" wrapText="1"/>
    </xf>
    <xf numFmtId="0" fontId="2" fillId="7" borderId="53" xfId="0" applyFont="1" applyFill="1" applyBorder="1" applyAlignment="1">
      <alignment horizontal="left" vertical="center"/>
    </xf>
    <xf numFmtId="0" fontId="2" fillId="7" borderId="34" xfId="0" applyFont="1" applyFill="1" applyBorder="1" applyAlignment="1">
      <alignment horizontal="left" vertical="center"/>
    </xf>
    <xf numFmtId="0" fontId="2" fillId="16" borderId="34" xfId="0" applyFont="1" applyFill="1" applyBorder="1" applyAlignment="1">
      <alignment horizontal="left" vertical="center"/>
    </xf>
    <xf numFmtId="0" fontId="2" fillId="16" borderId="35" xfId="0" applyFont="1" applyFill="1" applyBorder="1" applyAlignment="1">
      <alignment horizontal="left" vertical="center"/>
    </xf>
    <xf numFmtId="11" fontId="0" fillId="0" borderId="0" xfId="0" applyNumberFormat="1"/>
    <xf numFmtId="2" fontId="0" fillId="0" borderId="0" xfId="0" applyNumberFormat="1"/>
    <xf numFmtId="0" fontId="2" fillId="2" borderId="36" xfId="0" applyFont="1" applyFill="1" applyBorder="1" applyAlignment="1">
      <alignment horizontal="left" vertical="center"/>
    </xf>
    <xf numFmtId="0" fontId="2" fillId="7" borderId="28" xfId="0" applyFont="1" applyFill="1" applyBorder="1" applyAlignment="1">
      <alignment horizontal="center" vertical="center"/>
    </xf>
    <xf numFmtId="0" fontId="2" fillId="7" borderId="29" xfId="0" applyFont="1" applyFill="1" applyBorder="1" applyAlignment="1">
      <alignment horizontal="center" vertical="center"/>
    </xf>
    <xf numFmtId="0" fontId="2" fillId="7" borderId="38" xfId="0" applyFont="1" applyFill="1" applyBorder="1" applyAlignment="1">
      <alignment horizontal="center" vertical="center"/>
    </xf>
    <xf numFmtId="0" fontId="2" fillId="7" borderId="39" xfId="0" applyFont="1" applyFill="1" applyBorder="1" applyAlignment="1">
      <alignment horizontal="center" vertical="center"/>
    </xf>
    <xf numFmtId="0" fontId="2" fillId="7" borderId="40"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AF2A8"/>
      <color rgb="FFFE2F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459218173119087"/>
          <c:y val="0.10549972649763578"/>
          <c:w val="0.8171586703149305"/>
          <c:h val="0.75756887004138262"/>
        </c:manualLayout>
      </c:layout>
      <c:scatterChart>
        <c:scatterStyle val="lineMarker"/>
        <c:varyColors val="0"/>
        <c:ser>
          <c:idx val="0"/>
          <c:order val="0"/>
          <c:tx>
            <c:v>acnA</c:v>
          </c:tx>
          <c:spPr>
            <a:ln w="28575">
              <a:noFill/>
            </a:ln>
          </c:spPr>
          <c:trendline>
            <c:spPr>
              <a:ln w="25400">
                <a:solidFill>
                  <a:schemeClr val="accent1"/>
                </a:solidFill>
              </a:ln>
            </c:spPr>
            <c:trendlineType val="linear"/>
            <c:dispRSqr val="1"/>
            <c:dispEq val="1"/>
            <c:trendlineLbl>
              <c:layout>
                <c:manualLayout>
                  <c:x val="-4.7477920503738967E-2"/>
                  <c:y val="-2.8111285532325665E-3"/>
                </c:manualLayout>
              </c:layout>
              <c:numFmt formatCode="General" sourceLinked="0"/>
              <c:txPr>
                <a:bodyPr/>
                <a:lstStyle/>
                <a:p>
                  <a:pPr>
                    <a:defRPr b="1">
                      <a:solidFill>
                        <a:schemeClr val="accent1"/>
                      </a:solidFill>
                      <a:latin typeface="Arial" panose="020B0604020202020204" pitchFamily="34" charset="0"/>
                      <a:cs typeface="Arial" panose="020B0604020202020204" pitchFamily="34" charset="0"/>
                    </a:defRPr>
                  </a:pPr>
                  <a:endParaRPr lang="en-US"/>
                </a:p>
              </c:txPr>
            </c:trendlineLbl>
          </c:trendline>
          <c:xVal>
            <c:numRef>
              <c:f>'partial expression data'!$J$11:$K$11</c:f>
              <c:numCache>
                <c:formatCode>0.00</c:formatCode>
                <c:ptCount val="2"/>
                <c:pt idx="0">
                  <c:v>0.98943661971830987</c:v>
                </c:pt>
                <c:pt idx="1">
                  <c:v>0.68661971830985913</c:v>
                </c:pt>
              </c:numCache>
            </c:numRef>
          </c:xVal>
          <c:yVal>
            <c:numRef>
              <c:f>'partial expression data'!$J$4:$K$4</c:f>
              <c:numCache>
                <c:formatCode>0.00</c:formatCode>
                <c:ptCount val="2"/>
                <c:pt idx="0">
                  <c:v>1.361904761904762</c:v>
                </c:pt>
                <c:pt idx="1">
                  <c:v>1.0476190476190477</c:v>
                </c:pt>
              </c:numCache>
            </c:numRef>
          </c:yVal>
          <c:smooth val="0"/>
          <c:extLst>
            <c:ext xmlns:c16="http://schemas.microsoft.com/office/drawing/2014/chart" uri="{C3380CC4-5D6E-409C-BE32-E72D297353CC}">
              <c16:uniqueId val="{00000001-1178-406F-B0D9-D8948DF4F193}"/>
            </c:ext>
          </c:extLst>
        </c:ser>
        <c:ser>
          <c:idx val="2"/>
          <c:order val="1"/>
          <c:tx>
            <c:v>sucA</c:v>
          </c:tx>
          <c:spPr>
            <a:ln w="28575">
              <a:noFill/>
            </a:ln>
          </c:spPr>
          <c:trendline>
            <c:spPr>
              <a:ln w="25400">
                <a:solidFill>
                  <a:schemeClr val="accent3"/>
                </a:solidFill>
              </a:ln>
            </c:spPr>
            <c:trendlineType val="linear"/>
            <c:dispRSqr val="1"/>
            <c:dispEq val="1"/>
            <c:trendlineLbl>
              <c:layout>
                <c:manualLayout>
                  <c:x val="8.7286321255190355E-2"/>
                  <c:y val="0.21952863095109593"/>
                </c:manualLayout>
              </c:layout>
              <c:numFmt formatCode="General" sourceLinked="0"/>
              <c:txPr>
                <a:bodyPr/>
                <a:lstStyle/>
                <a:p>
                  <a:pPr>
                    <a:defRPr b="1">
                      <a:solidFill>
                        <a:schemeClr val="accent3"/>
                      </a:solidFill>
                      <a:latin typeface="Arial" panose="020B0604020202020204" pitchFamily="34" charset="0"/>
                      <a:cs typeface="Arial" panose="020B0604020202020204" pitchFamily="34" charset="0"/>
                    </a:defRPr>
                  </a:pPr>
                  <a:endParaRPr lang="en-US"/>
                </a:p>
              </c:txPr>
            </c:trendlineLbl>
          </c:trendline>
          <c:xVal>
            <c:numRef>
              <c:f>('partial expression data'!$Y$13:$Z$13,'partial expression data'!$AB$13)</c:f>
              <c:numCache>
                <c:formatCode>0.00</c:formatCode>
                <c:ptCount val="3"/>
                <c:pt idx="0">
                  <c:v>0.82599580712788256</c:v>
                </c:pt>
                <c:pt idx="1">
                  <c:v>0.91404612159329135</c:v>
                </c:pt>
                <c:pt idx="2">
                  <c:v>1.0587002096436058</c:v>
                </c:pt>
              </c:numCache>
            </c:numRef>
          </c:xVal>
          <c:yVal>
            <c:numRef>
              <c:f>('partial expression data'!$Y$6:$Z$6,'partial expression data'!$AB$6)</c:f>
              <c:numCache>
                <c:formatCode>0.00</c:formatCode>
                <c:ptCount val="3"/>
                <c:pt idx="0">
                  <c:v>0.80234833659491189</c:v>
                </c:pt>
                <c:pt idx="1">
                  <c:v>0.95303326810176126</c:v>
                </c:pt>
                <c:pt idx="2">
                  <c:v>1.1056751467710371</c:v>
                </c:pt>
              </c:numCache>
            </c:numRef>
          </c:yVal>
          <c:smooth val="0"/>
          <c:extLst>
            <c:ext xmlns:c16="http://schemas.microsoft.com/office/drawing/2014/chart" uri="{C3380CC4-5D6E-409C-BE32-E72D297353CC}">
              <c16:uniqueId val="{00000003-1178-406F-B0D9-D8948DF4F193}"/>
            </c:ext>
          </c:extLst>
        </c:ser>
        <c:dLbls>
          <c:showLegendKey val="0"/>
          <c:showVal val="0"/>
          <c:showCatName val="0"/>
          <c:showSerName val="0"/>
          <c:showPercent val="0"/>
          <c:showBubbleSize val="0"/>
        </c:dLbls>
        <c:axId val="329428592"/>
        <c:axId val="329428984"/>
      </c:scatterChart>
      <c:valAx>
        <c:axId val="329428592"/>
        <c:scaling>
          <c:orientation val="minMax"/>
        </c:scaling>
        <c:delete val="0"/>
        <c:axPos val="b"/>
        <c:title>
          <c:tx>
            <c:rich>
              <a:bodyPr/>
              <a:lstStyle/>
              <a:p>
                <a:pPr>
                  <a:defRPr>
                    <a:latin typeface="Arial" panose="020B0604020202020204" pitchFamily="34" charset="0"/>
                    <a:cs typeface="Arial" panose="020B0604020202020204" pitchFamily="34" charset="0"/>
                  </a:defRPr>
                </a:pPr>
                <a:r>
                  <a:rPr lang="en-AU">
                    <a:latin typeface="Arial" panose="020B0604020202020204" pitchFamily="34" charset="0"/>
                    <a:cs typeface="Arial" panose="020B0604020202020204" pitchFamily="34" charset="0"/>
                  </a:rPr>
                  <a:t>Normalized mRNA abundance</a:t>
                </a:r>
              </a:p>
            </c:rich>
          </c:tx>
          <c:overlay val="0"/>
        </c:title>
        <c:numFmt formatCode="0.0" sourceLinked="0"/>
        <c:majorTickMark val="out"/>
        <c:minorTickMark val="none"/>
        <c:tickLblPos val="nextTo"/>
        <c:txPr>
          <a:bodyPr/>
          <a:lstStyle/>
          <a:p>
            <a:pPr>
              <a:defRPr>
                <a:latin typeface="Arial" panose="020B0604020202020204" pitchFamily="34" charset="0"/>
                <a:cs typeface="Arial" panose="020B0604020202020204" pitchFamily="34" charset="0"/>
              </a:defRPr>
            </a:pPr>
            <a:endParaRPr lang="en-US"/>
          </a:p>
        </c:txPr>
        <c:crossAx val="329428984"/>
        <c:crosses val="autoZero"/>
        <c:crossBetween val="midCat"/>
      </c:valAx>
      <c:valAx>
        <c:axId val="329428984"/>
        <c:scaling>
          <c:orientation val="minMax"/>
        </c:scaling>
        <c:delete val="0"/>
        <c:axPos val="l"/>
        <c:title>
          <c:tx>
            <c:rich>
              <a:bodyPr rot="-5400000" vert="horz"/>
              <a:lstStyle/>
              <a:p>
                <a:pPr>
                  <a:defRPr>
                    <a:latin typeface="Arial" panose="020B0604020202020204" pitchFamily="34" charset="0"/>
                    <a:cs typeface="Arial" panose="020B0604020202020204" pitchFamily="34" charset="0"/>
                  </a:defRPr>
                </a:pPr>
                <a:r>
                  <a:rPr lang="en-AU">
                    <a:latin typeface="Arial" panose="020B0604020202020204" pitchFamily="34" charset="0"/>
                    <a:cs typeface="Arial" panose="020B0604020202020204" pitchFamily="34" charset="0"/>
                  </a:rPr>
                  <a:t>Normalized protein abundance</a:t>
                </a:r>
              </a:p>
            </c:rich>
          </c:tx>
          <c:layout>
            <c:manualLayout>
              <c:xMode val="edge"/>
              <c:yMode val="edge"/>
              <c:x val="2.2446685146003315E-2"/>
              <c:y val="0.23599370233186429"/>
            </c:manualLayout>
          </c:layout>
          <c:overlay val="0"/>
        </c:title>
        <c:numFmt formatCode="0.0" sourceLinked="0"/>
        <c:majorTickMark val="out"/>
        <c:minorTickMark val="none"/>
        <c:tickLblPos val="nextTo"/>
        <c:txPr>
          <a:bodyPr/>
          <a:lstStyle/>
          <a:p>
            <a:pPr>
              <a:defRPr>
                <a:latin typeface="Arial" panose="020B0604020202020204" pitchFamily="34" charset="0"/>
                <a:cs typeface="Arial" panose="020B0604020202020204" pitchFamily="34" charset="0"/>
              </a:defRPr>
            </a:pPr>
            <a:endParaRPr lang="en-US"/>
          </a:p>
        </c:txPr>
        <c:crossAx val="329428592"/>
        <c:crosses val="autoZero"/>
        <c:crossBetween val="midCat"/>
      </c:valAx>
      <c:spPr>
        <a:ln>
          <a:solidFill>
            <a:schemeClr val="tx1"/>
          </a:solidFill>
        </a:ln>
      </c:spPr>
    </c:plotArea>
    <c:legend>
      <c:legendPos val="t"/>
      <c:layout>
        <c:manualLayout>
          <c:xMode val="edge"/>
          <c:yMode val="edge"/>
          <c:x val="0.16012215884964565"/>
          <c:y val="2.0227557365830505E-2"/>
          <c:w val="0.63952565246845072"/>
          <c:h val="6.096219464219256E-2"/>
        </c:manualLayout>
      </c:layout>
      <c:overlay val="0"/>
      <c:txPr>
        <a:bodyPr/>
        <a:lstStyle/>
        <a:p>
          <a:pPr>
            <a:defRPr>
              <a:latin typeface="Arial" panose="020B06040202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8575">
              <a:noFill/>
            </a:ln>
          </c:spPr>
          <c:trendline>
            <c:trendlineType val="linear"/>
            <c:dispRSqr val="1"/>
            <c:dispEq val="1"/>
            <c:trendlineLbl>
              <c:layout>
                <c:manualLayout>
                  <c:x val="-1.4845581802274715E-2"/>
                  <c:y val="0.36989574219889182"/>
                </c:manualLayout>
              </c:layout>
              <c:numFmt formatCode="General" sourceLinked="0"/>
            </c:trendlineLbl>
          </c:trendline>
          <c:xVal>
            <c:numLit>
              <c:formatCode>General</c:formatCode>
              <c:ptCount val="3"/>
              <c:pt idx="0">
                <c:v>0.1</c:v>
              </c:pt>
              <c:pt idx="1">
                <c:v>0.4</c:v>
              </c:pt>
              <c:pt idx="2">
                <c:v>0.7</c:v>
              </c:pt>
            </c:numLit>
          </c:xVal>
          <c:yVal>
            <c:numRef>
              <c:f>('partial expression data'!$Y$17,'partial expression data'!$Z$17,'partial expression data'!$AB$17)</c:f>
              <c:numCache>
                <c:formatCode>0.00</c:formatCode>
                <c:ptCount val="3"/>
                <c:pt idx="0">
                  <c:v>0.80234833659491189</c:v>
                </c:pt>
                <c:pt idx="1">
                  <c:v>0.95303326810176126</c:v>
                </c:pt>
                <c:pt idx="2">
                  <c:v>1.1056751467710371</c:v>
                </c:pt>
              </c:numCache>
            </c:numRef>
          </c:yVal>
          <c:smooth val="0"/>
          <c:extLst>
            <c:ext xmlns:c16="http://schemas.microsoft.com/office/drawing/2014/chart" uri="{C3380CC4-5D6E-409C-BE32-E72D297353CC}">
              <c16:uniqueId val="{00000001-D2EB-48DE-8035-09E781510E12}"/>
            </c:ext>
          </c:extLst>
        </c:ser>
        <c:dLbls>
          <c:showLegendKey val="0"/>
          <c:showVal val="0"/>
          <c:showCatName val="0"/>
          <c:showSerName val="0"/>
          <c:showPercent val="0"/>
          <c:showBubbleSize val="0"/>
        </c:dLbls>
        <c:axId val="329429768"/>
        <c:axId val="329430160"/>
      </c:scatterChart>
      <c:valAx>
        <c:axId val="329429768"/>
        <c:scaling>
          <c:orientation val="minMax"/>
        </c:scaling>
        <c:delete val="0"/>
        <c:axPos val="b"/>
        <c:numFmt formatCode="General" sourceLinked="1"/>
        <c:majorTickMark val="out"/>
        <c:minorTickMark val="none"/>
        <c:tickLblPos val="nextTo"/>
        <c:crossAx val="329430160"/>
        <c:crosses val="autoZero"/>
        <c:crossBetween val="midCat"/>
      </c:valAx>
      <c:valAx>
        <c:axId val="329430160"/>
        <c:scaling>
          <c:orientation val="minMax"/>
        </c:scaling>
        <c:delete val="0"/>
        <c:axPos val="l"/>
        <c:numFmt formatCode="0.00" sourceLinked="1"/>
        <c:majorTickMark val="out"/>
        <c:minorTickMark val="none"/>
        <c:tickLblPos val="nextTo"/>
        <c:crossAx val="329429768"/>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459218173119087"/>
          <c:y val="0.10549972649763578"/>
          <c:w val="0.8171586703149305"/>
          <c:h val="0.75756887004138262"/>
        </c:manualLayout>
      </c:layout>
      <c:scatterChart>
        <c:scatterStyle val="lineMarker"/>
        <c:varyColors val="0"/>
        <c:ser>
          <c:idx val="0"/>
          <c:order val="0"/>
          <c:tx>
            <c:v>mdh</c:v>
          </c:tx>
          <c:spPr>
            <a:ln w="28575">
              <a:noFill/>
            </a:ln>
          </c:spPr>
          <c:trendline>
            <c:trendlineType val="linear"/>
            <c:dispRSqr val="1"/>
            <c:dispEq val="1"/>
            <c:trendlineLbl>
              <c:layout>
                <c:manualLayout>
                  <c:x val="-0.44587547462808758"/>
                  <c:y val="0.31555264967756064"/>
                </c:manualLayout>
              </c:layout>
              <c:numFmt formatCode="General" sourceLinked="0"/>
            </c:trendlineLbl>
          </c:trendline>
          <c:xVal>
            <c:numRef>
              <c:f>'partial expression data'!$C$12:$AB$12</c:f>
              <c:numCache>
                <c:formatCode>0.00</c:formatCode>
                <c:ptCount val="26"/>
                <c:pt idx="0">
                  <c:v>0.69262865090403336</c:v>
                </c:pt>
                <c:pt idx="1">
                  <c:v>0.64812239221140477</c:v>
                </c:pt>
                <c:pt idx="2">
                  <c:v>0.7315716272600834</c:v>
                </c:pt>
                <c:pt idx="3">
                  <c:v>0.51460361613351879</c:v>
                </c:pt>
                <c:pt idx="4">
                  <c:v>0.73991655076495133</c:v>
                </c:pt>
                <c:pt idx="5">
                  <c:v>0.80945757997218359</c:v>
                </c:pt>
                <c:pt idx="6">
                  <c:v>0.56467315716272604</c:v>
                </c:pt>
                <c:pt idx="7">
                  <c:v>0.68150208623087627</c:v>
                </c:pt>
                <c:pt idx="8">
                  <c:v>0.69541029207232263</c:v>
                </c:pt>
                <c:pt idx="9">
                  <c:v>0.68984700973574409</c:v>
                </c:pt>
                <c:pt idx="10">
                  <c:v>0.69819193324061191</c:v>
                </c:pt>
                <c:pt idx="11">
                  <c:v>0.60917941585535462</c:v>
                </c:pt>
                <c:pt idx="12">
                  <c:v>0.67315716272600834</c:v>
                </c:pt>
                <c:pt idx="13">
                  <c:v>0.7649513212795549</c:v>
                </c:pt>
                <c:pt idx="14">
                  <c:v>0.63699582753824757</c:v>
                </c:pt>
                <c:pt idx="15">
                  <c:v>0.71488178025034765</c:v>
                </c:pt>
                <c:pt idx="16">
                  <c:v>0.94993045897079276</c:v>
                </c:pt>
                <c:pt idx="17">
                  <c:v>0.71766342141863704</c:v>
                </c:pt>
                <c:pt idx="18">
                  <c:v>0.5897079276773296</c:v>
                </c:pt>
                <c:pt idx="19">
                  <c:v>0.67732962447844225</c:v>
                </c:pt>
                <c:pt idx="20">
                  <c:v>0.71488178025034765</c:v>
                </c:pt>
                <c:pt idx="21">
                  <c:v>0.76634214186369953</c:v>
                </c:pt>
                <c:pt idx="22">
                  <c:v>0.56884561891515995</c:v>
                </c:pt>
                <c:pt idx="23">
                  <c:v>0.86787204450625866</c:v>
                </c:pt>
                <c:pt idx="24">
                  <c:v>0.85118219749652291</c:v>
                </c:pt>
                <c:pt idx="25">
                  <c:v>0.7426981919332406</c:v>
                </c:pt>
              </c:numCache>
            </c:numRef>
          </c:xVal>
          <c:yVal>
            <c:numRef>
              <c:f>'partial expression data'!$C$5:$AB$5</c:f>
              <c:numCache>
                <c:formatCode>0.00</c:formatCode>
                <c:ptCount val="26"/>
                <c:pt idx="7">
                  <c:v>1.1813471502590673</c:v>
                </c:pt>
                <c:pt idx="9">
                  <c:v>0.82124352331606221</c:v>
                </c:pt>
                <c:pt idx="10">
                  <c:v>0.7538860103626942</c:v>
                </c:pt>
                <c:pt idx="11">
                  <c:v>0.81606217616580312</c:v>
                </c:pt>
                <c:pt idx="12">
                  <c:v>0.61658031088082899</c:v>
                </c:pt>
                <c:pt idx="14">
                  <c:v>1.0906735751295336</c:v>
                </c:pt>
                <c:pt idx="15">
                  <c:v>1.4041450777202074</c:v>
                </c:pt>
                <c:pt idx="17">
                  <c:v>0.8704663212435233</c:v>
                </c:pt>
                <c:pt idx="18">
                  <c:v>0.65544041450777202</c:v>
                </c:pt>
                <c:pt idx="19">
                  <c:v>1.2720207253886009</c:v>
                </c:pt>
                <c:pt idx="20">
                  <c:v>1.2694300518134713</c:v>
                </c:pt>
                <c:pt idx="21">
                  <c:v>0.96632124352331605</c:v>
                </c:pt>
              </c:numCache>
            </c:numRef>
          </c:yVal>
          <c:smooth val="0"/>
          <c:extLst>
            <c:ext xmlns:c16="http://schemas.microsoft.com/office/drawing/2014/chart" uri="{C3380CC4-5D6E-409C-BE32-E72D297353CC}">
              <c16:uniqueId val="{00000001-6FB5-4AA1-9E2B-2791A747CAC3}"/>
            </c:ext>
          </c:extLst>
        </c:ser>
        <c:dLbls>
          <c:showLegendKey val="0"/>
          <c:showVal val="0"/>
          <c:showCatName val="0"/>
          <c:showSerName val="0"/>
          <c:showPercent val="0"/>
          <c:showBubbleSize val="0"/>
        </c:dLbls>
        <c:axId val="329430944"/>
        <c:axId val="329431336"/>
      </c:scatterChart>
      <c:valAx>
        <c:axId val="329430944"/>
        <c:scaling>
          <c:orientation val="minMax"/>
        </c:scaling>
        <c:delete val="0"/>
        <c:axPos val="b"/>
        <c:title>
          <c:tx>
            <c:rich>
              <a:bodyPr/>
              <a:lstStyle/>
              <a:p>
                <a:pPr>
                  <a:defRPr>
                    <a:latin typeface="Arial" panose="020B0604020202020204" pitchFamily="34" charset="0"/>
                    <a:cs typeface="Arial" panose="020B0604020202020204" pitchFamily="34" charset="0"/>
                  </a:defRPr>
                </a:pPr>
                <a:r>
                  <a:rPr lang="en-AU">
                    <a:latin typeface="Arial" panose="020B0604020202020204" pitchFamily="34" charset="0"/>
                    <a:cs typeface="Arial" panose="020B0604020202020204" pitchFamily="34" charset="0"/>
                  </a:rPr>
                  <a:t>Normalized mRNA abundance</a:t>
                </a:r>
              </a:p>
            </c:rich>
          </c:tx>
          <c:overlay val="0"/>
        </c:title>
        <c:numFmt formatCode="0.0" sourceLinked="0"/>
        <c:majorTickMark val="out"/>
        <c:minorTickMark val="none"/>
        <c:tickLblPos val="nextTo"/>
        <c:txPr>
          <a:bodyPr/>
          <a:lstStyle/>
          <a:p>
            <a:pPr>
              <a:defRPr>
                <a:latin typeface="Arial" panose="020B0604020202020204" pitchFamily="34" charset="0"/>
                <a:cs typeface="Arial" panose="020B0604020202020204" pitchFamily="34" charset="0"/>
              </a:defRPr>
            </a:pPr>
            <a:endParaRPr lang="en-US"/>
          </a:p>
        </c:txPr>
        <c:crossAx val="329431336"/>
        <c:crosses val="autoZero"/>
        <c:crossBetween val="midCat"/>
      </c:valAx>
      <c:valAx>
        <c:axId val="329431336"/>
        <c:scaling>
          <c:orientation val="minMax"/>
        </c:scaling>
        <c:delete val="0"/>
        <c:axPos val="l"/>
        <c:title>
          <c:tx>
            <c:rich>
              <a:bodyPr rot="-5400000" vert="horz"/>
              <a:lstStyle/>
              <a:p>
                <a:pPr>
                  <a:defRPr>
                    <a:latin typeface="Arial" panose="020B0604020202020204" pitchFamily="34" charset="0"/>
                    <a:cs typeface="Arial" panose="020B0604020202020204" pitchFamily="34" charset="0"/>
                  </a:defRPr>
                </a:pPr>
                <a:r>
                  <a:rPr lang="en-AU">
                    <a:latin typeface="Arial" panose="020B0604020202020204" pitchFamily="34" charset="0"/>
                    <a:cs typeface="Arial" panose="020B0604020202020204" pitchFamily="34" charset="0"/>
                  </a:rPr>
                  <a:t>Normalized protein abundance</a:t>
                </a:r>
              </a:p>
            </c:rich>
          </c:tx>
          <c:overlay val="0"/>
        </c:title>
        <c:numFmt formatCode="0.0" sourceLinked="0"/>
        <c:majorTickMark val="out"/>
        <c:minorTickMark val="none"/>
        <c:tickLblPos val="nextTo"/>
        <c:txPr>
          <a:bodyPr/>
          <a:lstStyle/>
          <a:p>
            <a:pPr>
              <a:defRPr>
                <a:latin typeface="Arial" panose="020B0604020202020204" pitchFamily="34" charset="0"/>
                <a:cs typeface="Arial" panose="020B0604020202020204" pitchFamily="34" charset="0"/>
              </a:defRPr>
            </a:pPr>
            <a:endParaRPr lang="en-US"/>
          </a:p>
        </c:txPr>
        <c:crossAx val="329430944"/>
        <c:crosses val="autoZero"/>
        <c:crossBetween val="midCat"/>
      </c:valAx>
      <c:spPr>
        <a:ln>
          <a:solidFill>
            <a:schemeClr val="tx1"/>
          </a:solidFill>
        </a:ln>
      </c:spPr>
    </c:plotArea>
    <c:legend>
      <c:legendPos val="t"/>
      <c:layout>
        <c:manualLayout>
          <c:xMode val="edge"/>
          <c:yMode val="edge"/>
          <c:x val="0.16012215884964565"/>
          <c:y val="2.0227557365830505E-2"/>
          <c:w val="0.33435680791169653"/>
          <c:h val="5.5693910300892019E-2"/>
        </c:manualLayout>
      </c:layout>
      <c:overlay val="0"/>
      <c:txPr>
        <a:bodyPr/>
        <a:lstStyle/>
        <a:p>
          <a:pPr>
            <a:defRPr>
              <a:latin typeface="Arial" panose="020B06040202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Glucose</c:v>
          </c:tx>
          <c:invertIfNegative val="0"/>
          <c:cat>
            <c:strRef>
              <c:f>'norm mets data'!$AC$35:$AF$35</c:f>
              <c:strCache>
                <c:ptCount val="4"/>
                <c:pt idx="0">
                  <c:v>RF03</c:v>
                </c:pt>
                <c:pt idx="1">
                  <c:v>RF04</c:v>
                </c:pt>
                <c:pt idx="2">
                  <c:v>RF05</c:v>
                </c:pt>
                <c:pt idx="3">
                  <c:v>RF06</c:v>
                </c:pt>
              </c:strCache>
            </c:strRef>
          </c:cat>
          <c:val>
            <c:numRef>
              <c:f>'norm mets data'!$AC$37:$AF$37</c:f>
              <c:numCache>
                <c:formatCode>0.00E+00</c:formatCode>
                <c:ptCount val="4"/>
                <c:pt idx="0">
                  <c:v>6.3299999999999997E-3</c:v>
                </c:pt>
                <c:pt idx="1">
                  <c:v>1.0500000000000001E-2</c:v>
                </c:pt>
                <c:pt idx="2">
                  <c:v>1.41E-2</c:v>
                </c:pt>
                <c:pt idx="3">
                  <c:v>4.5100000000000001E-3</c:v>
                </c:pt>
              </c:numCache>
            </c:numRef>
          </c:val>
          <c:extLst>
            <c:ext xmlns:c16="http://schemas.microsoft.com/office/drawing/2014/chart" uri="{C3380CC4-5D6E-409C-BE32-E72D297353CC}">
              <c16:uniqueId val="{00000000-F35D-4ED0-8617-1536C98E7A6A}"/>
            </c:ext>
          </c:extLst>
        </c:ser>
        <c:ser>
          <c:idx val="1"/>
          <c:order val="1"/>
          <c:tx>
            <c:v>Ethanol</c:v>
          </c:tx>
          <c:invertIfNegative val="0"/>
          <c:val>
            <c:numRef>
              <c:f>'norm mets data'!$AC$38:$AF$38</c:f>
              <c:numCache>
                <c:formatCode>0.00E+00</c:formatCode>
                <c:ptCount val="4"/>
                <c:pt idx="0">
                  <c:v>0</c:v>
                </c:pt>
                <c:pt idx="1">
                  <c:v>2.9499999999999998E-2</c:v>
                </c:pt>
                <c:pt idx="2">
                  <c:v>1.4500000000000001E-2</c:v>
                </c:pt>
                <c:pt idx="3">
                  <c:v>6.0000000000000001E-3</c:v>
                </c:pt>
              </c:numCache>
            </c:numRef>
          </c:val>
          <c:extLst>
            <c:ext xmlns:c16="http://schemas.microsoft.com/office/drawing/2014/chart" uri="{C3380CC4-5D6E-409C-BE32-E72D297353CC}">
              <c16:uniqueId val="{00000001-F35D-4ED0-8617-1536C98E7A6A}"/>
            </c:ext>
          </c:extLst>
        </c:ser>
        <c:ser>
          <c:idx val="2"/>
          <c:order val="2"/>
          <c:tx>
            <c:v>Acetate</c:v>
          </c:tx>
          <c:invertIfNegative val="0"/>
          <c:val>
            <c:numRef>
              <c:f>'norm mets data'!$AC$39:$AF$39</c:f>
              <c:numCache>
                <c:formatCode>0.00E+00</c:formatCode>
                <c:ptCount val="4"/>
                <c:pt idx="0">
                  <c:v>3.0400000000000002E-4</c:v>
                </c:pt>
                <c:pt idx="1">
                  <c:v>0</c:v>
                </c:pt>
                <c:pt idx="2">
                  <c:v>5.7499999999999999E-3</c:v>
                </c:pt>
                <c:pt idx="3">
                  <c:v>4.47E-3</c:v>
                </c:pt>
              </c:numCache>
            </c:numRef>
          </c:val>
          <c:extLst>
            <c:ext xmlns:c16="http://schemas.microsoft.com/office/drawing/2014/chart" uri="{C3380CC4-5D6E-409C-BE32-E72D297353CC}">
              <c16:uniqueId val="{00000002-F35D-4ED0-8617-1536C98E7A6A}"/>
            </c:ext>
          </c:extLst>
        </c:ser>
        <c:ser>
          <c:idx val="3"/>
          <c:order val="3"/>
          <c:tx>
            <c:v>D-lactate</c:v>
          </c:tx>
          <c:invertIfNegative val="0"/>
          <c:val>
            <c:numRef>
              <c:f>'norm mets data'!$AC$40:$AF$40</c:f>
              <c:numCache>
                <c:formatCode>0.00E+00</c:formatCode>
                <c:ptCount val="4"/>
                <c:pt idx="0">
                  <c:v>0</c:v>
                </c:pt>
                <c:pt idx="1">
                  <c:v>0</c:v>
                </c:pt>
                <c:pt idx="2">
                  <c:v>0</c:v>
                </c:pt>
                <c:pt idx="3">
                  <c:v>0</c:v>
                </c:pt>
              </c:numCache>
            </c:numRef>
          </c:val>
          <c:extLst>
            <c:ext xmlns:c16="http://schemas.microsoft.com/office/drawing/2014/chart" uri="{C3380CC4-5D6E-409C-BE32-E72D297353CC}">
              <c16:uniqueId val="{00000003-F35D-4ED0-8617-1536C98E7A6A}"/>
            </c:ext>
          </c:extLst>
        </c:ser>
        <c:ser>
          <c:idx val="4"/>
          <c:order val="4"/>
          <c:tx>
            <c:v>L-lactate</c:v>
          </c:tx>
          <c:invertIfNegative val="0"/>
          <c:val>
            <c:numRef>
              <c:f>'norm mets data'!$AC$41:$AF$41</c:f>
              <c:numCache>
                <c:formatCode>0.00E+00</c:formatCode>
                <c:ptCount val="4"/>
                <c:pt idx="0">
                  <c:v>2.63E-3</c:v>
                </c:pt>
                <c:pt idx="1">
                  <c:v>0</c:v>
                </c:pt>
                <c:pt idx="2">
                  <c:v>1.72E-3</c:v>
                </c:pt>
                <c:pt idx="3">
                  <c:v>4.4799999999999999E-4</c:v>
                </c:pt>
              </c:numCache>
            </c:numRef>
          </c:val>
          <c:extLst>
            <c:ext xmlns:c16="http://schemas.microsoft.com/office/drawing/2014/chart" uri="{C3380CC4-5D6E-409C-BE32-E72D297353CC}">
              <c16:uniqueId val="{00000004-F35D-4ED0-8617-1536C98E7A6A}"/>
            </c:ext>
          </c:extLst>
        </c:ser>
        <c:ser>
          <c:idx val="5"/>
          <c:order val="5"/>
          <c:tx>
            <c:v>Succinate</c:v>
          </c:tx>
          <c:invertIfNegative val="0"/>
          <c:val>
            <c:numRef>
              <c:f>'norm mets data'!$AC$42:$AF$42</c:f>
              <c:numCache>
                <c:formatCode>0.00E+00</c:formatCode>
                <c:ptCount val="4"/>
                <c:pt idx="0">
                  <c:v>3.4099999999999998E-3</c:v>
                </c:pt>
                <c:pt idx="1">
                  <c:v>2.7300000000000001E-2</c:v>
                </c:pt>
                <c:pt idx="2">
                  <c:v>8.77E-3</c:v>
                </c:pt>
                <c:pt idx="3">
                  <c:v>0</c:v>
                </c:pt>
              </c:numCache>
            </c:numRef>
          </c:val>
          <c:extLst>
            <c:ext xmlns:c16="http://schemas.microsoft.com/office/drawing/2014/chart" uri="{C3380CC4-5D6E-409C-BE32-E72D297353CC}">
              <c16:uniqueId val="{00000005-F35D-4ED0-8617-1536C98E7A6A}"/>
            </c:ext>
          </c:extLst>
        </c:ser>
        <c:ser>
          <c:idx val="6"/>
          <c:order val="6"/>
          <c:tx>
            <c:v>Pyruvate</c:v>
          </c:tx>
          <c:invertIfNegative val="0"/>
          <c:val>
            <c:numRef>
              <c:f>'norm mets data'!$AC$43:$AF$43</c:f>
              <c:numCache>
                <c:formatCode>0.00E+00</c:formatCode>
                <c:ptCount val="4"/>
                <c:pt idx="0">
                  <c:v>7.4299999999999995E-4</c:v>
                </c:pt>
                <c:pt idx="1">
                  <c:v>3.7699999999999999E-3</c:v>
                </c:pt>
                <c:pt idx="2">
                  <c:v>7.9299999999999998E-4</c:v>
                </c:pt>
                <c:pt idx="3">
                  <c:v>1.5399999999999999E-3</c:v>
                </c:pt>
              </c:numCache>
            </c:numRef>
          </c:val>
          <c:extLst>
            <c:ext xmlns:c16="http://schemas.microsoft.com/office/drawing/2014/chart" uri="{C3380CC4-5D6E-409C-BE32-E72D297353CC}">
              <c16:uniqueId val="{00000006-F35D-4ED0-8617-1536C98E7A6A}"/>
            </c:ext>
          </c:extLst>
        </c:ser>
        <c:ser>
          <c:idx val="7"/>
          <c:order val="7"/>
          <c:tx>
            <c:v>Formate</c:v>
          </c:tx>
          <c:invertIfNegative val="0"/>
          <c:val>
            <c:numRef>
              <c:f>'norm mets data'!$AC$44:$AF$44</c:f>
              <c:numCache>
                <c:formatCode>0.00E+00</c:formatCode>
                <c:ptCount val="4"/>
                <c:pt idx="0">
                  <c:v>0</c:v>
                </c:pt>
                <c:pt idx="1">
                  <c:v>0</c:v>
                </c:pt>
                <c:pt idx="2">
                  <c:v>0</c:v>
                </c:pt>
                <c:pt idx="3">
                  <c:v>0</c:v>
                </c:pt>
              </c:numCache>
            </c:numRef>
          </c:val>
          <c:extLst>
            <c:ext xmlns:c16="http://schemas.microsoft.com/office/drawing/2014/chart" uri="{C3380CC4-5D6E-409C-BE32-E72D297353CC}">
              <c16:uniqueId val="{00000007-F35D-4ED0-8617-1536C98E7A6A}"/>
            </c:ext>
          </c:extLst>
        </c:ser>
        <c:dLbls>
          <c:showLegendKey val="0"/>
          <c:showVal val="0"/>
          <c:showCatName val="0"/>
          <c:showSerName val="0"/>
          <c:showPercent val="0"/>
          <c:showBubbleSize val="0"/>
        </c:dLbls>
        <c:gapWidth val="150"/>
        <c:axId val="329432120"/>
        <c:axId val="329432512"/>
      </c:barChart>
      <c:catAx>
        <c:axId val="329432120"/>
        <c:scaling>
          <c:orientation val="minMax"/>
        </c:scaling>
        <c:delete val="0"/>
        <c:axPos val="b"/>
        <c:title>
          <c:tx>
            <c:rich>
              <a:bodyPr/>
              <a:lstStyle/>
              <a:p>
                <a:pPr>
                  <a:defRPr/>
                </a:pPr>
                <a:r>
                  <a:rPr lang="en-AU"/>
                  <a:t>Reference point</a:t>
                </a:r>
              </a:p>
            </c:rich>
          </c:tx>
          <c:overlay val="0"/>
        </c:title>
        <c:numFmt formatCode="General" sourceLinked="0"/>
        <c:majorTickMark val="out"/>
        <c:minorTickMark val="none"/>
        <c:tickLblPos val="nextTo"/>
        <c:crossAx val="329432512"/>
        <c:crosses val="autoZero"/>
        <c:auto val="1"/>
        <c:lblAlgn val="ctr"/>
        <c:lblOffset val="100"/>
        <c:noMultiLvlLbl val="0"/>
      </c:catAx>
      <c:valAx>
        <c:axId val="329432512"/>
        <c:scaling>
          <c:orientation val="minMax"/>
          <c:max val="3.0000000000000006E-2"/>
        </c:scaling>
        <c:delete val="0"/>
        <c:axPos val="l"/>
        <c:title>
          <c:tx>
            <c:rich>
              <a:bodyPr rot="-5400000" vert="horz"/>
              <a:lstStyle/>
              <a:p>
                <a:pPr>
                  <a:defRPr/>
                </a:pPr>
                <a:r>
                  <a:rPr lang="en-AU"/>
                  <a:t>is Title</a:t>
                </a:r>
              </a:p>
            </c:rich>
          </c:tx>
          <c:overlay val="0"/>
        </c:title>
        <c:numFmt formatCode="0.0E+00" sourceLinked="0"/>
        <c:majorTickMark val="out"/>
        <c:minorTickMark val="none"/>
        <c:tickLblPos val="nextTo"/>
        <c:crossAx val="329432120"/>
        <c:crosses val="autoZero"/>
        <c:crossBetween val="between"/>
      </c:valAx>
      <c:spPr>
        <a:ln>
          <a:solidFill>
            <a:schemeClr val="tx1"/>
          </a:solidFill>
        </a:ln>
      </c:spPr>
    </c:plotArea>
    <c:legend>
      <c:legendPos val="r"/>
      <c:overlay val="0"/>
    </c:legend>
    <c:plotVisOnly val="1"/>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380999</xdr:colOff>
      <xdr:row>19</xdr:row>
      <xdr:rowOff>176212</xdr:rowOff>
    </xdr:from>
    <xdr:to>
      <xdr:col>10</xdr:col>
      <xdr:colOff>542925</xdr:colOff>
      <xdr:row>40</xdr:row>
      <xdr:rowOff>66676</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295275</xdr:colOff>
      <xdr:row>22</xdr:row>
      <xdr:rowOff>33337</xdr:rowOff>
    </xdr:from>
    <xdr:to>
      <xdr:col>18</xdr:col>
      <xdr:colOff>600075</xdr:colOff>
      <xdr:row>36</xdr:row>
      <xdr:rowOff>109537</xdr:rowOff>
    </xdr:to>
    <xdr:graphicFrame macro="">
      <xdr:nvGraphicFramePr>
        <xdr:cNvPr id="3" name="Chart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276225</xdr:colOff>
      <xdr:row>19</xdr:row>
      <xdr:rowOff>104775</xdr:rowOff>
    </xdr:from>
    <xdr:to>
      <xdr:col>28</xdr:col>
      <xdr:colOff>180976</xdr:colOff>
      <xdr:row>39</xdr:row>
      <xdr:rowOff>185739</xdr:rowOff>
    </xdr:to>
    <xdr:graphicFrame macro="">
      <xdr:nvGraphicFramePr>
        <xdr:cNvPr id="4" name="Chart 3">
          <a:extLst>
            <a:ext uri="{FF2B5EF4-FFF2-40B4-BE49-F238E27FC236}">
              <a16:creationId xmlns:a16="http://schemas.microsoft.com/office/drawing/2014/main" id="{00000000-0008-0000-0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32</xdr:col>
      <xdr:colOff>409575</xdr:colOff>
      <xdr:row>10</xdr:row>
      <xdr:rowOff>185736</xdr:rowOff>
    </xdr:from>
    <xdr:to>
      <xdr:col>43</xdr:col>
      <xdr:colOff>485775</xdr:colOff>
      <xdr:row>30</xdr:row>
      <xdr:rowOff>114299</xdr:rowOff>
    </xdr:to>
    <xdr:graphicFrame macro="">
      <xdr:nvGraphicFramePr>
        <xdr:cNvPr id="3" name="Chart 2">
          <a:extLst>
            <a:ext uri="{FF2B5EF4-FFF2-40B4-BE49-F238E27FC236}">
              <a16:creationId xmlns:a16="http://schemas.microsoft.com/office/drawing/2014/main" id="{00000000-0008-0000-0F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6" Type="http://schemas.openxmlformats.org/officeDocument/2006/relationships/hyperlink" Target="http://www.ncbi.nlm.nih.gov/pubmed/8508809" TargetMode="External"/><Relationship Id="rId21" Type="http://schemas.openxmlformats.org/officeDocument/2006/relationships/hyperlink" Target="http://www.ncbi.nlm.nih.gov/pubmed/19401148" TargetMode="External"/><Relationship Id="rId34" Type="http://schemas.openxmlformats.org/officeDocument/2006/relationships/hyperlink" Target="http://www.ncbi.nlm.nih.gov/pubmed/24580753" TargetMode="External"/><Relationship Id="rId42" Type="http://schemas.openxmlformats.org/officeDocument/2006/relationships/hyperlink" Target="http://www.ncbi.nlm.nih.gov/pubmed/17954980" TargetMode="External"/><Relationship Id="rId47" Type="http://schemas.openxmlformats.org/officeDocument/2006/relationships/hyperlink" Target="http://www.ncbi.nlm.nih.gov/pubmed/7751300" TargetMode="External"/><Relationship Id="rId50" Type="http://schemas.openxmlformats.org/officeDocument/2006/relationships/hyperlink" Target="http://www.ncbi.nlm.nih.gov/pubmed/8226637" TargetMode="External"/><Relationship Id="rId55" Type="http://schemas.openxmlformats.org/officeDocument/2006/relationships/hyperlink" Target="http://www.ncbi.nlm.nih.gov/pubmed/225306" TargetMode="External"/><Relationship Id="rId63" Type="http://schemas.openxmlformats.org/officeDocument/2006/relationships/hyperlink" Target="http://www.ncbi.nlm.nih.gov/pubmed/14660605" TargetMode="External"/><Relationship Id="rId7" Type="http://schemas.openxmlformats.org/officeDocument/2006/relationships/hyperlink" Target="http://biocyc.org/ECOLI/NEW-IMAGE?type=PATHWAY&amp;object=GLYCOLYSIS" TargetMode="External"/><Relationship Id="rId2" Type="http://schemas.openxmlformats.org/officeDocument/2006/relationships/hyperlink" Target="http://www.ncbi.nlm.nih.gov/pubmed/19028900" TargetMode="External"/><Relationship Id="rId16" Type="http://schemas.openxmlformats.org/officeDocument/2006/relationships/hyperlink" Target="http://www.ncbi.nlm.nih.gov/pubmed/17850260" TargetMode="External"/><Relationship Id="rId29" Type="http://schemas.openxmlformats.org/officeDocument/2006/relationships/hyperlink" Target="http://www.ncbi.nlm.nih.gov/pubmed/1541275" TargetMode="External"/><Relationship Id="rId11" Type="http://schemas.openxmlformats.org/officeDocument/2006/relationships/hyperlink" Target="http://www.ncbi.nlm.nih.gov/pubmed/4598000" TargetMode="External"/><Relationship Id="rId24" Type="http://schemas.openxmlformats.org/officeDocument/2006/relationships/hyperlink" Target="http://www.ncbi.nlm.nih.gov/pubmed/19401148" TargetMode="External"/><Relationship Id="rId32" Type="http://schemas.openxmlformats.org/officeDocument/2006/relationships/hyperlink" Target="http://www.ncbi.nlm.nih.gov/pubmed/17142397" TargetMode="External"/><Relationship Id="rId37" Type="http://schemas.openxmlformats.org/officeDocument/2006/relationships/hyperlink" Target="http://www.ncbi.nlm.nih.gov/pubmed/9210286" TargetMode="External"/><Relationship Id="rId40" Type="http://schemas.openxmlformats.org/officeDocument/2006/relationships/hyperlink" Target="http://www.ncbi.nlm.nih.gov/pubmed/9484901" TargetMode="External"/><Relationship Id="rId45" Type="http://schemas.openxmlformats.org/officeDocument/2006/relationships/hyperlink" Target="http://www.ncbi.nlm.nih.gov/pubmed/11350954" TargetMode="External"/><Relationship Id="rId53" Type="http://schemas.openxmlformats.org/officeDocument/2006/relationships/hyperlink" Target="http://www.ncbi.nlm.nih.gov/pubmed/7490260" TargetMode="External"/><Relationship Id="rId58" Type="http://schemas.openxmlformats.org/officeDocument/2006/relationships/hyperlink" Target="http://www.ncbi.nlm.nih.gov/pubmed/2997739" TargetMode="External"/><Relationship Id="rId66" Type="http://schemas.openxmlformats.org/officeDocument/2006/relationships/hyperlink" Target="http://www.ncbi.nlm.nih.gov/pubmed/25049088" TargetMode="External"/><Relationship Id="rId5" Type="http://schemas.openxmlformats.org/officeDocument/2006/relationships/hyperlink" Target="http://www.ncbi.nlm.nih.gov/pubmed/24580753" TargetMode="External"/><Relationship Id="rId61" Type="http://schemas.openxmlformats.org/officeDocument/2006/relationships/hyperlink" Target="http://www.ncbi.nlm.nih.gov/pubmed/18075575" TargetMode="External"/><Relationship Id="rId19" Type="http://schemas.openxmlformats.org/officeDocument/2006/relationships/hyperlink" Target="http://www.ncbi.nlm.nih.gov/pubmed/8572885" TargetMode="External"/><Relationship Id="rId14" Type="http://schemas.openxmlformats.org/officeDocument/2006/relationships/hyperlink" Target="http://www.ncbi.nlm.nih.gov/pubmed/22802628" TargetMode="External"/><Relationship Id="rId22" Type="http://schemas.openxmlformats.org/officeDocument/2006/relationships/hyperlink" Target="http://www.ncbi.nlm.nih.gov/pubmed/11298760" TargetMode="External"/><Relationship Id="rId27" Type="http://schemas.openxmlformats.org/officeDocument/2006/relationships/hyperlink" Target="http://www.ncbi.nlm.nih.gov/pubmed/10589714" TargetMode="External"/><Relationship Id="rId30" Type="http://schemas.openxmlformats.org/officeDocument/2006/relationships/hyperlink" Target="http://www.ncbi.nlm.nih.gov/pubmed/19309314" TargetMode="External"/><Relationship Id="rId35" Type="http://schemas.openxmlformats.org/officeDocument/2006/relationships/hyperlink" Target="http://www.ncbi.nlm.nih.gov/pubmed/16338405" TargetMode="External"/><Relationship Id="rId43" Type="http://schemas.openxmlformats.org/officeDocument/2006/relationships/hyperlink" Target="http://www.ncbi.nlm.nih.gov/pubmed/20236319" TargetMode="External"/><Relationship Id="rId48" Type="http://schemas.openxmlformats.org/officeDocument/2006/relationships/hyperlink" Target="http://www.ncbi.nlm.nih.gov/pubmed/14563880" TargetMode="External"/><Relationship Id="rId56" Type="http://schemas.openxmlformats.org/officeDocument/2006/relationships/hyperlink" Target="http://www.ncbi.nlm.nih.gov/pubmed/9212416" TargetMode="External"/><Relationship Id="rId64" Type="http://schemas.openxmlformats.org/officeDocument/2006/relationships/hyperlink" Target="http://www.ncbi.nlm.nih.gov/pubmed/9922271" TargetMode="External"/><Relationship Id="rId8" Type="http://schemas.openxmlformats.org/officeDocument/2006/relationships/hyperlink" Target="http://www.ncbi.nlm.nih.gov/pubmed/15988767" TargetMode="External"/><Relationship Id="rId51" Type="http://schemas.openxmlformats.org/officeDocument/2006/relationships/hyperlink" Target="http://www.ncbi.nlm.nih.gov/pubmed/6986370" TargetMode="External"/><Relationship Id="rId3" Type="http://schemas.openxmlformats.org/officeDocument/2006/relationships/hyperlink" Target="http://www.ncbi.nlm.nih.gov/pubmed/17766388" TargetMode="External"/><Relationship Id="rId12" Type="http://schemas.openxmlformats.org/officeDocument/2006/relationships/hyperlink" Target="http://www.ncbi.nlm.nih.gov/pubmed/8572885" TargetMode="External"/><Relationship Id="rId17" Type="http://schemas.openxmlformats.org/officeDocument/2006/relationships/hyperlink" Target="http://www.ncbi.nlm.nih.gov/pubmed/8396116" TargetMode="External"/><Relationship Id="rId25" Type="http://schemas.openxmlformats.org/officeDocument/2006/relationships/hyperlink" Target="http://www.ncbi.nlm.nih.gov/pubmed/9325432" TargetMode="External"/><Relationship Id="rId33" Type="http://schemas.openxmlformats.org/officeDocument/2006/relationships/hyperlink" Target="http://www.ncbi.nlm.nih.gov/pubmed/2661545" TargetMode="External"/><Relationship Id="rId38" Type="http://schemas.openxmlformats.org/officeDocument/2006/relationships/hyperlink" Target="http://www.ncbi.nlm.nih.gov/pubmed/3282546" TargetMode="External"/><Relationship Id="rId46" Type="http://schemas.openxmlformats.org/officeDocument/2006/relationships/hyperlink" Target="http://www.ncbi.nlm.nih.gov/pubmed/12952533" TargetMode="External"/><Relationship Id="rId59" Type="http://schemas.openxmlformats.org/officeDocument/2006/relationships/hyperlink" Target="http://www.ncbi.nlm.nih.gov/pubmed/4910856" TargetMode="External"/><Relationship Id="rId20" Type="http://schemas.openxmlformats.org/officeDocument/2006/relationships/hyperlink" Target="http://www.ncbi.nlm.nih.gov/pubmed/8396116" TargetMode="External"/><Relationship Id="rId41" Type="http://schemas.openxmlformats.org/officeDocument/2006/relationships/hyperlink" Target="http://www.ncbi.nlm.nih.gov/pubmed/9484901" TargetMode="External"/><Relationship Id="rId54" Type="http://schemas.openxmlformats.org/officeDocument/2006/relationships/hyperlink" Target="http://www.ncbi.nlm.nih.gov/pubmed/17557829" TargetMode="External"/><Relationship Id="rId62" Type="http://schemas.openxmlformats.org/officeDocument/2006/relationships/hyperlink" Target="http://www.ncbi.nlm.nih.gov/pubmed/21040753" TargetMode="External"/><Relationship Id="rId1" Type="http://schemas.openxmlformats.org/officeDocument/2006/relationships/hyperlink" Target="http://www.ncbi.nlm.nih.gov/pubmed/7786044" TargetMode="External"/><Relationship Id="rId6" Type="http://schemas.openxmlformats.org/officeDocument/2006/relationships/hyperlink" Target="http://www.ncbi.nlm.nih.gov/pubmed/4582155" TargetMode="External"/><Relationship Id="rId15" Type="http://schemas.openxmlformats.org/officeDocument/2006/relationships/hyperlink" Target="http://www.ncbi.nlm.nih.gov/pubmed/8572885" TargetMode="External"/><Relationship Id="rId23" Type="http://schemas.openxmlformats.org/officeDocument/2006/relationships/hyperlink" Target="http://www.ncbi.nlm.nih.gov/pubmed/7592346" TargetMode="External"/><Relationship Id="rId28" Type="http://schemas.openxmlformats.org/officeDocument/2006/relationships/hyperlink" Target="http://www.ncbi.nlm.nih.gov/pubmed/12076823" TargetMode="External"/><Relationship Id="rId36" Type="http://schemas.openxmlformats.org/officeDocument/2006/relationships/hyperlink" Target="http://www.ncbi.nlm.nih.gov/pubmed/3002435" TargetMode="External"/><Relationship Id="rId49" Type="http://schemas.openxmlformats.org/officeDocument/2006/relationships/hyperlink" Target="http://www.ncbi.nlm.nih.gov/pubmed/19476487" TargetMode="External"/><Relationship Id="rId57" Type="http://schemas.openxmlformats.org/officeDocument/2006/relationships/hyperlink" Target="http://www.ncbi.nlm.nih.gov/pubmed/2199308" TargetMode="External"/><Relationship Id="rId10" Type="http://schemas.openxmlformats.org/officeDocument/2006/relationships/hyperlink" Target="http://www.ncbi.nlm.nih.gov/pubmed/2227213" TargetMode="External"/><Relationship Id="rId31" Type="http://schemas.openxmlformats.org/officeDocument/2006/relationships/hyperlink" Target="http://www.ncbi.nlm.nih.gov/pubmed/11992126" TargetMode="External"/><Relationship Id="rId44" Type="http://schemas.openxmlformats.org/officeDocument/2006/relationships/hyperlink" Target="http://www.ncbi.nlm.nih.gov/pubmed/21941" TargetMode="External"/><Relationship Id="rId52" Type="http://schemas.openxmlformats.org/officeDocument/2006/relationships/hyperlink" Target="http://www.ncbi.nlm.nih.gov/pubmed/17012394" TargetMode="External"/><Relationship Id="rId60" Type="http://schemas.openxmlformats.org/officeDocument/2006/relationships/hyperlink" Target="http://www.ncbi.nlm.nih.gov/pubmed/6243627" TargetMode="External"/><Relationship Id="rId65" Type="http://schemas.openxmlformats.org/officeDocument/2006/relationships/hyperlink" Target="http://www.ncbi.nlm.nih.gov/pubmed/14660605" TargetMode="External"/><Relationship Id="rId4" Type="http://schemas.openxmlformats.org/officeDocument/2006/relationships/hyperlink" Target="http://www.ncbi.nlm.nih.gov/pubmed/9260967" TargetMode="External"/><Relationship Id="rId9" Type="http://schemas.openxmlformats.org/officeDocument/2006/relationships/hyperlink" Target="http://www.ncbi.nlm.nih.gov/pubmed/3332999" TargetMode="External"/><Relationship Id="rId13" Type="http://schemas.openxmlformats.org/officeDocument/2006/relationships/hyperlink" Target="http://www.ncbi.nlm.nih.gov/pubmed/16135230" TargetMode="External"/><Relationship Id="rId18" Type="http://schemas.openxmlformats.org/officeDocument/2006/relationships/hyperlink" Target="http://www.ncbi.nlm.nih.gov/pubmed/7607225" TargetMode="External"/><Relationship Id="rId39" Type="http://schemas.openxmlformats.org/officeDocument/2006/relationships/hyperlink" Target="http://www.ncbi.nlm.nih.gov/pubmed/23224554"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6"/>
  <sheetViews>
    <sheetView workbookViewId="0">
      <selection activeCell="A11" sqref="A11"/>
    </sheetView>
  </sheetViews>
  <sheetFormatPr defaultColWidth="8.85546875" defaultRowHeight="15"/>
  <cols>
    <col min="1" max="1" width="22.28515625" customWidth="1"/>
    <col min="2" max="2" width="24.7109375" customWidth="1"/>
    <col min="3" max="3" width="33.28515625" customWidth="1"/>
  </cols>
  <sheetData>
    <row r="1" spans="1:3">
      <c r="A1" s="13" t="s">
        <v>0</v>
      </c>
      <c r="B1" s="2"/>
      <c r="C1" s="14"/>
    </row>
    <row r="2" spans="1:3">
      <c r="A2" s="15" t="s">
        <v>1</v>
      </c>
      <c r="B2" s="4" t="s">
        <v>2</v>
      </c>
      <c r="C2" s="16"/>
    </row>
    <row r="3" spans="1:3">
      <c r="A3" s="17" t="s">
        <v>3</v>
      </c>
      <c r="B3" s="6" t="s">
        <v>4</v>
      </c>
      <c r="C3" s="14"/>
    </row>
    <row r="4" spans="1:3">
      <c r="A4" s="15" t="s">
        <v>5</v>
      </c>
      <c r="B4" s="4" t="s">
        <v>6</v>
      </c>
      <c r="C4" s="16"/>
    </row>
    <row r="5" spans="1:3">
      <c r="A5" s="17" t="s">
        <v>7</v>
      </c>
      <c r="B5" s="6" t="s">
        <v>8</v>
      </c>
      <c r="C5" s="14"/>
    </row>
    <row r="6" spans="1:3">
      <c r="A6" s="18"/>
      <c r="B6" s="5"/>
      <c r="C6" s="16"/>
    </row>
    <row r="7" spans="1:3">
      <c r="A7" s="13" t="s">
        <v>9</v>
      </c>
      <c r="B7" s="1" t="s">
        <v>10</v>
      </c>
      <c r="C7" s="14"/>
    </row>
    <row r="8" spans="1:3">
      <c r="A8" s="15" t="s">
        <v>11</v>
      </c>
      <c r="B8" s="4" t="s">
        <v>12</v>
      </c>
      <c r="C8" s="19"/>
    </row>
    <row r="9" spans="1:3">
      <c r="A9" s="17" t="s">
        <v>13</v>
      </c>
      <c r="B9" s="6" t="s">
        <v>14</v>
      </c>
      <c r="C9" s="20"/>
    </row>
    <row r="10" spans="1:3">
      <c r="A10" s="15" t="s">
        <v>15</v>
      </c>
      <c r="B10" s="4" t="s">
        <v>16</v>
      </c>
      <c r="C10" s="19"/>
    </row>
    <row r="11" spans="1:3">
      <c r="A11" s="17" t="s">
        <v>17</v>
      </c>
      <c r="B11" s="6" t="s">
        <v>18</v>
      </c>
      <c r="C11" s="20"/>
    </row>
    <row r="12" spans="1:3" ht="27.95">
      <c r="A12" s="15" t="s">
        <v>19</v>
      </c>
      <c r="B12" s="4" t="s">
        <v>20</v>
      </c>
      <c r="C12" s="19"/>
    </row>
    <row r="13" spans="1:3">
      <c r="A13" s="17" t="s">
        <v>21</v>
      </c>
      <c r="B13" s="6" t="s">
        <v>16</v>
      </c>
      <c r="C13" s="20"/>
    </row>
    <row r="14" spans="1:3">
      <c r="A14" s="18"/>
      <c r="B14" s="5"/>
      <c r="C14" s="16"/>
    </row>
    <row r="15" spans="1:3">
      <c r="A15" s="13" t="s">
        <v>22</v>
      </c>
      <c r="B15" s="3"/>
      <c r="C15" s="14"/>
    </row>
    <row r="16" spans="1:3" ht="27.95">
      <c r="A16" s="15" t="s">
        <v>23</v>
      </c>
      <c r="B16" s="4" t="s">
        <v>24</v>
      </c>
      <c r="C16" s="21" t="s">
        <v>25</v>
      </c>
    </row>
    <row r="17" spans="1:3" ht="27.95">
      <c r="A17" s="22"/>
      <c r="B17" s="6" t="s">
        <v>26</v>
      </c>
      <c r="C17" s="23" t="s">
        <v>27</v>
      </c>
    </row>
    <row r="18" spans="1:3" ht="27.95">
      <c r="A18" s="18"/>
      <c r="B18" s="4" t="s">
        <v>28</v>
      </c>
      <c r="C18" s="21" t="s">
        <v>29</v>
      </c>
    </row>
    <row r="19" spans="1:3">
      <c r="A19" s="22"/>
      <c r="B19" s="3"/>
      <c r="C19" s="14"/>
    </row>
    <row r="20" spans="1:3" ht="27.95">
      <c r="A20" s="15" t="s">
        <v>30</v>
      </c>
      <c r="B20" s="4" t="s">
        <v>31</v>
      </c>
      <c r="C20" s="21" t="s">
        <v>25</v>
      </c>
    </row>
    <row r="21" spans="1:3" ht="27.95">
      <c r="A21" s="22"/>
      <c r="B21" s="6" t="s">
        <v>32</v>
      </c>
      <c r="C21" s="23" t="s">
        <v>27</v>
      </c>
    </row>
    <row r="22" spans="1:3" ht="27.95">
      <c r="A22" s="18"/>
      <c r="B22" s="4" t="s">
        <v>33</v>
      </c>
      <c r="C22" s="21" t="s">
        <v>29</v>
      </c>
    </row>
    <row r="23" spans="1:3">
      <c r="A23" s="22"/>
      <c r="B23" s="3"/>
      <c r="C23" s="14"/>
    </row>
    <row r="24" spans="1:3" ht="42">
      <c r="A24" s="13" t="s">
        <v>34</v>
      </c>
      <c r="B24" s="2"/>
      <c r="C24" s="16"/>
    </row>
    <row r="25" spans="1:3">
      <c r="A25" s="17" t="s">
        <v>11</v>
      </c>
      <c r="B25" s="6" t="s">
        <v>35</v>
      </c>
      <c r="C25" s="14"/>
    </row>
    <row r="26" spans="1:3">
      <c r="A26" s="15" t="s">
        <v>13</v>
      </c>
      <c r="B26" s="4" t="s">
        <v>36</v>
      </c>
      <c r="C26" s="16"/>
    </row>
    <row r="27" spans="1:3">
      <c r="A27" s="17" t="s">
        <v>37</v>
      </c>
      <c r="B27" s="6" t="s">
        <v>38</v>
      </c>
      <c r="C27" s="14"/>
    </row>
    <row r="28" spans="1:3">
      <c r="A28" s="18"/>
      <c r="B28" s="5"/>
      <c r="C28" s="16"/>
    </row>
    <row r="29" spans="1:3" ht="42">
      <c r="A29" s="17" t="s">
        <v>39</v>
      </c>
      <c r="B29" s="3"/>
      <c r="C29" s="14"/>
    </row>
    <row r="30" spans="1:3">
      <c r="A30" s="18"/>
      <c r="B30" s="5"/>
      <c r="C30" s="16"/>
    </row>
    <row r="31" spans="1:3">
      <c r="A31" s="13" t="s">
        <v>40</v>
      </c>
      <c r="B31" s="3"/>
      <c r="C31" s="14"/>
    </row>
    <row r="32" spans="1:3">
      <c r="A32" s="15" t="s">
        <v>41</v>
      </c>
      <c r="B32" s="5"/>
      <c r="C32" s="16"/>
    </row>
    <row r="33" spans="1:3" ht="84">
      <c r="A33" s="24" t="s">
        <v>42</v>
      </c>
      <c r="B33" s="3"/>
      <c r="C33" s="14"/>
    </row>
    <row r="34" spans="1:3" ht="27.95">
      <c r="A34" s="25" t="s">
        <v>43</v>
      </c>
      <c r="B34" s="5"/>
      <c r="C34" s="16"/>
    </row>
    <row r="35" spans="1:3">
      <c r="A35" s="22"/>
      <c r="B35" s="3"/>
      <c r="C35" s="14"/>
    </row>
    <row r="36" spans="1:3">
      <c r="A36" s="15" t="s">
        <v>44</v>
      </c>
      <c r="B36" s="5"/>
      <c r="C36" s="16"/>
    </row>
    <row r="37" spans="1:3" ht="69.95">
      <c r="A37" s="17" t="s">
        <v>45</v>
      </c>
      <c r="B37" s="3"/>
      <c r="C37" s="14"/>
    </row>
    <row r="38" spans="1:3">
      <c r="A38" s="18"/>
      <c r="B38" s="5"/>
      <c r="C38" s="16"/>
    </row>
    <row r="39" spans="1:3">
      <c r="A39" s="17" t="s">
        <v>46</v>
      </c>
      <c r="B39" s="3"/>
      <c r="C39" s="14"/>
    </row>
    <row r="40" spans="1:3" ht="140.1">
      <c r="A40" s="15" t="s">
        <v>47</v>
      </c>
      <c r="B40" s="5"/>
      <c r="C40" s="16"/>
    </row>
    <row r="41" spans="1:3" ht="42">
      <c r="A41" s="17" t="s">
        <v>48</v>
      </c>
      <c r="B41" s="3"/>
      <c r="C41" s="14"/>
    </row>
    <row r="42" spans="1:3" ht="56.1">
      <c r="A42" s="15" t="s">
        <v>49</v>
      </c>
      <c r="B42" s="5"/>
      <c r="C42" s="16"/>
    </row>
    <row r="43" spans="1:3" ht="42">
      <c r="A43" s="17" t="s">
        <v>50</v>
      </c>
      <c r="B43" s="3"/>
      <c r="C43" s="14"/>
    </row>
    <row r="44" spans="1:3">
      <c r="A44" s="18"/>
      <c r="B44" s="5"/>
      <c r="C44" s="16"/>
    </row>
    <row r="45" spans="1:3" ht="182.1">
      <c r="A45" s="17" t="s">
        <v>51</v>
      </c>
      <c r="B45" s="3"/>
      <c r="C45" s="14"/>
    </row>
    <row r="46" spans="1:3" ht="69.95">
      <c r="A46" s="15" t="s">
        <v>52</v>
      </c>
      <c r="B46" s="5"/>
      <c r="C46" s="16"/>
    </row>
    <row r="47" spans="1:3">
      <c r="A47" s="22"/>
      <c r="B47" s="3"/>
      <c r="C47" s="14"/>
    </row>
    <row r="48" spans="1:3">
      <c r="A48" s="15" t="s">
        <v>53</v>
      </c>
      <c r="B48" s="5"/>
      <c r="C48" s="16"/>
    </row>
    <row r="49" spans="1:3" ht="98.1">
      <c r="A49" s="17" t="s">
        <v>54</v>
      </c>
      <c r="B49" s="3"/>
      <c r="C49" s="14"/>
    </row>
    <row r="50" spans="1:3">
      <c r="A50" s="18"/>
      <c r="B50" s="5"/>
      <c r="C50" s="16"/>
    </row>
    <row r="51" spans="1:3">
      <c r="A51" s="17" t="s">
        <v>55</v>
      </c>
      <c r="B51" s="3"/>
      <c r="C51" s="14"/>
    </row>
    <row r="52" spans="1:3" ht="56.1">
      <c r="A52" s="15" t="s">
        <v>56</v>
      </c>
      <c r="B52" s="5"/>
      <c r="C52" s="16"/>
    </row>
    <row r="53" spans="1:3">
      <c r="A53" s="22"/>
      <c r="B53" s="7"/>
      <c r="C53" s="23" t="s">
        <v>57</v>
      </c>
    </row>
    <row r="54" spans="1:3">
      <c r="A54" s="18"/>
      <c r="B54" s="8"/>
      <c r="C54" s="21" t="s">
        <v>58</v>
      </c>
    </row>
    <row r="55" spans="1:3">
      <c r="A55" s="22"/>
      <c r="B55" s="9"/>
      <c r="C55" s="23" t="s">
        <v>59</v>
      </c>
    </row>
    <row r="56" spans="1:3">
      <c r="A56" s="18"/>
      <c r="B56" s="5"/>
      <c r="C56" s="16"/>
    </row>
    <row r="57" spans="1:3" ht="56.1">
      <c r="A57" s="17" t="s">
        <v>60</v>
      </c>
      <c r="B57" s="3"/>
      <c r="C57" s="14"/>
    </row>
    <row r="58" spans="1:3">
      <c r="A58" s="18"/>
      <c r="B58" s="4" t="s">
        <v>61</v>
      </c>
      <c r="C58" s="21" t="s">
        <v>62</v>
      </c>
    </row>
    <row r="59" spans="1:3">
      <c r="A59" s="22"/>
      <c r="B59" s="6" t="s">
        <v>63</v>
      </c>
      <c r="C59" s="23" t="s">
        <v>64</v>
      </c>
    </row>
    <row r="60" spans="1:3" ht="69.95">
      <c r="A60" s="15" t="s">
        <v>65</v>
      </c>
      <c r="B60" s="4" t="s">
        <v>66</v>
      </c>
      <c r="C60" s="16"/>
    </row>
    <row r="61" spans="1:3">
      <c r="A61" s="22"/>
      <c r="B61" s="3"/>
      <c r="C61" s="14"/>
    </row>
    <row r="62" spans="1:3">
      <c r="A62" s="15" t="s">
        <v>67</v>
      </c>
      <c r="B62" s="5"/>
      <c r="C62" s="16"/>
    </row>
    <row r="63" spans="1:3" ht="42">
      <c r="A63" s="17" t="s">
        <v>68</v>
      </c>
      <c r="B63" s="3"/>
      <c r="C63" s="14"/>
    </row>
    <row r="64" spans="1:3" ht="27.95">
      <c r="A64" s="15" t="s">
        <v>69</v>
      </c>
      <c r="B64" s="5"/>
      <c r="C64" s="16"/>
    </row>
    <row r="65" spans="1:3" ht="42">
      <c r="A65" s="17" t="s">
        <v>70</v>
      </c>
      <c r="B65" s="3"/>
      <c r="C65" s="14"/>
    </row>
    <row r="66" spans="1:3" ht="42.95" thickBot="1">
      <c r="A66" s="26" t="s">
        <v>71</v>
      </c>
      <c r="B66" s="27"/>
      <c r="C66" s="29"/>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S92"/>
  <sheetViews>
    <sheetView topLeftCell="A48" zoomScale="90" zoomScaleNormal="90" workbookViewId="0">
      <selection activeCell="CB36" sqref="CB36"/>
    </sheetView>
  </sheetViews>
  <sheetFormatPr defaultColWidth="8.85546875" defaultRowHeight="15"/>
  <sheetData>
    <row r="1" spans="1:97" ht="27.95">
      <c r="A1" s="37" t="s">
        <v>72</v>
      </c>
      <c r="B1" s="38" t="s">
        <v>73</v>
      </c>
      <c r="C1" s="39"/>
      <c r="D1" s="38" t="s">
        <v>74</v>
      </c>
      <c r="E1" s="39"/>
      <c r="F1" s="38" t="s">
        <v>75</v>
      </c>
      <c r="G1" s="39"/>
      <c r="H1" s="38" t="s">
        <v>76</v>
      </c>
      <c r="I1" s="39"/>
      <c r="J1" s="38" t="s">
        <v>77</v>
      </c>
      <c r="K1" s="39"/>
      <c r="L1" s="38" t="s">
        <v>78</v>
      </c>
      <c r="M1" s="39"/>
      <c r="N1" s="38" t="s">
        <v>79</v>
      </c>
      <c r="O1" s="39"/>
      <c r="P1" s="38" t="s">
        <v>80</v>
      </c>
      <c r="Q1" s="39"/>
      <c r="R1" s="38" t="s">
        <v>81</v>
      </c>
      <c r="S1" s="39"/>
      <c r="T1" s="38" t="s">
        <v>82</v>
      </c>
      <c r="U1" s="39"/>
      <c r="V1" s="38" t="s">
        <v>83</v>
      </c>
      <c r="W1" s="39"/>
      <c r="X1" s="38" t="s">
        <v>84</v>
      </c>
      <c r="Y1" s="39"/>
      <c r="Z1" s="38" t="s">
        <v>85</v>
      </c>
      <c r="AA1" s="39"/>
      <c r="AB1" s="38" t="s">
        <v>86</v>
      </c>
      <c r="AC1" s="39"/>
      <c r="AD1" s="38" t="s">
        <v>87</v>
      </c>
      <c r="AE1" s="39"/>
      <c r="AF1" s="38" t="s">
        <v>88</v>
      </c>
      <c r="AG1" s="39"/>
      <c r="AH1" s="38" t="s">
        <v>89</v>
      </c>
      <c r="AI1" s="39"/>
      <c r="AJ1" s="38" t="s">
        <v>90</v>
      </c>
      <c r="AK1" s="39"/>
      <c r="AL1" s="38" t="s">
        <v>91</v>
      </c>
      <c r="AM1" s="39"/>
      <c r="AN1" s="38" t="s">
        <v>92</v>
      </c>
      <c r="AO1" s="39"/>
      <c r="AP1" s="38" t="s">
        <v>93</v>
      </c>
      <c r="AQ1" s="39"/>
      <c r="AR1" s="38" t="s">
        <v>94</v>
      </c>
      <c r="AS1" s="39"/>
      <c r="AT1" s="38" t="s">
        <v>95</v>
      </c>
      <c r="AU1" s="39"/>
      <c r="AV1" s="38" t="s">
        <v>96</v>
      </c>
      <c r="AW1" s="39"/>
      <c r="AX1" s="38" t="s">
        <v>97</v>
      </c>
      <c r="AY1" s="39"/>
      <c r="AZ1" s="40"/>
      <c r="BA1" s="38" t="s">
        <v>98</v>
      </c>
      <c r="BB1" s="39"/>
      <c r="BC1" s="38" t="s">
        <v>99</v>
      </c>
      <c r="BD1" s="39"/>
      <c r="BE1" s="38" t="s">
        <v>100</v>
      </c>
      <c r="BF1" s="39"/>
      <c r="BG1" s="38" t="s">
        <v>101</v>
      </c>
      <c r="BH1" s="39"/>
      <c r="BI1" s="38" t="s">
        <v>102</v>
      </c>
      <c r="BJ1" s="39"/>
      <c r="BK1" s="40"/>
      <c r="BL1" s="38" t="s">
        <v>103</v>
      </c>
      <c r="BM1" s="39"/>
      <c r="BN1" s="38" t="s">
        <v>104</v>
      </c>
      <c r="BO1" s="39"/>
      <c r="BP1" s="38" t="s">
        <v>103</v>
      </c>
      <c r="BQ1" s="39"/>
      <c r="BR1" s="38" t="s">
        <v>104</v>
      </c>
      <c r="BS1" s="39"/>
      <c r="BT1" s="38" t="s">
        <v>103</v>
      </c>
      <c r="BU1" s="39"/>
      <c r="BV1" s="38" t="s">
        <v>104</v>
      </c>
      <c r="BW1" s="39"/>
      <c r="BX1" s="38" t="s">
        <v>105</v>
      </c>
      <c r="BY1" s="39"/>
      <c r="BZ1" s="38" t="s">
        <v>106</v>
      </c>
      <c r="CA1" s="39"/>
      <c r="CB1" s="38" t="s">
        <v>105</v>
      </c>
      <c r="CC1" s="39"/>
      <c r="CD1" s="38" t="s">
        <v>103</v>
      </c>
      <c r="CE1" s="39"/>
      <c r="CF1" s="38" t="s">
        <v>107</v>
      </c>
      <c r="CG1" s="39"/>
      <c r="CH1" s="38" t="s">
        <v>107</v>
      </c>
      <c r="CI1" s="39"/>
      <c r="CJ1" s="38" t="s">
        <v>108</v>
      </c>
      <c r="CK1" s="39"/>
      <c r="CL1" s="38" t="s">
        <v>107</v>
      </c>
      <c r="CM1" s="39"/>
      <c r="CN1" s="38" t="s">
        <v>109</v>
      </c>
      <c r="CO1" s="39"/>
      <c r="CP1" s="40"/>
      <c r="CQ1" s="40"/>
      <c r="CR1" s="40"/>
      <c r="CS1" s="41"/>
    </row>
    <row r="2" spans="1:97">
      <c r="A2" s="42" t="s">
        <v>110</v>
      </c>
      <c r="B2" s="32">
        <v>2</v>
      </c>
      <c r="C2" s="31"/>
      <c r="D2" s="32">
        <v>4</v>
      </c>
      <c r="E2" s="31"/>
      <c r="F2" s="32">
        <v>4</v>
      </c>
      <c r="G2" s="31"/>
      <c r="H2" s="32">
        <v>5</v>
      </c>
      <c r="I2" s="31"/>
      <c r="J2" s="32">
        <v>5</v>
      </c>
      <c r="K2" s="31"/>
      <c r="L2" s="32">
        <v>6</v>
      </c>
      <c r="M2" s="31"/>
      <c r="N2" s="32">
        <v>4</v>
      </c>
      <c r="O2" s="31"/>
      <c r="P2" s="32">
        <v>4</v>
      </c>
      <c r="Q2" s="31"/>
      <c r="R2" s="32">
        <v>5</v>
      </c>
      <c r="S2" s="31"/>
      <c r="T2" s="32">
        <v>5</v>
      </c>
      <c r="U2" s="31"/>
      <c r="V2" s="32">
        <v>4</v>
      </c>
      <c r="W2" s="31"/>
      <c r="X2" s="32">
        <v>3</v>
      </c>
      <c r="Y2" s="31"/>
      <c r="Z2" s="32">
        <v>3</v>
      </c>
      <c r="AA2" s="31"/>
      <c r="AB2" s="32">
        <v>3</v>
      </c>
      <c r="AC2" s="31"/>
      <c r="AD2" s="32">
        <v>2</v>
      </c>
      <c r="AE2" s="31"/>
      <c r="AF2" s="32">
        <v>3</v>
      </c>
      <c r="AG2" s="31"/>
      <c r="AH2" s="32">
        <v>6</v>
      </c>
      <c r="AI2" s="31"/>
      <c r="AJ2" s="32">
        <v>2</v>
      </c>
      <c r="AK2" s="31"/>
      <c r="AL2" s="32">
        <v>1</v>
      </c>
      <c r="AM2" s="31"/>
      <c r="AN2" s="32">
        <v>1</v>
      </c>
      <c r="AO2" s="31"/>
      <c r="AP2" s="32">
        <v>1</v>
      </c>
      <c r="AQ2" s="31"/>
      <c r="AR2" s="32">
        <v>2</v>
      </c>
      <c r="AS2" s="31"/>
      <c r="AT2" s="32">
        <v>2</v>
      </c>
      <c r="AU2" s="31"/>
      <c r="AV2" s="32">
        <v>2</v>
      </c>
      <c r="AW2" s="31"/>
      <c r="AX2" s="32">
        <v>2</v>
      </c>
      <c r="AY2" s="31"/>
      <c r="AZ2" s="5"/>
      <c r="BA2" s="32">
        <v>5</v>
      </c>
      <c r="BB2" s="31"/>
      <c r="BC2" s="32">
        <v>7</v>
      </c>
      <c r="BD2" s="31"/>
      <c r="BE2" s="32">
        <v>6</v>
      </c>
      <c r="BF2" s="31"/>
      <c r="BG2" s="32">
        <v>5</v>
      </c>
      <c r="BH2" s="31"/>
      <c r="BI2" s="32">
        <v>6</v>
      </c>
      <c r="BJ2" s="31"/>
      <c r="BK2" s="5"/>
      <c r="BL2" s="32">
        <v>1</v>
      </c>
      <c r="BM2" s="31"/>
      <c r="BN2" s="32">
        <v>1</v>
      </c>
      <c r="BO2" s="31"/>
      <c r="BP2" s="32">
        <v>2</v>
      </c>
      <c r="BQ2" s="31"/>
      <c r="BR2" s="32">
        <v>2</v>
      </c>
      <c r="BS2" s="31"/>
      <c r="BT2" s="32">
        <v>3</v>
      </c>
      <c r="BU2" s="31"/>
      <c r="BV2" s="32">
        <v>3</v>
      </c>
      <c r="BW2" s="31"/>
      <c r="BX2" s="32">
        <v>3</v>
      </c>
      <c r="BY2" s="31"/>
      <c r="BZ2" s="32">
        <v>4</v>
      </c>
      <c r="CA2" s="31"/>
      <c r="CB2" s="32">
        <v>4</v>
      </c>
      <c r="CC2" s="31"/>
      <c r="CD2" s="32">
        <v>5</v>
      </c>
      <c r="CE2" s="31"/>
      <c r="CF2" s="32">
        <v>5</v>
      </c>
      <c r="CG2" s="31"/>
      <c r="CH2" s="32">
        <v>6</v>
      </c>
      <c r="CI2" s="31"/>
      <c r="CJ2" s="32">
        <v>6</v>
      </c>
      <c r="CK2" s="31"/>
      <c r="CL2" s="32">
        <v>7</v>
      </c>
      <c r="CM2" s="31"/>
      <c r="CN2" s="32">
        <v>7</v>
      </c>
      <c r="CO2" s="31"/>
      <c r="CP2" s="5"/>
      <c r="CQ2" s="5"/>
      <c r="CR2" s="5"/>
      <c r="CS2" s="16"/>
    </row>
    <row r="3" spans="1:97" ht="27.95">
      <c r="A3" s="22"/>
      <c r="B3" s="1" t="s">
        <v>111</v>
      </c>
      <c r="C3" s="2"/>
      <c r="D3" s="1" t="s">
        <v>112</v>
      </c>
      <c r="E3" s="2"/>
      <c r="F3" s="1" t="s">
        <v>113</v>
      </c>
      <c r="G3" s="2"/>
      <c r="H3" s="1" t="s">
        <v>114</v>
      </c>
      <c r="I3" s="2"/>
      <c r="J3" s="1" t="s">
        <v>115</v>
      </c>
      <c r="K3" s="2"/>
      <c r="L3" s="1" t="s">
        <v>116</v>
      </c>
      <c r="M3" s="2"/>
      <c r="N3" s="1" t="s">
        <v>117</v>
      </c>
      <c r="O3" s="2"/>
      <c r="P3" s="1" t="s">
        <v>118</v>
      </c>
      <c r="Q3" s="2"/>
      <c r="R3" s="1" t="s">
        <v>119</v>
      </c>
      <c r="S3" s="2"/>
      <c r="T3" s="1" t="s">
        <v>120</v>
      </c>
      <c r="U3" s="2"/>
      <c r="V3" s="1" t="s">
        <v>121</v>
      </c>
      <c r="W3" s="2"/>
      <c r="X3" s="1" t="s">
        <v>122</v>
      </c>
      <c r="Y3" s="2"/>
      <c r="Z3" s="1" t="s">
        <v>123</v>
      </c>
      <c r="AA3" s="2"/>
      <c r="AB3" s="1" t="s">
        <v>124</v>
      </c>
      <c r="AC3" s="2"/>
      <c r="AD3" s="1" t="s">
        <v>125</v>
      </c>
      <c r="AE3" s="2"/>
      <c r="AF3" s="1" t="s">
        <v>126</v>
      </c>
      <c r="AG3" s="2"/>
      <c r="AH3" s="1" t="s">
        <v>127</v>
      </c>
      <c r="AI3" s="2"/>
      <c r="AJ3" s="1" t="s">
        <v>128</v>
      </c>
      <c r="AK3" s="2"/>
      <c r="AL3" s="1" t="s">
        <v>129</v>
      </c>
      <c r="AM3" s="2"/>
      <c r="AN3" s="1" t="s">
        <v>130</v>
      </c>
      <c r="AO3" s="2"/>
      <c r="AP3" s="1" t="s">
        <v>131</v>
      </c>
      <c r="AQ3" s="2"/>
      <c r="AR3" s="1" t="s">
        <v>132</v>
      </c>
      <c r="AS3" s="2"/>
      <c r="AT3" s="1" t="s">
        <v>133</v>
      </c>
      <c r="AU3" s="2"/>
      <c r="AV3" s="1" t="s">
        <v>134</v>
      </c>
      <c r="AW3" s="2"/>
      <c r="AX3" s="1" t="s">
        <v>135</v>
      </c>
      <c r="AY3" s="2"/>
      <c r="AZ3" s="3"/>
      <c r="BA3" s="1" t="s">
        <v>136</v>
      </c>
      <c r="BB3" s="2"/>
      <c r="BC3" s="1" t="s">
        <v>137</v>
      </c>
      <c r="BD3" s="2"/>
      <c r="BE3" s="1" t="s">
        <v>138</v>
      </c>
      <c r="BF3" s="2"/>
      <c r="BG3" s="1" t="s">
        <v>139</v>
      </c>
      <c r="BH3" s="2"/>
      <c r="BI3" s="1" t="s">
        <v>139</v>
      </c>
      <c r="BJ3" s="2"/>
      <c r="BK3" s="3"/>
      <c r="BL3" s="1" t="s">
        <v>140</v>
      </c>
      <c r="BM3" s="2"/>
      <c r="BN3" s="1" t="s">
        <v>141</v>
      </c>
      <c r="BO3" s="2"/>
      <c r="BP3" s="1" t="s">
        <v>140</v>
      </c>
      <c r="BQ3" s="2"/>
      <c r="BR3" s="1" t="s">
        <v>141</v>
      </c>
      <c r="BS3" s="2"/>
      <c r="BT3" s="1" t="s">
        <v>140</v>
      </c>
      <c r="BU3" s="2"/>
      <c r="BV3" s="1" t="s">
        <v>141</v>
      </c>
      <c r="BW3" s="2"/>
      <c r="BX3" s="1" t="s">
        <v>142</v>
      </c>
      <c r="BY3" s="2"/>
      <c r="BZ3" s="1" t="s">
        <v>143</v>
      </c>
      <c r="CA3" s="2"/>
      <c r="CB3" s="1" t="s">
        <v>142</v>
      </c>
      <c r="CC3" s="2"/>
      <c r="CD3" s="1" t="s">
        <v>140</v>
      </c>
      <c r="CE3" s="2"/>
      <c r="CF3" s="1" t="s">
        <v>144</v>
      </c>
      <c r="CG3" s="2"/>
      <c r="CH3" s="1" t="s">
        <v>144</v>
      </c>
      <c r="CI3" s="2"/>
      <c r="CJ3" s="1" t="s">
        <v>145</v>
      </c>
      <c r="CK3" s="2"/>
      <c r="CL3" s="1" t="s">
        <v>144</v>
      </c>
      <c r="CM3" s="2"/>
      <c r="CN3" s="1" t="s">
        <v>146</v>
      </c>
      <c r="CO3" s="2"/>
      <c r="CP3" s="3"/>
      <c r="CQ3" s="33" t="s">
        <v>147</v>
      </c>
      <c r="CR3" s="34"/>
      <c r="CS3" s="43"/>
    </row>
    <row r="4" spans="1:97">
      <c r="A4" s="18"/>
      <c r="B4" s="1" t="s">
        <v>1</v>
      </c>
      <c r="C4" s="1" t="s">
        <v>7</v>
      </c>
      <c r="D4" s="1" t="s">
        <v>1</v>
      </c>
      <c r="E4" s="1" t="s">
        <v>7</v>
      </c>
      <c r="F4" s="1" t="s">
        <v>1</v>
      </c>
      <c r="G4" s="1" t="s">
        <v>7</v>
      </c>
      <c r="H4" s="1" t="s">
        <v>1</v>
      </c>
      <c r="I4" s="1" t="s">
        <v>7</v>
      </c>
      <c r="J4" s="1" t="s">
        <v>1</v>
      </c>
      <c r="K4" s="1" t="s">
        <v>7</v>
      </c>
      <c r="L4" s="1" t="s">
        <v>1</v>
      </c>
      <c r="M4" s="1" t="s">
        <v>7</v>
      </c>
      <c r="N4" s="1" t="s">
        <v>1</v>
      </c>
      <c r="O4" s="1" t="s">
        <v>7</v>
      </c>
      <c r="P4" s="1" t="s">
        <v>1</v>
      </c>
      <c r="Q4" s="1" t="s">
        <v>7</v>
      </c>
      <c r="R4" s="1" t="s">
        <v>1</v>
      </c>
      <c r="S4" s="1" t="s">
        <v>7</v>
      </c>
      <c r="T4" s="1" t="s">
        <v>1</v>
      </c>
      <c r="U4" s="1" t="s">
        <v>7</v>
      </c>
      <c r="V4" s="1" t="s">
        <v>1</v>
      </c>
      <c r="W4" s="1" t="s">
        <v>7</v>
      </c>
      <c r="X4" s="1" t="s">
        <v>1</v>
      </c>
      <c r="Y4" s="1" t="s">
        <v>7</v>
      </c>
      <c r="Z4" s="1" t="s">
        <v>1</v>
      </c>
      <c r="AA4" s="1" t="s">
        <v>7</v>
      </c>
      <c r="AB4" s="1" t="s">
        <v>1</v>
      </c>
      <c r="AC4" s="1" t="s">
        <v>7</v>
      </c>
      <c r="AD4" s="1" t="s">
        <v>1</v>
      </c>
      <c r="AE4" s="1" t="s">
        <v>7</v>
      </c>
      <c r="AF4" s="1" t="s">
        <v>1</v>
      </c>
      <c r="AG4" s="1" t="s">
        <v>7</v>
      </c>
      <c r="AH4" s="1" t="s">
        <v>1</v>
      </c>
      <c r="AI4" s="1" t="s">
        <v>7</v>
      </c>
      <c r="AJ4" s="1" t="s">
        <v>1</v>
      </c>
      <c r="AK4" s="1" t="s">
        <v>7</v>
      </c>
      <c r="AL4" s="1" t="s">
        <v>1</v>
      </c>
      <c r="AM4" s="1" t="s">
        <v>7</v>
      </c>
      <c r="AN4" s="1" t="s">
        <v>1</v>
      </c>
      <c r="AO4" s="1" t="s">
        <v>7</v>
      </c>
      <c r="AP4" s="1" t="s">
        <v>1</v>
      </c>
      <c r="AQ4" s="1" t="s">
        <v>7</v>
      </c>
      <c r="AR4" s="1" t="s">
        <v>1</v>
      </c>
      <c r="AS4" s="1" t="s">
        <v>7</v>
      </c>
      <c r="AT4" s="1" t="s">
        <v>1</v>
      </c>
      <c r="AU4" s="1" t="s">
        <v>7</v>
      </c>
      <c r="AV4" s="1" t="s">
        <v>1</v>
      </c>
      <c r="AW4" s="1" t="s">
        <v>7</v>
      </c>
      <c r="AX4" s="1" t="s">
        <v>1</v>
      </c>
      <c r="AY4" s="1" t="s">
        <v>7</v>
      </c>
      <c r="AZ4" s="5"/>
      <c r="BA4" s="1" t="s">
        <v>1</v>
      </c>
      <c r="BB4" s="1" t="s">
        <v>7</v>
      </c>
      <c r="BC4" s="1" t="s">
        <v>1</v>
      </c>
      <c r="BD4" s="1" t="s">
        <v>7</v>
      </c>
      <c r="BE4" s="1" t="s">
        <v>1</v>
      </c>
      <c r="BF4" s="1" t="s">
        <v>7</v>
      </c>
      <c r="BG4" s="1" t="s">
        <v>1</v>
      </c>
      <c r="BH4" s="1" t="s">
        <v>7</v>
      </c>
      <c r="BI4" s="1" t="s">
        <v>1</v>
      </c>
      <c r="BJ4" s="1" t="s">
        <v>7</v>
      </c>
      <c r="BK4" s="5"/>
      <c r="BL4" s="1" t="s">
        <v>1</v>
      </c>
      <c r="BM4" s="1" t="s">
        <v>7</v>
      </c>
      <c r="BN4" s="1" t="s">
        <v>1</v>
      </c>
      <c r="BO4" s="1" t="s">
        <v>7</v>
      </c>
      <c r="BP4" s="1" t="s">
        <v>1</v>
      </c>
      <c r="BQ4" s="1" t="s">
        <v>7</v>
      </c>
      <c r="BR4" s="1" t="s">
        <v>1</v>
      </c>
      <c r="BS4" s="1" t="s">
        <v>7</v>
      </c>
      <c r="BT4" s="1" t="s">
        <v>1</v>
      </c>
      <c r="BU4" s="1" t="s">
        <v>7</v>
      </c>
      <c r="BV4" s="1" t="s">
        <v>1</v>
      </c>
      <c r="BW4" s="1" t="s">
        <v>7</v>
      </c>
      <c r="BX4" s="1" t="s">
        <v>1</v>
      </c>
      <c r="BY4" s="1" t="s">
        <v>7</v>
      </c>
      <c r="BZ4" s="1" t="s">
        <v>1</v>
      </c>
      <c r="CA4" s="1" t="s">
        <v>7</v>
      </c>
      <c r="CB4" s="1" t="s">
        <v>1</v>
      </c>
      <c r="CC4" s="1" t="s">
        <v>7</v>
      </c>
      <c r="CD4" s="1" t="s">
        <v>1</v>
      </c>
      <c r="CE4" s="1" t="s">
        <v>7</v>
      </c>
      <c r="CF4" s="1" t="s">
        <v>1</v>
      </c>
      <c r="CG4" s="1" t="s">
        <v>7</v>
      </c>
      <c r="CH4" s="1" t="s">
        <v>1</v>
      </c>
      <c r="CI4" s="1" t="s">
        <v>7</v>
      </c>
      <c r="CJ4" s="1" t="s">
        <v>1</v>
      </c>
      <c r="CK4" s="1" t="s">
        <v>7</v>
      </c>
      <c r="CL4" s="1" t="s">
        <v>1</v>
      </c>
      <c r="CM4" s="1" t="s">
        <v>7</v>
      </c>
      <c r="CN4" s="1" t="s">
        <v>1</v>
      </c>
      <c r="CO4" s="1" t="s">
        <v>7</v>
      </c>
      <c r="CP4" s="5"/>
      <c r="CQ4" s="1" t="s">
        <v>3</v>
      </c>
      <c r="CR4" s="1" t="s">
        <v>5</v>
      </c>
      <c r="CS4" s="44" t="s">
        <v>7</v>
      </c>
    </row>
    <row r="5" spans="1:97">
      <c r="A5" s="13" t="s">
        <v>111</v>
      </c>
      <c r="B5" s="35">
        <v>41500</v>
      </c>
      <c r="C5" s="35">
        <v>30.2</v>
      </c>
      <c r="D5" s="35">
        <v>49700000</v>
      </c>
      <c r="E5" s="35">
        <v>5.01</v>
      </c>
      <c r="F5" s="35">
        <v>61500000</v>
      </c>
      <c r="G5" s="35">
        <v>12.2</v>
      </c>
      <c r="H5" s="35">
        <v>46500000</v>
      </c>
      <c r="I5" s="35">
        <v>13.2</v>
      </c>
      <c r="J5" s="35">
        <v>48700000</v>
      </c>
      <c r="K5" s="35">
        <v>11.2</v>
      </c>
      <c r="L5" s="35">
        <v>56100000</v>
      </c>
      <c r="M5" s="35">
        <v>9.3800000000000008</v>
      </c>
      <c r="N5" s="35">
        <v>47500000</v>
      </c>
      <c r="O5" s="35">
        <v>5.31</v>
      </c>
      <c r="P5" s="35">
        <v>38000000</v>
      </c>
      <c r="Q5" s="35">
        <v>8.0399999999999991</v>
      </c>
      <c r="R5" s="35">
        <v>52400000</v>
      </c>
      <c r="S5" s="35">
        <v>10.199999999999999</v>
      </c>
      <c r="T5" s="35">
        <v>52300000</v>
      </c>
      <c r="U5" s="35">
        <v>2.93</v>
      </c>
      <c r="V5" s="35">
        <v>46700000</v>
      </c>
      <c r="W5" s="35">
        <v>9.9600000000000009</v>
      </c>
      <c r="X5" s="35">
        <v>34800000</v>
      </c>
      <c r="Y5" s="35">
        <v>7.98</v>
      </c>
      <c r="Z5" s="35">
        <v>40100000</v>
      </c>
      <c r="AA5" s="35">
        <v>11.6</v>
      </c>
      <c r="AB5" s="35">
        <v>46000000</v>
      </c>
      <c r="AC5" s="35">
        <v>6.3</v>
      </c>
      <c r="AD5" s="35">
        <v>47400000</v>
      </c>
      <c r="AE5" s="35">
        <v>6.18</v>
      </c>
      <c r="AF5" s="35">
        <v>49000000</v>
      </c>
      <c r="AG5" s="35">
        <v>12.5</v>
      </c>
      <c r="AH5" s="35">
        <v>45200000</v>
      </c>
      <c r="AI5" s="35">
        <v>5.94</v>
      </c>
      <c r="AJ5" s="35">
        <v>61000000</v>
      </c>
      <c r="AK5" s="35">
        <v>11.7</v>
      </c>
      <c r="AL5" s="35">
        <v>29400000</v>
      </c>
      <c r="AM5" s="35">
        <v>16.2</v>
      </c>
      <c r="AN5" s="35">
        <v>39500000</v>
      </c>
      <c r="AO5" s="35">
        <v>14.2</v>
      </c>
      <c r="AP5" s="35">
        <v>55400000</v>
      </c>
      <c r="AQ5" s="35">
        <v>11</v>
      </c>
      <c r="AR5" s="35">
        <v>55400000</v>
      </c>
      <c r="AS5" s="35">
        <v>4.5599999999999996</v>
      </c>
      <c r="AT5" s="35">
        <v>47700000</v>
      </c>
      <c r="AU5" s="35">
        <v>6.44</v>
      </c>
      <c r="AV5" s="35">
        <v>44100000</v>
      </c>
      <c r="AW5" s="35">
        <v>9.32</v>
      </c>
      <c r="AX5" s="35">
        <v>47300000</v>
      </c>
      <c r="AY5" s="35">
        <v>7.68</v>
      </c>
      <c r="AZ5" s="3"/>
      <c r="BA5" s="35">
        <v>42900000</v>
      </c>
      <c r="BB5" s="35">
        <v>4.7</v>
      </c>
      <c r="BC5" s="35">
        <v>53300000</v>
      </c>
      <c r="BD5" s="35">
        <v>4.43</v>
      </c>
      <c r="BE5" s="35">
        <v>60000000</v>
      </c>
      <c r="BF5" s="35">
        <v>4.22</v>
      </c>
      <c r="BG5" s="35">
        <v>55000000</v>
      </c>
      <c r="BH5" s="35">
        <v>6.97</v>
      </c>
      <c r="BI5" s="35">
        <v>61100000</v>
      </c>
      <c r="BJ5" s="35">
        <v>3.77</v>
      </c>
      <c r="BK5" s="3"/>
      <c r="BL5" s="35">
        <v>134000000</v>
      </c>
      <c r="BM5" s="35">
        <v>0.51200000000000001</v>
      </c>
      <c r="BN5" s="35">
        <v>145000000</v>
      </c>
      <c r="BO5" s="35">
        <v>4.2</v>
      </c>
      <c r="BP5" s="35">
        <v>53200000</v>
      </c>
      <c r="BQ5" s="35">
        <v>8.83</v>
      </c>
      <c r="BR5" s="35">
        <v>58500000</v>
      </c>
      <c r="BS5" s="35">
        <v>7.1</v>
      </c>
      <c r="BT5" s="35">
        <v>58100000</v>
      </c>
      <c r="BU5" s="35">
        <v>6.65</v>
      </c>
      <c r="BV5" s="35">
        <v>50500000</v>
      </c>
      <c r="BW5" s="35">
        <v>8.91</v>
      </c>
      <c r="BX5" s="35">
        <v>61100000</v>
      </c>
      <c r="BY5" s="35">
        <v>3.99</v>
      </c>
      <c r="BZ5" s="35">
        <v>94200000</v>
      </c>
      <c r="CA5" s="35">
        <v>2.75</v>
      </c>
      <c r="CB5" s="35">
        <v>90000000</v>
      </c>
      <c r="CC5" s="35">
        <v>5.6</v>
      </c>
      <c r="CD5" s="35">
        <v>49500000</v>
      </c>
      <c r="CE5" s="35">
        <v>12.9</v>
      </c>
      <c r="CF5" s="35">
        <v>56100000</v>
      </c>
      <c r="CG5" s="35">
        <v>10.5</v>
      </c>
      <c r="CH5" s="35">
        <v>53100000</v>
      </c>
      <c r="CI5" s="35">
        <v>6.79</v>
      </c>
      <c r="CJ5" s="35">
        <v>57700000</v>
      </c>
      <c r="CK5" s="35">
        <v>11.1</v>
      </c>
      <c r="CL5" s="35">
        <v>73000000</v>
      </c>
      <c r="CM5" s="35">
        <v>16.600000000000001</v>
      </c>
      <c r="CN5" s="35">
        <v>62900000</v>
      </c>
      <c r="CO5" s="35">
        <v>9.35</v>
      </c>
      <c r="CP5" s="3"/>
      <c r="CQ5" s="35">
        <v>73100000</v>
      </c>
      <c r="CR5" s="35">
        <v>30100000</v>
      </c>
      <c r="CS5" s="45">
        <v>41.2</v>
      </c>
    </row>
    <row r="6" spans="1:97">
      <c r="A6" s="13" t="s">
        <v>112</v>
      </c>
      <c r="B6" s="36">
        <v>35700000</v>
      </c>
      <c r="C6" s="36">
        <v>11</v>
      </c>
      <c r="D6" s="36">
        <v>18900</v>
      </c>
      <c r="E6" s="36">
        <v>13.3</v>
      </c>
      <c r="F6" s="36">
        <v>47900000</v>
      </c>
      <c r="G6" s="36">
        <v>10.3</v>
      </c>
      <c r="H6" s="36">
        <v>28900000</v>
      </c>
      <c r="I6" s="36">
        <v>7.5</v>
      </c>
      <c r="J6" s="36">
        <v>29800000</v>
      </c>
      <c r="K6" s="36">
        <v>5.79</v>
      </c>
      <c r="L6" s="36">
        <v>42500000</v>
      </c>
      <c r="M6" s="36">
        <v>9.68</v>
      </c>
      <c r="N6" s="36">
        <v>33300000</v>
      </c>
      <c r="O6" s="36">
        <v>9.3800000000000008</v>
      </c>
      <c r="P6" s="36">
        <v>29200000</v>
      </c>
      <c r="Q6" s="36">
        <v>10.4</v>
      </c>
      <c r="R6" s="36">
        <v>34400000</v>
      </c>
      <c r="S6" s="36">
        <v>11.2</v>
      </c>
      <c r="T6" s="36">
        <v>39600000</v>
      </c>
      <c r="U6" s="36">
        <v>6.42</v>
      </c>
      <c r="V6" s="36">
        <v>32400000</v>
      </c>
      <c r="W6" s="36">
        <v>7.55</v>
      </c>
      <c r="X6" s="36">
        <v>33500000</v>
      </c>
      <c r="Y6" s="36">
        <v>14.3</v>
      </c>
      <c r="Z6" s="36">
        <v>32900000</v>
      </c>
      <c r="AA6" s="36">
        <v>22.3</v>
      </c>
      <c r="AB6" s="36">
        <v>27600000</v>
      </c>
      <c r="AC6" s="36">
        <v>12.3</v>
      </c>
      <c r="AD6" s="36">
        <v>31300000</v>
      </c>
      <c r="AE6" s="36">
        <v>19</v>
      </c>
      <c r="AF6" s="36">
        <v>39000000</v>
      </c>
      <c r="AG6" s="36">
        <v>12.8</v>
      </c>
      <c r="AH6" s="36">
        <v>38100000</v>
      </c>
      <c r="AI6" s="36">
        <v>8.09</v>
      </c>
      <c r="AJ6" s="36">
        <v>46000000</v>
      </c>
      <c r="AK6" s="36">
        <v>11.7</v>
      </c>
      <c r="AL6" s="36">
        <v>37500000</v>
      </c>
      <c r="AM6" s="36">
        <v>12.6</v>
      </c>
      <c r="AN6" s="36">
        <v>30500000</v>
      </c>
      <c r="AO6" s="36">
        <v>13</v>
      </c>
      <c r="AP6" s="36">
        <v>34000000</v>
      </c>
      <c r="AQ6" s="36">
        <v>5.49</v>
      </c>
      <c r="AR6" s="36">
        <v>34400000</v>
      </c>
      <c r="AS6" s="36">
        <v>12.1</v>
      </c>
      <c r="AT6" s="36">
        <v>36100000</v>
      </c>
      <c r="AU6" s="36">
        <v>8.93</v>
      </c>
      <c r="AV6" s="36">
        <v>33900000</v>
      </c>
      <c r="AW6" s="36">
        <v>6.59</v>
      </c>
      <c r="AX6" s="36">
        <v>27700000</v>
      </c>
      <c r="AY6" s="36">
        <v>6.44</v>
      </c>
      <c r="AZ6" s="5"/>
      <c r="BA6" s="36">
        <v>37700000</v>
      </c>
      <c r="BB6" s="36">
        <v>9.91</v>
      </c>
      <c r="BC6" s="36">
        <v>39300000</v>
      </c>
      <c r="BD6" s="36">
        <v>5.23</v>
      </c>
      <c r="BE6" s="36">
        <v>50500000</v>
      </c>
      <c r="BF6" s="36">
        <v>15.4</v>
      </c>
      <c r="BG6" s="36">
        <v>31200000</v>
      </c>
      <c r="BH6" s="36">
        <v>6.04</v>
      </c>
      <c r="BI6" s="36">
        <v>35800000</v>
      </c>
      <c r="BJ6" s="36">
        <v>12.4</v>
      </c>
      <c r="BK6" s="5"/>
      <c r="BL6" s="36">
        <v>38200000</v>
      </c>
      <c r="BM6" s="36">
        <v>8.8699999999999992</v>
      </c>
      <c r="BN6" s="36">
        <v>49800000</v>
      </c>
      <c r="BO6" s="36">
        <v>4.3099999999999996</v>
      </c>
      <c r="BP6" s="36">
        <v>34800000</v>
      </c>
      <c r="BQ6" s="36">
        <v>4.66</v>
      </c>
      <c r="BR6" s="36">
        <v>37100000</v>
      </c>
      <c r="BS6" s="36">
        <v>13.5</v>
      </c>
      <c r="BT6" s="36">
        <v>30900000</v>
      </c>
      <c r="BU6" s="36">
        <v>5.29</v>
      </c>
      <c r="BV6" s="36">
        <v>30800000</v>
      </c>
      <c r="BW6" s="36">
        <v>16.7</v>
      </c>
      <c r="BX6" s="36">
        <v>36000000</v>
      </c>
      <c r="BY6" s="36">
        <v>5.82</v>
      </c>
      <c r="BZ6" s="36">
        <v>45800000</v>
      </c>
      <c r="CA6" s="36">
        <v>8.59</v>
      </c>
      <c r="CB6" s="36">
        <v>57900000</v>
      </c>
      <c r="CC6" s="36">
        <v>5.66</v>
      </c>
      <c r="CD6" s="36">
        <v>33000000</v>
      </c>
      <c r="CE6" s="36">
        <v>6.66</v>
      </c>
      <c r="CF6" s="36">
        <v>28200000</v>
      </c>
      <c r="CG6" s="36">
        <v>9.17</v>
      </c>
      <c r="CH6" s="36">
        <v>25500000</v>
      </c>
      <c r="CI6" s="36">
        <v>9.06</v>
      </c>
      <c r="CJ6" s="36">
        <v>24800000</v>
      </c>
      <c r="CK6" s="36">
        <v>14.9</v>
      </c>
      <c r="CL6" s="36">
        <v>33600000</v>
      </c>
      <c r="CM6" s="36">
        <v>11.3</v>
      </c>
      <c r="CN6" s="36">
        <v>34300000</v>
      </c>
      <c r="CO6" s="36">
        <v>10.5</v>
      </c>
      <c r="CP6" s="5"/>
      <c r="CQ6" s="36">
        <v>36100000</v>
      </c>
      <c r="CR6" s="36">
        <v>9030000</v>
      </c>
      <c r="CS6" s="46">
        <v>25.1</v>
      </c>
    </row>
    <row r="7" spans="1:97">
      <c r="A7" s="13" t="s">
        <v>113</v>
      </c>
      <c r="B7" s="35">
        <v>86200000</v>
      </c>
      <c r="C7" s="35">
        <v>13.3</v>
      </c>
      <c r="D7" s="35">
        <v>89700000</v>
      </c>
      <c r="E7" s="35">
        <v>3.38</v>
      </c>
      <c r="F7" s="35">
        <v>179000</v>
      </c>
      <c r="G7" s="35">
        <v>5.0599999999999996</v>
      </c>
      <c r="H7" s="35">
        <v>89100000</v>
      </c>
      <c r="I7" s="35">
        <v>8.06</v>
      </c>
      <c r="J7" s="35">
        <v>86700000</v>
      </c>
      <c r="K7" s="35">
        <v>5.52</v>
      </c>
      <c r="L7" s="35">
        <v>130000000</v>
      </c>
      <c r="M7" s="35">
        <v>5.21</v>
      </c>
      <c r="N7" s="35">
        <v>91000000</v>
      </c>
      <c r="O7" s="35">
        <v>4.95</v>
      </c>
      <c r="P7" s="35">
        <v>77000000</v>
      </c>
      <c r="Q7" s="35">
        <v>6.14</v>
      </c>
      <c r="R7" s="35">
        <v>105000000</v>
      </c>
      <c r="S7" s="35">
        <v>5.31</v>
      </c>
      <c r="T7" s="35">
        <v>95100000</v>
      </c>
      <c r="U7" s="35">
        <v>14.1</v>
      </c>
      <c r="V7" s="35">
        <v>76400000</v>
      </c>
      <c r="W7" s="35">
        <v>11.1</v>
      </c>
      <c r="X7" s="35">
        <v>72400000</v>
      </c>
      <c r="Y7" s="35">
        <v>11.8</v>
      </c>
      <c r="Z7" s="35">
        <v>79100000</v>
      </c>
      <c r="AA7" s="35">
        <v>15.6</v>
      </c>
      <c r="AB7" s="35">
        <v>82400000</v>
      </c>
      <c r="AC7" s="35">
        <v>4.21</v>
      </c>
      <c r="AD7" s="35">
        <v>86300000</v>
      </c>
      <c r="AE7" s="35">
        <v>7.67</v>
      </c>
      <c r="AF7" s="35">
        <v>85300000</v>
      </c>
      <c r="AG7" s="35">
        <v>5.97</v>
      </c>
      <c r="AH7" s="35">
        <v>91600000</v>
      </c>
      <c r="AI7" s="35">
        <v>7.09</v>
      </c>
      <c r="AJ7" s="35">
        <v>96700000</v>
      </c>
      <c r="AK7" s="35">
        <v>9.98</v>
      </c>
      <c r="AL7" s="35">
        <v>143000000</v>
      </c>
      <c r="AM7" s="35">
        <v>8.7899999999999991</v>
      </c>
      <c r="AN7" s="35">
        <v>115000000</v>
      </c>
      <c r="AO7" s="35">
        <v>9.49</v>
      </c>
      <c r="AP7" s="35">
        <v>85300000</v>
      </c>
      <c r="AQ7" s="35">
        <v>11.6</v>
      </c>
      <c r="AR7" s="35">
        <v>99000000</v>
      </c>
      <c r="AS7" s="35">
        <v>4.46</v>
      </c>
      <c r="AT7" s="35">
        <v>88300000</v>
      </c>
      <c r="AU7" s="35">
        <v>10.3</v>
      </c>
      <c r="AV7" s="35">
        <v>86400000</v>
      </c>
      <c r="AW7" s="35">
        <v>4.92</v>
      </c>
      <c r="AX7" s="35">
        <v>89700000</v>
      </c>
      <c r="AY7" s="35">
        <v>10.199999999999999</v>
      </c>
      <c r="AZ7" s="3"/>
      <c r="BA7" s="35">
        <v>99700000</v>
      </c>
      <c r="BB7" s="35">
        <v>5.88</v>
      </c>
      <c r="BC7" s="35">
        <v>94400000</v>
      </c>
      <c r="BD7" s="35">
        <v>9.6999999999999993</v>
      </c>
      <c r="BE7" s="35">
        <v>122000000</v>
      </c>
      <c r="BF7" s="35">
        <v>9.4600000000000009</v>
      </c>
      <c r="BG7" s="35">
        <v>113000000</v>
      </c>
      <c r="BH7" s="35">
        <v>6.13</v>
      </c>
      <c r="BI7" s="35">
        <v>117000000</v>
      </c>
      <c r="BJ7" s="35">
        <v>8.8699999999999992</v>
      </c>
      <c r="BK7" s="3"/>
      <c r="BL7" s="35">
        <v>80100000</v>
      </c>
      <c r="BM7" s="35">
        <v>8.42</v>
      </c>
      <c r="BN7" s="35">
        <v>93400000</v>
      </c>
      <c r="BO7" s="35">
        <v>7.16</v>
      </c>
      <c r="BP7" s="35">
        <v>88100000</v>
      </c>
      <c r="BQ7" s="35">
        <v>16.2</v>
      </c>
      <c r="BR7" s="35">
        <v>94400000</v>
      </c>
      <c r="BS7" s="35">
        <v>7.74</v>
      </c>
      <c r="BT7" s="35">
        <v>97400000</v>
      </c>
      <c r="BU7" s="35">
        <v>11.8</v>
      </c>
      <c r="BV7" s="35">
        <v>91200000</v>
      </c>
      <c r="BW7" s="35">
        <v>9.8800000000000008</v>
      </c>
      <c r="BX7" s="35">
        <v>113000000</v>
      </c>
      <c r="BY7" s="35">
        <v>9.33</v>
      </c>
      <c r="BZ7" s="35">
        <v>111000000</v>
      </c>
      <c r="CA7" s="35">
        <v>1.65</v>
      </c>
      <c r="CB7" s="35">
        <v>130000000</v>
      </c>
      <c r="CC7" s="35">
        <v>5.43</v>
      </c>
      <c r="CD7" s="35">
        <v>73500000</v>
      </c>
      <c r="CE7" s="35">
        <v>12.6</v>
      </c>
      <c r="CF7" s="35">
        <v>87700000</v>
      </c>
      <c r="CG7" s="35">
        <v>13.1</v>
      </c>
      <c r="CH7" s="35">
        <v>70000000</v>
      </c>
      <c r="CI7" s="35">
        <v>5</v>
      </c>
      <c r="CJ7" s="35">
        <v>77500000</v>
      </c>
      <c r="CK7" s="35">
        <v>8.74</v>
      </c>
      <c r="CL7" s="35">
        <v>112000000</v>
      </c>
      <c r="CM7" s="35">
        <v>10.9</v>
      </c>
      <c r="CN7" s="35">
        <v>119000000</v>
      </c>
      <c r="CO7" s="35">
        <v>14.9</v>
      </c>
      <c r="CP7" s="3"/>
      <c r="CQ7" s="35">
        <v>95900000</v>
      </c>
      <c r="CR7" s="35">
        <v>17700000</v>
      </c>
      <c r="CS7" s="45">
        <v>18.5</v>
      </c>
    </row>
    <row r="8" spans="1:97">
      <c r="A8" s="13" t="s">
        <v>114</v>
      </c>
      <c r="B8" s="36">
        <v>124000000</v>
      </c>
      <c r="C8" s="36">
        <v>6.82</v>
      </c>
      <c r="D8" s="36">
        <v>85000000</v>
      </c>
      <c r="E8" s="36">
        <v>9.61</v>
      </c>
      <c r="F8" s="36">
        <v>125000000</v>
      </c>
      <c r="G8" s="36">
        <v>8.58</v>
      </c>
      <c r="H8" s="36">
        <v>7.9599999999999995E-23</v>
      </c>
      <c r="I8" s="36">
        <v>0</v>
      </c>
      <c r="J8" s="36">
        <v>152000000</v>
      </c>
      <c r="K8" s="36">
        <v>5.47</v>
      </c>
      <c r="L8" s="36">
        <v>139000000</v>
      </c>
      <c r="M8" s="36">
        <v>6.26</v>
      </c>
      <c r="N8" s="36">
        <v>107000000</v>
      </c>
      <c r="O8" s="36">
        <v>9.93</v>
      </c>
      <c r="P8" s="36">
        <v>90600000</v>
      </c>
      <c r="Q8" s="36">
        <v>7.87</v>
      </c>
      <c r="R8" s="36">
        <v>149000000</v>
      </c>
      <c r="S8" s="36">
        <v>12.3</v>
      </c>
      <c r="T8" s="36">
        <v>114000000</v>
      </c>
      <c r="U8" s="36">
        <v>7</v>
      </c>
      <c r="V8" s="36">
        <v>103000000</v>
      </c>
      <c r="W8" s="36">
        <v>11.1</v>
      </c>
      <c r="X8" s="36">
        <v>112000000</v>
      </c>
      <c r="Y8" s="36">
        <v>15.5</v>
      </c>
      <c r="Z8" s="36">
        <v>109000000</v>
      </c>
      <c r="AA8" s="36">
        <v>17.3</v>
      </c>
      <c r="AB8" s="36">
        <v>103000000</v>
      </c>
      <c r="AC8" s="36">
        <v>7.87</v>
      </c>
      <c r="AD8" s="36">
        <v>118000000</v>
      </c>
      <c r="AE8" s="36">
        <v>6.32</v>
      </c>
      <c r="AF8" s="36">
        <v>123000000</v>
      </c>
      <c r="AG8" s="36">
        <v>8.81</v>
      </c>
      <c r="AH8" s="36">
        <v>118000000</v>
      </c>
      <c r="AI8" s="36">
        <v>6.57</v>
      </c>
      <c r="AJ8" s="36">
        <v>162000000</v>
      </c>
      <c r="AK8" s="36">
        <v>10.1</v>
      </c>
      <c r="AL8" s="36">
        <v>99600000</v>
      </c>
      <c r="AM8" s="36">
        <v>17.100000000000001</v>
      </c>
      <c r="AN8" s="36">
        <v>101000000</v>
      </c>
      <c r="AO8" s="36">
        <v>15.3</v>
      </c>
      <c r="AP8" s="36">
        <v>107000000</v>
      </c>
      <c r="AQ8" s="36">
        <v>12.4</v>
      </c>
      <c r="AR8" s="36">
        <v>108000000</v>
      </c>
      <c r="AS8" s="36">
        <v>9.16</v>
      </c>
      <c r="AT8" s="36">
        <v>114000000</v>
      </c>
      <c r="AU8" s="36">
        <v>9.84</v>
      </c>
      <c r="AV8" s="36">
        <v>101000000</v>
      </c>
      <c r="AW8" s="36">
        <v>6.72</v>
      </c>
      <c r="AX8" s="36">
        <v>92700000</v>
      </c>
      <c r="AY8" s="36">
        <v>7.16</v>
      </c>
      <c r="AZ8" s="5"/>
      <c r="BA8" s="36">
        <v>114000000</v>
      </c>
      <c r="BB8" s="36">
        <v>11.4</v>
      </c>
      <c r="BC8" s="36">
        <v>125000000</v>
      </c>
      <c r="BD8" s="36">
        <v>11.6</v>
      </c>
      <c r="BE8" s="36">
        <v>210000000</v>
      </c>
      <c r="BF8" s="36">
        <v>10.9</v>
      </c>
      <c r="BG8" s="36">
        <v>211000000</v>
      </c>
      <c r="BH8" s="36">
        <v>8.44</v>
      </c>
      <c r="BI8" s="36">
        <v>266000000</v>
      </c>
      <c r="BJ8" s="36">
        <v>6.77</v>
      </c>
      <c r="BK8" s="5"/>
      <c r="BL8" s="36">
        <v>97400000</v>
      </c>
      <c r="BM8" s="36">
        <v>4.9400000000000004</v>
      </c>
      <c r="BN8" s="36">
        <v>123000000</v>
      </c>
      <c r="BO8" s="36">
        <v>5.48</v>
      </c>
      <c r="BP8" s="36">
        <v>86500000</v>
      </c>
      <c r="BQ8" s="36">
        <v>3.42</v>
      </c>
      <c r="BR8" s="36">
        <v>101000000</v>
      </c>
      <c r="BS8" s="36">
        <v>20.9</v>
      </c>
      <c r="BT8" s="36">
        <v>91800000</v>
      </c>
      <c r="BU8" s="36">
        <v>0.64</v>
      </c>
      <c r="BV8" s="36">
        <v>97800000</v>
      </c>
      <c r="BW8" s="36">
        <v>13.8</v>
      </c>
      <c r="BX8" s="36">
        <v>111000000</v>
      </c>
      <c r="BY8" s="36">
        <v>6.36</v>
      </c>
      <c r="BZ8" s="36">
        <v>124000000</v>
      </c>
      <c r="CA8" s="36">
        <v>10.4</v>
      </c>
      <c r="CB8" s="36">
        <v>144000000</v>
      </c>
      <c r="CC8" s="36">
        <v>9.69</v>
      </c>
      <c r="CD8" s="36">
        <v>82800000</v>
      </c>
      <c r="CE8" s="36">
        <v>14.4</v>
      </c>
      <c r="CF8" s="36">
        <v>72300000</v>
      </c>
      <c r="CG8" s="36">
        <v>12</v>
      </c>
      <c r="CH8" s="36">
        <v>71200000</v>
      </c>
      <c r="CI8" s="36">
        <v>8.69</v>
      </c>
      <c r="CJ8" s="36">
        <v>80000000</v>
      </c>
      <c r="CK8" s="36">
        <v>7.83</v>
      </c>
      <c r="CL8" s="36">
        <v>100000000</v>
      </c>
      <c r="CM8" s="36">
        <v>13.1</v>
      </c>
      <c r="CN8" s="36">
        <v>118000000</v>
      </c>
      <c r="CO8" s="36">
        <v>10.1</v>
      </c>
      <c r="CP8" s="5"/>
      <c r="CQ8" s="36">
        <v>100000000</v>
      </c>
      <c r="CR8" s="36">
        <v>20900000</v>
      </c>
      <c r="CS8" s="46">
        <v>20.8</v>
      </c>
    </row>
    <row r="9" spans="1:97">
      <c r="A9" s="13" t="s">
        <v>148</v>
      </c>
      <c r="B9" s="35">
        <v>24900000</v>
      </c>
      <c r="C9" s="35">
        <v>10.199999999999999</v>
      </c>
      <c r="D9" s="35">
        <v>30400000</v>
      </c>
      <c r="E9" s="35">
        <v>5.49</v>
      </c>
      <c r="F9" s="35">
        <v>26200000</v>
      </c>
      <c r="G9" s="35">
        <v>8.35</v>
      </c>
      <c r="H9" s="35">
        <v>37700000</v>
      </c>
      <c r="I9" s="35">
        <v>11.3</v>
      </c>
      <c r="J9" s="35">
        <v>94400</v>
      </c>
      <c r="K9" s="35">
        <v>10.3</v>
      </c>
      <c r="L9" s="35">
        <v>175000</v>
      </c>
      <c r="M9" s="35">
        <v>26.7</v>
      </c>
      <c r="N9" s="35">
        <v>31400000</v>
      </c>
      <c r="O9" s="35">
        <v>7.72</v>
      </c>
      <c r="P9" s="35">
        <v>24400000</v>
      </c>
      <c r="Q9" s="35">
        <v>7.52</v>
      </c>
      <c r="R9" s="35">
        <v>25300000</v>
      </c>
      <c r="S9" s="35">
        <v>15.7</v>
      </c>
      <c r="T9" s="35">
        <v>22700000</v>
      </c>
      <c r="U9" s="35">
        <v>5.59</v>
      </c>
      <c r="V9" s="35">
        <v>26100000</v>
      </c>
      <c r="W9" s="35">
        <v>3.19</v>
      </c>
      <c r="X9" s="35">
        <v>19300000</v>
      </c>
      <c r="Y9" s="35">
        <v>7.77</v>
      </c>
      <c r="Z9" s="35">
        <v>22400000</v>
      </c>
      <c r="AA9" s="35">
        <v>12.7</v>
      </c>
      <c r="AB9" s="35">
        <v>21900000</v>
      </c>
      <c r="AC9" s="35">
        <v>10.9</v>
      </c>
      <c r="AD9" s="35">
        <v>25200000</v>
      </c>
      <c r="AE9" s="35">
        <v>8.7100000000000009</v>
      </c>
      <c r="AF9" s="35">
        <v>25300000</v>
      </c>
      <c r="AG9" s="35">
        <v>13.8</v>
      </c>
      <c r="AH9" s="35">
        <v>26000000</v>
      </c>
      <c r="AI9" s="35">
        <v>9.8800000000000008</v>
      </c>
      <c r="AJ9" s="35">
        <v>32500000</v>
      </c>
      <c r="AK9" s="35">
        <v>10.199999999999999</v>
      </c>
      <c r="AL9" s="35">
        <v>42800000</v>
      </c>
      <c r="AM9" s="35">
        <v>11</v>
      </c>
      <c r="AN9" s="35">
        <v>32000000</v>
      </c>
      <c r="AO9" s="35">
        <v>9.26</v>
      </c>
      <c r="AP9" s="35">
        <v>28600000</v>
      </c>
      <c r="AQ9" s="35">
        <v>11</v>
      </c>
      <c r="AR9" s="35">
        <v>33700000</v>
      </c>
      <c r="AS9" s="35">
        <v>7.41</v>
      </c>
      <c r="AT9" s="35">
        <v>27900000</v>
      </c>
      <c r="AU9" s="35">
        <v>12.5</v>
      </c>
      <c r="AV9" s="35">
        <v>22400000</v>
      </c>
      <c r="AW9" s="35">
        <v>10.7</v>
      </c>
      <c r="AX9" s="35">
        <v>25400000</v>
      </c>
      <c r="AY9" s="35">
        <v>5.79</v>
      </c>
      <c r="AZ9" s="3"/>
      <c r="BA9" s="35">
        <v>27400000</v>
      </c>
      <c r="BB9" s="35">
        <v>9.8800000000000008</v>
      </c>
      <c r="BC9" s="35">
        <v>39500000</v>
      </c>
      <c r="BD9" s="35">
        <v>6.33</v>
      </c>
      <c r="BE9" s="35">
        <v>49000000</v>
      </c>
      <c r="BF9" s="35">
        <v>15.2</v>
      </c>
      <c r="BG9" s="35">
        <v>45700000</v>
      </c>
      <c r="BH9" s="35">
        <v>12.1</v>
      </c>
      <c r="BI9" s="35">
        <v>49200000</v>
      </c>
      <c r="BJ9" s="35">
        <v>13.7</v>
      </c>
      <c r="BK9" s="3"/>
      <c r="BL9" s="35">
        <v>55500000</v>
      </c>
      <c r="BM9" s="35">
        <v>6.22</v>
      </c>
      <c r="BN9" s="35">
        <v>48300000</v>
      </c>
      <c r="BO9" s="35">
        <v>3.63</v>
      </c>
      <c r="BP9" s="35">
        <v>29000000</v>
      </c>
      <c r="BQ9" s="35">
        <v>3.39</v>
      </c>
      <c r="BR9" s="35">
        <v>29600000</v>
      </c>
      <c r="BS9" s="35">
        <v>12.5</v>
      </c>
      <c r="BT9" s="35">
        <v>25300000</v>
      </c>
      <c r="BU9" s="35">
        <v>8.4700000000000006</v>
      </c>
      <c r="BV9" s="35">
        <v>19400000</v>
      </c>
      <c r="BW9" s="35">
        <v>8.0399999999999991</v>
      </c>
      <c r="BX9" s="35">
        <v>26400000</v>
      </c>
      <c r="BY9" s="35">
        <v>4.55</v>
      </c>
      <c r="BZ9" s="35">
        <v>33000000</v>
      </c>
      <c r="CA9" s="35">
        <v>4.57</v>
      </c>
      <c r="CB9" s="35">
        <v>28900000</v>
      </c>
      <c r="CC9" s="35">
        <v>5.83</v>
      </c>
      <c r="CD9" s="35">
        <v>23100000</v>
      </c>
      <c r="CE9" s="35">
        <v>15.6</v>
      </c>
      <c r="CF9" s="35">
        <v>33400000</v>
      </c>
      <c r="CG9" s="35">
        <v>22.5</v>
      </c>
      <c r="CH9" s="35">
        <v>28000000</v>
      </c>
      <c r="CI9" s="35">
        <v>9.9499999999999993</v>
      </c>
      <c r="CJ9" s="35">
        <v>21400000</v>
      </c>
      <c r="CK9" s="35">
        <v>14.5</v>
      </c>
      <c r="CL9" s="35">
        <v>25600000</v>
      </c>
      <c r="CM9" s="35">
        <v>8.33</v>
      </c>
      <c r="CN9" s="35">
        <v>27600000</v>
      </c>
      <c r="CO9" s="35">
        <v>9.73</v>
      </c>
      <c r="CP9" s="3"/>
      <c r="CQ9" s="35">
        <v>30300000</v>
      </c>
      <c r="CR9" s="35">
        <v>9650000</v>
      </c>
      <c r="CS9" s="45">
        <v>31.8</v>
      </c>
    </row>
    <row r="10" spans="1:97">
      <c r="A10" s="13" t="s">
        <v>117</v>
      </c>
      <c r="B10" s="36">
        <v>43700000</v>
      </c>
      <c r="C10" s="36">
        <v>10.7</v>
      </c>
      <c r="D10" s="36">
        <v>18100000</v>
      </c>
      <c r="E10" s="36">
        <v>6.01</v>
      </c>
      <c r="F10" s="36">
        <v>74300000</v>
      </c>
      <c r="G10" s="36">
        <v>8</v>
      </c>
      <c r="H10" s="36">
        <v>53900000</v>
      </c>
      <c r="I10" s="36">
        <v>19.5</v>
      </c>
      <c r="J10" s="36">
        <v>188000000</v>
      </c>
      <c r="K10" s="36">
        <v>7.42</v>
      </c>
      <c r="L10" s="36">
        <v>695000000</v>
      </c>
      <c r="M10" s="36">
        <v>13.6</v>
      </c>
      <c r="N10" s="36">
        <v>16700</v>
      </c>
      <c r="O10" s="36">
        <v>34.4</v>
      </c>
      <c r="P10" s="36">
        <v>60000000</v>
      </c>
      <c r="Q10" s="36">
        <v>11.9</v>
      </c>
      <c r="R10" s="36">
        <v>44800000</v>
      </c>
      <c r="S10" s="36">
        <v>9.18</v>
      </c>
      <c r="T10" s="36">
        <v>12300000</v>
      </c>
      <c r="U10" s="36">
        <v>9.9600000000000009</v>
      </c>
      <c r="V10" s="36">
        <v>36700000</v>
      </c>
      <c r="W10" s="36">
        <v>6.07</v>
      </c>
      <c r="X10" s="36">
        <v>46200000</v>
      </c>
      <c r="Y10" s="36">
        <v>12</v>
      </c>
      <c r="Z10" s="36">
        <v>53000000</v>
      </c>
      <c r="AA10" s="36">
        <v>17.2</v>
      </c>
      <c r="AB10" s="36">
        <v>55200000</v>
      </c>
      <c r="AC10" s="36">
        <v>16</v>
      </c>
      <c r="AD10" s="36">
        <v>44600000</v>
      </c>
      <c r="AE10" s="36">
        <v>11</v>
      </c>
      <c r="AF10" s="36">
        <v>45500000</v>
      </c>
      <c r="AG10" s="36">
        <v>9.19</v>
      </c>
      <c r="AH10" s="36">
        <v>23900000</v>
      </c>
      <c r="AI10" s="36">
        <v>13.6</v>
      </c>
      <c r="AJ10" s="36">
        <v>40500000</v>
      </c>
      <c r="AK10" s="36">
        <v>11.1</v>
      </c>
      <c r="AL10" s="36">
        <v>86800000</v>
      </c>
      <c r="AM10" s="36">
        <v>9.51</v>
      </c>
      <c r="AN10" s="36">
        <v>60200000</v>
      </c>
      <c r="AO10" s="36">
        <v>7.53</v>
      </c>
      <c r="AP10" s="36">
        <v>36900000</v>
      </c>
      <c r="AQ10" s="36">
        <v>7.59</v>
      </c>
      <c r="AR10" s="36">
        <v>51900000</v>
      </c>
      <c r="AS10" s="36">
        <v>19.899999999999999</v>
      </c>
      <c r="AT10" s="36">
        <v>41500000</v>
      </c>
      <c r="AU10" s="36">
        <v>3.62</v>
      </c>
      <c r="AV10" s="36">
        <v>36300000</v>
      </c>
      <c r="AW10" s="36">
        <v>9.91</v>
      </c>
      <c r="AX10" s="36">
        <v>48600000</v>
      </c>
      <c r="AY10" s="36">
        <v>20.2</v>
      </c>
      <c r="AZ10" s="5"/>
      <c r="BA10" s="36">
        <v>48500000</v>
      </c>
      <c r="BB10" s="36">
        <v>6.12</v>
      </c>
      <c r="BC10" s="36">
        <v>44100000</v>
      </c>
      <c r="BD10" s="36">
        <v>3.49</v>
      </c>
      <c r="BE10" s="36">
        <v>70500000</v>
      </c>
      <c r="BF10" s="36">
        <v>9.3699999999999992</v>
      </c>
      <c r="BG10" s="36">
        <v>56100000</v>
      </c>
      <c r="BH10" s="36">
        <v>15.5</v>
      </c>
      <c r="BI10" s="36">
        <v>70000000</v>
      </c>
      <c r="BJ10" s="36">
        <v>4.22</v>
      </c>
      <c r="BK10" s="5"/>
      <c r="BL10" s="36">
        <v>55500000</v>
      </c>
      <c r="BM10" s="36">
        <v>3.78</v>
      </c>
      <c r="BN10" s="36">
        <v>55200000</v>
      </c>
      <c r="BO10" s="36">
        <v>9.18</v>
      </c>
      <c r="BP10" s="36">
        <v>56800000</v>
      </c>
      <c r="BQ10" s="36">
        <v>13.3</v>
      </c>
      <c r="BR10" s="36">
        <v>61500000</v>
      </c>
      <c r="BS10" s="36">
        <v>8.58</v>
      </c>
      <c r="BT10" s="36">
        <v>55500000</v>
      </c>
      <c r="BU10" s="36">
        <v>9.69</v>
      </c>
      <c r="BV10" s="36">
        <v>64600000</v>
      </c>
      <c r="BW10" s="36">
        <v>13</v>
      </c>
      <c r="BX10" s="36">
        <v>62700000</v>
      </c>
      <c r="BY10" s="36">
        <v>12.3</v>
      </c>
      <c r="BZ10" s="36">
        <v>92100000</v>
      </c>
      <c r="CA10" s="36">
        <v>11.8</v>
      </c>
      <c r="CB10" s="36">
        <v>113000000</v>
      </c>
      <c r="CC10" s="36">
        <v>7.83</v>
      </c>
      <c r="CD10" s="36">
        <v>68300000</v>
      </c>
      <c r="CE10" s="36">
        <v>15.7</v>
      </c>
      <c r="CF10" s="36">
        <v>58800000</v>
      </c>
      <c r="CG10" s="36">
        <v>7.08</v>
      </c>
      <c r="CH10" s="36">
        <v>53100000</v>
      </c>
      <c r="CI10" s="36">
        <v>6.46</v>
      </c>
      <c r="CJ10" s="36">
        <v>66400000</v>
      </c>
      <c r="CK10" s="36">
        <v>8.34</v>
      </c>
      <c r="CL10" s="36">
        <v>70100000</v>
      </c>
      <c r="CM10" s="36">
        <v>14.3</v>
      </c>
      <c r="CN10" s="36">
        <v>62200000</v>
      </c>
      <c r="CO10" s="36">
        <v>11.7</v>
      </c>
      <c r="CP10" s="5"/>
      <c r="CQ10" s="36">
        <v>66400000</v>
      </c>
      <c r="CR10" s="36">
        <v>16000000</v>
      </c>
      <c r="CS10" s="46">
        <v>24.1</v>
      </c>
    </row>
    <row r="11" spans="1:97">
      <c r="A11" s="13" t="s">
        <v>118</v>
      </c>
      <c r="B11" s="35">
        <v>45600000</v>
      </c>
      <c r="C11" s="35">
        <v>12</v>
      </c>
      <c r="D11" s="35">
        <v>51900000</v>
      </c>
      <c r="E11" s="35">
        <v>5.14</v>
      </c>
      <c r="F11" s="35">
        <v>58600000</v>
      </c>
      <c r="G11" s="35">
        <v>6.66</v>
      </c>
      <c r="H11" s="35">
        <v>73400000</v>
      </c>
      <c r="I11" s="35">
        <v>6.74</v>
      </c>
      <c r="J11" s="35">
        <v>59900000</v>
      </c>
      <c r="K11" s="35">
        <v>4.99</v>
      </c>
      <c r="L11" s="35">
        <v>46500000</v>
      </c>
      <c r="M11" s="35">
        <v>8.56</v>
      </c>
      <c r="N11" s="35">
        <v>45300000</v>
      </c>
      <c r="O11" s="35">
        <v>12.1</v>
      </c>
      <c r="P11" s="35">
        <v>25000</v>
      </c>
      <c r="Q11" s="35">
        <v>46.3</v>
      </c>
      <c r="R11" s="35">
        <v>43500000</v>
      </c>
      <c r="S11" s="35">
        <v>4.6500000000000004</v>
      </c>
      <c r="T11" s="35">
        <v>58500000</v>
      </c>
      <c r="U11" s="35">
        <v>8.7899999999999991</v>
      </c>
      <c r="V11" s="35">
        <v>48800000</v>
      </c>
      <c r="W11" s="35">
        <v>7.97</v>
      </c>
      <c r="X11" s="35">
        <v>43300000</v>
      </c>
      <c r="Y11" s="35">
        <v>11.8</v>
      </c>
      <c r="Z11" s="35">
        <v>47000000</v>
      </c>
      <c r="AA11" s="35">
        <v>13.9</v>
      </c>
      <c r="AB11" s="35">
        <v>47100000</v>
      </c>
      <c r="AC11" s="35">
        <v>5.95</v>
      </c>
      <c r="AD11" s="35">
        <v>48700000</v>
      </c>
      <c r="AE11" s="35">
        <v>6.63</v>
      </c>
      <c r="AF11" s="35">
        <v>41500000</v>
      </c>
      <c r="AG11" s="35">
        <v>9.8699999999999992</v>
      </c>
      <c r="AH11" s="35">
        <v>57800000</v>
      </c>
      <c r="AI11" s="35">
        <v>13.1</v>
      </c>
      <c r="AJ11" s="35">
        <v>56900000</v>
      </c>
      <c r="AK11" s="35">
        <v>10</v>
      </c>
      <c r="AL11" s="35">
        <v>35300000</v>
      </c>
      <c r="AM11" s="35">
        <v>12.6</v>
      </c>
      <c r="AN11" s="35">
        <v>43200000</v>
      </c>
      <c r="AO11" s="35">
        <v>13.4</v>
      </c>
      <c r="AP11" s="35">
        <v>53900000</v>
      </c>
      <c r="AQ11" s="35">
        <v>11.1</v>
      </c>
      <c r="AR11" s="35">
        <v>43400000</v>
      </c>
      <c r="AS11" s="35">
        <v>10.5</v>
      </c>
      <c r="AT11" s="35">
        <v>58600000</v>
      </c>
      <c r="AU11" s="35">
        <v>8.98</v>
      </c>
      <c r="AV11" s="35">
        <v>46000000</v>
      </c>
      <c r="AW11" s="35">
        <v>11.1</v>
      </c>
      <c r="AX11" s="35">
        <v>43300000</v>
      </c>
      <c r="AY11" s="35">
        <v>8.98</v>
      </c>
      <c r="AZ11" s="3"/>
      <c r="BA11" s="35">
        <v>59000000</v>
      </c>
      <c r="BB11" s="35">
        <v>3.75</v>
      </c>
      <c r="BC11" s="35">
        <v>75400000</v>
      </c>
      <c r="BD11" s="35">
        <v>6.72</v>
      </c>
      <c r="BE11" s="35">
        <v>69400000</v>
      </c>
      <c r="BF11" s="35">
        <v>8.99</v>
      </c>
      <c r="BG11" s="35">
        <v>71200000</v>
      </c>
      <c r="BH11" s="35">
        <v>4.7300000000000004</v>
      </c>
      <c r="BI11" s="35">
        <v>63800000</v>
      </c>
      <c r="BJ11" s="35">
        <v>6.28</v>
      </c>
      <c r="BK11" s="3"/>
      <c r="BL11" s="35">
        <v>55900000</v>
      </c>
      <c r="BM11" s="35">
        <v>4.25</v>
      </c>
      <c r="BN11" s="35">
        <v>49900000</v>
      </c>
      <c r="BO11" s="35">
        <v>6.06</v>
      </c>
      <c r="BP11" s="35">
        <v>56400000</v>
      </c>
      <c r="BQ11" s="35">
        <v>2.4700000000000002</v>
      </c>
      <c r="BR11" s="35">
        <v>55200000</v>
      </c>
      <c r="BS11" s="35">
        <v>14.2</v>
      </c>
      <c r="BT11" s="35">
        <v>53000000</v>
      </c>
      <c r="BU11" s="35">
        <v>8.91</v>
      </c>
      <c r="BV11" s="35">
        <v>38600000</v>
      </c>
      <c r="BW11" s="35">
        <v>8.3800000000000008</v>
      </c>
      <c r="BX11" s="35">
        <v>56200000</v>
      </c>
      <c r="BY11" s="35">
        <v>7.26</v>
      </c>
      <c r="BZ11" s="35">
        <v>67500000</v>
      </c>
      <c r="CA11" s="35">
        <v>3.17</v>
      </c>
      <c r="CB11" s="35">
        <v>60100000</v>
      </c>
      <c r="CC11" s="35">
        <v>11.3</v>
      </c>
      <c r="CD11" s="35">
        <v>34700000</v>
      </c>
      <c r="CE11" s="35">
        <v>8.27</v>
      </c>
      <c r="CF11" s="35">
        <v>53700000</v>
      </c>
      <c r="CG11" s="35">
        <v>5.46</v>
      </c>
      <c r="CH11" s="35">
        <v>53600000</v>
      </c>
      <c r="CI11" s="35">
        <v>8.02</v>
      </c>
      <c r="CJ11" s="35">
        <v>46800000</v>
      </c>
      <c r="CK11" s="35">
        <v>7.81</v>
      </c>
      <c r="CL11" s="35">
        <v>49700000</v>
      </c>
      <c r="CM11" s="35">
        <v>7.86</v>
      </c>
      <c r="CN11" s="35">
        <v>59300000</v>
      </c>
      <c r="CO11" s="35">
        <v>6.19</v>
      </c>
      <c r="CP11" s="3"/>
      <c r="CQ11" s="35">
        <v>52700000</v>
      </c>
      <c r="CR11" s="35">
        <v>8180000</v>
      </c>
      <c r="CS11" s="45">
        <v>15.5</v>
      </c>
    </row>
    <row r="12" spans="1:97">
      <c r="A12" s="13" t="s">
        <v>149</v>
      </c>
      <c r="B12" s="36">
        <v>170000000</v>
      </c>
      <c r="C12" s="36">
        <v>9.7200000000000006</v>
      </c>
      <c r="D12" s="36">
        <v>158000000</v>
      </c>
      <c r="E12" s="36">
        <v>5.74</v>
      </c>
      <c r="F12" s="36">
        <v>254000000</v>
      </c>
      <c r="G12" s="36">
        <v>9.33</v>
      </c>
      <c r="H12" s="36">
        <v>286000000</v>
      </c>
      <c r="I12" s="36">
        <v>9.8699999999999992</v>
      </c>
      <c r="J12" s="36">
        <v>213000000</v>
      </c>
      <c r="K12" s="36">
        <v>5.79</v>
      </c>
      <c r="L12" s="36">
        <v>176000000</v>
      </c>
      <c r="M12" s="36">
        <v>11.4</v>
      </c>
      <c r="N12" s="36">
        <v>192000000</v>
      </c>
      <c r="O12" s="36">
        <v>11.4</v>
      </c>
      <c r="P12" s="36">
        <v>184000000</v>
      </c>
      <c r="Q12" s="36">
        <v>6.84</v>
      </c>
      <c r="R12" s="36">
        <v>194000000</v>
      </c>
      <c r="S12" s="36">
        <v>9.34</v>
      </c>
      <c r="T12" s="36">
        <v>153000000</v>
      </c>
      <c r="U12" s="36">
        <v>6.99</v>
      </c>
      <c r="V12" s="36">
        <v>181000000</v>
      </c>
      <c r="W12" s="36">
        <v>6.67</v>
      </c>
      <c r="X12" s="36">
        <v>159000000</v>
      </c>
      <c r="Y12" s="36">
        <v>14.8</v>
      </c>
      <c r="Z12" s="36">
        <v>178000000</v>
      </c>
      <c r="AA12" s="36">
        <v>19.100000000000001</v>
      </c>
      <c r="AB12" s="36">
        <v>147000000</v>
      </c>
      <c r="AC12" s="36">
        <v>14.7</v>
      </c>
      <c r="AD12" s="36">
        <v>187000000</v>
      </c>
      <c r="AE12" s="36">
        <v>10.5</v>
      </c>
      <c r="AF12" s="36">
        <v>170000000</v>
      </c>
      <c r="AG12" s="36">
        <v>11.3</v>
      </c>
      <c r="AH12" s="36">
        <v>189000000</v>
      </c>
      <c r="AI12" s="36">
        <v>9.16</v>
      </c>
      <c r="AJ12" s="36">
        <v>161000000</v>
      </c>
      <c r="AK12" s="36">
        <v>12.1</v>
      </c>
      <c r="AL12" s="36">
        <v>148000000</v>
      </c>
      <c r="AM12" s="36">
        <v>5.76</v>
      </c>
      <c r="AN12" s="36">
        <v>166000000</v>
      </c>
      <c r="AO12" s="36">
        <v>9.2200000000000006</v>
      </c>
      <c r="AP12" s="36">
        <v>147000000</v>
      </c>
      <c r="AQ12" s="36">
        <v>10.199999999999999</v>
      </c>
      <c r="AR12" s="36">
        <v>197000000</v>
      </c>
      <c r="AS12" s="36">
        <v>11.4</v>
      </c>
      <c r="AT12" s="36">
        <v>155000000</v>
      </c>
      <c r="AU12" s="36">
        <v>5.34</v>
      </c>
      <c r="AV12" s="36">
        <v>168000000</v>
      </c>
      <c r="AW12" s="36">
        <v>9.1</v>
      </c>
      <c r="AX12" s="36">
        <v>198000000</v>
      </c>
      <c r="AY12" s="36">
        <v>16.600000000000001</v>
      </c>
      <c r="AZ12" s="5"/>
      <c r="BA12" s="36">
        <v>154000000</v>
      </c>
      <c r="BB12" s="36">
        <v>8.39</v>
      </c>
      <c r="BC12" s="36">
        <v>242000000</v>
      </c>
      <c r="BD12" s="36">
        <v>9.51</v>
      </c>
      <c r="BE12" s="36">
        <v>332000000</v>
      </c>
      <c r="BF12" s="36">
        <v>9.2200000000000006</v>
      </c>
      <c r="BG12" s="36">
        <v>387000000</v>
      </c>
      <c r="BH12" s="36">
        <v>5.57</v>
      </c>
      <c r="BI12" s="36">
        <v>324000000</v>
      </c>
      <c r="BJ12" s="36">
        <v>11.7</v>
      </c>
      <c r="BK12" s="5"/>
      <c r="BL12" s="36">
        <v>167000000</v>
      </c>
      <c r="BM12" s="36">
        <v>5.79</v>
      </c>
      <c r="BN12" s="36">
        <v>153000000</v>
      </c>
      <c r="BO12" s="36">
        <v>21</v>
      </c>
      <c r="BP12" s="36">
        <v>235000000</v>
      </c>
      <c r="BQ12" s="36">
        <v>13.6</v>
      </c>
      <c r="BR12" s="36">
        <v>206000000</v>
      </c>
      <c r="BS12" s="36">
        <v>13.5</v>
      </c>
      <c r="BT12" s="36">
        <v>172000000</v>
      </c>
      <c r="BU12" s="36">
        <v>3.1</v>
      </c>
      <c r="BV12" s="36">
        <v>187000000</v>
      </c>
      <c r="BW12" s="36">
        <v>15.6</v>
      </c>
      <c r="BX12" s="36">
        <v>210000000</v>
      </c>
      <c r="BY12" s="36">
        <v>6.29</v>
      </c>
      <c r="BZ12" s="36">
        <v>302000000</v>
      </c>
      <c r="CA12" s="36">
        <v>7.69</v>
      </c>
      <c r="CB12" s="36">
        <v>267000000</v>
      </c>
      <c r="CC12" s="36">
        <v>11.1</v>
      </c>
      <c r="CD12" s="36">
        <v>192000000</v>
      </c>
      <c r="CE12" s="36">
        <v>8.51</v>
      </c>
      <c r="CF12" s="36">
        <v>215000000</v>
      </c>
      <c r="CG12" s="36">
        <v>12.2</v>
      </c>
      <c r="CH12" s="36">
        <v>195000000</v>
      </c>
      <c r="CI12" s="36">
        <v>5.2</v>
      </c>
      <c r="CJ12" s="36">
        <v>163000000</v>
      </c>
      <c r="CK12" s="36">
        <v>15.1</v>
      </c>
      <c r="CL12" s="36">
        <v>224000000</v>
      </c>
      <c r="CM12" s="36">
        <v>7.97</v>
      </c>
      <c r="CN12" s="36">
        <v>218000000</v>
      </c>
      <c r="CO12" s="36">
        <v>8.3699999999999992</v>
      </c>
      <c r="CP12" s="5"/>
      <c r="CQ12" s="36">
        <v>207000000</v>
      </c>
      <c r="CR12" s="36">
        <v>40000000</v>
      </c>
      <c r="CS12" s="46">
        <v>19.3</v>
      </c>
    </row>
    <row r="13" spans="1:97">
      <c r="A13" s="13" t="s">
        <v>119</v>
      </c>
      <c r="B13" s="35">
        <v>189000000</v>
      </c>
      <c r="C13" s="35">
        <v>8.6</v>
      </c>
      <c r="D13" s="35">
        <v>180000000</v>
      </c>
      <c r="E13" s="35">
        <v>2.42</v>
      </c>
      <c r="F13" s="35">
        <v>523000000</v>
      </c>
      <c r="G13" s="35">
        <v>8.43</v>
      </c>
      <c r="H13" s="35">
        <v>249000000</v>
      </c>
      <c r="I13" s="35">
        <v>8.25</v>
      </c>
      <c r="J13" s="35">
        <v>219000000</v>
      </c>
      <c r="K13" s="35">
        <v>4.53</v>
      </c>
      <c r="L13" s="35">
        <v>309000000</v>
      </c>
      <c r="M13" s="35">
        <v>7.94</v>
      </c>
      <c r="N13" s="35">
        <v>278000000</v>
      </c>
      <c r="O13" s="35">
        <v>5.37</v>
      </c>
      <c r="P13" s="35">
        <v>245000000</v>
      </c>
      <c r="Q13" s="35">
        <v>3.4</v>
      </c>
      <c r="R13" s="35">
        <v>31600</v>
      </c>
      <c r="S13" s="35">
        <v>14.1</v>
      </c>
      <c r="T13" s="35">
        <v>126000000</v>
      </c>
      <c r="U13" s="35">
        <v>7.31</v>
      </c>
      <c r="V13" s="35">
        <v>286000000</v>
      </c>
      <c r="W13" s="35">
        <v>4.12</v>
      </c>
      <c r="X13" s="35">
        <v>223000000</v>
      </c>
      <c r="Y13" s="35">
        <v>14.9</v>
      </c>
      <c r="Z13" s="35">
        <v>236000000</v>
      </c>
      <c r="AA13" s="35">
        <v>20.5</v>
      </c>
      <c r="AB13" s="35">
        <v>219000000</v>
      </c>
      <c r="AC13" s="35">
        <v>14.2</v>
      </c>
      <c r="AD13" s="35">
        <v>191000000</v>
      </c>
      <c r="AE13" s="35">
        <v>4.22</v>
      </c>
      <c r="AF13" s="35">
        <v>230000000</v>
      </c>
      <c r="AG13" s="35">
        <v>9.7100000000000009</v>
      </c>
      <c r="AH13" s="35">
        <v>145000000</v>
      </c>
      <c r="AI13" s="35">
        <v>8.24</v>
      </c>
      <c r="AJ13" s="35">
        <v>251000000</v>
      </c>
      <c r="AK13" s="35">
        <v>7.55</v>
      </c>
      <c r="AL13" s="35">
        <v>427000000</v>
      </c>
      <c r="AM13" s="35">
        <v>8.85</v>
      </c>
      <c r="AN13" s="35">
        <v>161000000</v>
      </c>
      <c r="AO13" s="35">
        <v>12.9</v>
      </c>
      <c r="AP13" s="35">
        <v>173000000</v>
      </c>
      <c r="AQ13" s="35">
        <v>11</v>
      </c>
      <c r="AR13" s="35">
        <v>313000000</v>
      </c>
      <c r="AS13" s="35">
        <v>9.1199999999999992</v>
      </c>
      <c r="AT13" s="35">
        <v>208000000</v>
      </c>
      <c r="AU13" s="35">
        <v>9.59</v>
      </c>
      <c r="AV13" s="35">
        <v>160000000</v>
      </c>
      <c r="AW13" s="35">
        <v>8.32</v>
      </c>
      <c r="AX13" s="35">
        <v>202000000</v>
      </c>
      <c r="AY13" s="35">
        <v>7.94</v>
      </c>
      <c r="AZ13" s="3"/>
      <c r="BA13" s="35">
        <v>294000000</v>
      </c>
      <c r="BB13" s="35">
        <v>6.06</v>
      </c>
      <c r="BC13" s="35">
        <v>190000000</v>
      </c>
      <c r="BD13" s="35">
        <v>5.13</v>
      </c>
      <c r="BE13" s="35">
        <v>139000000</v>
      </c>
      <c r="BF13" s="35">
        <v>6.85</v>
      </c>
      <c r="BG13" s="35">
        <v>90500000</v>
      </c>
      <c r="BH13" s="35">
        <v>7.44</v>
      </c>
      <c r="BI13" s="35">
        <v>119000000</v>
      </c>
      <c r="BJ13" s="35">
        <v>10.5</v>
      </c>
      <c r="BK13" s="3"/>
      <c r="BL13" s="35">
        <v>272000000</v>
      </c>
      <c r="BM13" s="35">
        <v>4.38</v>
      </c>
      <c r="BN13" s="35">
        <v>202000000</v>
      </c>
      <c r="BO13" s="35">
        <v>3.14</v>
      </c>
      <c r="BP13" s="35">
        <v>303000000</v>
      </c>
      <c r="BQ13" s="35">
        <v>2.67</v>
      </c>
      <c r="BR13" s="35">
        <v>200000000</v>
      </c>
      <c r="BS13" s="35">
        <v>18</v>
      </c>
      <c r="BT13" s="35">
        <v>151000000</v>
      </c>
      <c r="BU13" s="35">
        <v>3.62</v>
      </c>
      <c r="BV13" s="35">
        <v>153000000</v>
      </c>
      <c r="BW13" s="35">
        <v>9.94</v>
      </c>
      <c r="BX13" s="35">
        <v>192000000</v>
      </c>
      <c r="BY13" s="35">
        <v>7.17</v>
      </c>
      <c r="BZ13" s="35">
        <v>364000000</v>
      </c>
      <c r="CA13" s="35">
        <v>3.34</v>
      </c>
      <c r="CB13" s="35">
        <v>275000000</v>
      </c>
      <c r="CC13" s="35">
        <v>7.09</v>
      </c>
      <c r="CD13" s="35">
        <v>173000000</v>
      </c>
      <c r="CE13" s="35">
        <v>13.1</v>
      </c>
      <c r="CF13" s="35">
        <v>251000000</v>
      </c>
      <c r="CG13" s="35">
        <v>5.67</v>
      </c>
      <c r="CH13" s="35">
        <v>308000000</v>
      </c>
      <c r="CI13" s="35">
        <v>9.2200000000000006</v>
      </c>
      <c r="CJ13" s="35">
        <v>176000000</v>
      </c>
      <c r="CK13" s="35">
        <v>8.2200000000000006</v>
      </c>
      <c r="CL13" s="35">
        <v>164000000</v>
      </c>
      <c r="CM13" s="35">
        <v>5.43</v>
      </c>
      <c r="CN13" s="35">
        <v>158000000</v>
      </c>
      <c r="CO13" s="35">
        <v>12.2</v>
      </c>
      <c r="CP13" s="3"/>
      <c r="CQ13" s="35">
        <v>223000000</v>
      </c>
      <c r="CR13" s="35">
        <v>67500000</v>
      </c>
      <c r="CS13" s="45">
        <v>30.3</v>
      </c>
    </row>
    <row r="14" spans="1:97">
      <c r="A14" s="13" t="s">
        <v>150</v>
      </c>
      <c r="B14" s="36">
        <v>72800000</v>
      </c>
      <c r="C14" s="36">
        <v>9.4700000000000006</v>
      </c>
      <c r="D14" s="36">
        <v>62800000</v>
      </c>
      <c r="E14" s="36">
        <v>3.61</v>
      </c>
      <c r="F14" s="36">
        <v>111000000</v>
      </c>
      <c r="G14" s="36">
        <v>8.1300000000000008</v>
      </c>
      <c r="H14" s="36">
        <v>116000000</v>
      </c>
      <c r="I14" s="36">
        <v>7.17</v>
      </c>
      <c r="J14" s="36">
        <v>89900000</v>
      </c>
      <c r="K14" s="36">
        <v>7.86</v>
      </c>
      <c r="L14" s="36">
        <v>95300000</v>
      </c>
      <c r="M14" s="36">
        <v>7.17</v>
      </c>
      <c r="N14" s="36">
        <v>74300000</v>
      </c>
      <c r="O14" s="36">
        <v>8.23</v>
      </c>
      <c r="P14" s="36">
        <v>63200000</v>
      </c>
      <c r="Q14" s="36">
        <v>10.6</v>
      </c>
      <c r="R14" s="36">
        <v>85000000</v>
      </c>
      <c r="S14" s="36">
        <v>5.08</v>
      </c>
      <c r="T14" s="36">
        <v>73100000</v>
      </c>
      <c r="U14" s="36">
        <v>9.98</v>
      </c>
      <c r="V14" s="36">
        <v>77600000</v>
      </c>
      <c r="W14" s="36">
        <v>7.95</v>
      </c>
      <c r="X14" s="36">
        <v>70400000</v>
      </c>
      <c r="Y14" s="36">
        <v>5.81</v>
      </c>
      <c r="Z14" s="36">
        <v>75900000</v>
      </c>
      <c r="AA14" s="36">
        <v>18.3</v>
      </c>
      <c r="AB14" s="36">
        <v>82100000</v>
      </c>
      <c r="AC14" s="36">
        <v>10.3</v>
      </c>
      <c r="AD14" s="36">
        <v>68800000</v>
      </c>
      <c r="AE14" s="36">
        <v>4.71</v>
      </c>
      <c r="AF14" s="36">
        <v>70300000</v>
      </c>
      <c r="AG14" s="36">
        <v>11.3</v>
      </c>
      <c r="AH14" s="36">
        <v>91000000</v>
      </c>
      <c r="AI14" s="36">
        <v>10.4</v>
      </c>
      <c r="AJ14" s="36">
        <v>77500000</v>
      </c>
      <c r="AK14" s="36">
        <v>15.4</v>
      </c>
      <c r="AL14" s="36">
        <v>95400000</v>
      </c>
      <c r="AM14" s="36">
        <v>10.7</v>
      </c>
      <c r="AN14" s="36">
        <v>86900000</v>
      </c>
      <c r="AO14" s="36">
        <v>14.9</v>
      </c>
      <c r="AP14" s="36">
        <v>70900000</v>
      </c>
      <c r="AQ14" s="36">
        <v>13.1</v>
      </c>
      <c r="AR14" s="36">
        <v>64900000</v>
      </c>
      <c r="AS14" s="36">
        <v>9.2899999999999991</v>
      </c>
      <c r="AT14" s="36">
        <v>85500000</v>
      </c>
      <c r="AU14" s="36">
        <v>14.6</v>
      </c>
      <c r="AV14" s="36">
        <v>79400000</v>
      </c>
      <c r="AW14" s="36">
        <v>9.44</v>
      </c>
      <c r="AX14" s="36">
        <v>59500000</v>
      </c>
      <c r="AY14" s="36">
        <v>7.77</v>
      </c>
      <c r="AZ14" s="5"/>
      <c r="BA14" s="36">
        <v>77000000</v>
      </c>
      <c r="BB14" s="36">
        <v>3.01</v>
      </c>
      <c r="BC14" s="36">
        <v>114000000</v>
      </c>
      <c r="BD14" s="36">
        <v>8.49</v>
      </c>
      <c r="BE14" s="36">
        <v>148000000</v>
      </c>
      <c r="BF14" s="36">
        <v>6.64</v>
      </c>
      <c r="BG14" s="36">
        <v>126000000</v>
      </c>
      <c r="BH14" s="36">
        <v>5.98</v>
      </c>
      <c r="BI14" s="36">
        <v>128000000</v>
      </c>
      <c r="BJ14" s="36">
        <v>9.7100000000000009</v>
      </c>
      <c r="BK14" s="5"/>
      <c r="BL14" s="36">
        <v>56600000</v>
      </c>
      <c r="BM14" s="36">
        <v>4.4400000000000004</v>
      </c>
      <c r="BN14" s="36">
        <v>61900000</v>
      </c>
      <c r="BO14" s="36">
        <v>7.82</v>
      </c>
      <c r="BP14" s="36">
        <v>86600000</v>
      </c>
      <c r="BQ14" s="36">
        <v>3.5</v>
      </c>
      <c r="BR14" s="36">
        <v>109000000</v>
      </c>
      <c r="BS14" s="36">
        <v>13.8</v>
      </c>
      <c r="BT14" s="36">
        <v>92800000</v>
      </c>
      <c r="BU14" s="36">
        <v>5.28</v>
      </c>
      <c r="BV14" s="36">
        <v>71500000</v>
      </c>
      <c r="BW14" s="36">
        <v>8.08</v>
      </c>
      <c r="BX14" s="36">
        <v>87100000</v>
      </c>
      <c r="BY14" s="36">
        <v>10.9</v>
      </c>
      <c r="BZ14" s="36">
        <v>92300000</v>
      </c>
      <c r="CA14" s="36">
        <v>11.7</v>
      </c>
      <c r="CB14" s="36">
        <v>108000000</v>
      </c>
      <c r="CC14" s="36">
        <v>7.63</v>
      </c>
      <c r="CD14" s="36">
        <v>79100000</v>
      </c>
      <c r="CE14" s="36">
        <v>8.52</v>
      </c>
      <c r="CF14" s="36">
        <v>67900000</v>
      </c>
      <c r="CG14" s="36">
        <v>12.1</v>
      </c>
      <c r="CH14" s="36">
        <v>81200000</v>
      </c>
      <c r="CI14" s="36">
        <v>8.3699999999999992</v>
      </c>
      <c r="CJ14" s="36">
        <v>64500000</v>
      </c>
      <c r="CK14" s="36">
        <v>10.4</v>
      </c>
      <c r="CL14" s="36">
        <v>57900000</v>
      </c>
      <c r="CM14" s="36">
        <v>8.8800000000000008</v>
      </c>
      <c r="CN14" s="36">
        <v>61700000</v>
      </c>
      <c r="CO14" s="36">
        <v>14.7</v>
      </c>
      <c r="CP14" s="5"/>
      <c r="CQ14" s="36">
        <v>78500000</v>
      </c>
      <c r="CR14" s="36">
        <v>17200000</v>
      </c>
      <c r="CS14" s="46">
        <v>21.9</v>
      </c>
    </row>
    <row r="15" spans="1:97">
      <c r="A15" s="13" t="s">
        <v>151</v>
      </c>
      <c r="B15" s="35">
        <v>475000000</v>
      </c>
      <c r="C15" s="35">
        <v>8.49</v>
      </c>
      <c r="D15" s="35">
        <v>447000000</v>
      </c>
      <c r="E15" s="35">
        <v>6.15</v>
      </c>
      <c r="F15" s="35">
        <v>586000000</v>
      </c>
      <c r="G15" s="35">
        <v>5.93</v>
      </c>
      <c r="H15" s="35">
        <v>548000000</v>
      </c>
      <c r="I15" s="35">
        <v>8.74</v>
      </c>
      <c r="J15" s="35">
        <v>474000000</v>
      </c>
      <c r="K15" s="35">
        <v>7.3</v>
      </c>
      <c r="L15" s="35">
        <v>537000000</v>
      </c>
      <c r="M15" s="35">
        <v>7.74</v>
      </c>
      <c r="N15" s="35">
        <v>496000000</v>
      </c>
      <c r="O15" s="35">
        <v>9.2100000000000009</v>
      </c>
      <c r="P15" s="35">
        <v>444000000</v>
      </c>
      <c r="Q15" s="35">
        <v>8.2200000000000006</v>
      </c>
      <c r="R15" s="35">
        <v>517000000</v>
      </c>
      <c r="S15" s="35">
        <v>9.1300000000000008</v>
      </c>
      <c r="T15" s="35">
        <v>403000000</v>
      </c>
      <c r="U15" s="35">
        <v>9.83</v>
      </c>
      <c r="V15" s="35">
        <v>462000000</v>
      </c>
      <c r="W15" s="35">
        <v>5.41</v>
      </c>
      <c r="X15" s="35">
        <v>469000000</v>
      </c>
      <c r="Y15" s="35">
        <v>17.5</v>
      </c>
      <c r="Z15" s="35">
        <v>498000000</v>
      </c>
      <c r="AA15" s="35">
        <v>22.8</v>
      </c>
      <c r="AB15" s="35">
        <v>431000000</v>
      </c>
      <c r="AC15" s="35">
        <v>12</v>
      </c>
      <c r="AD15" s="35">
        <v>460000000</v>
      </c>
      <c r="AE15" s="35">
        <v>8.67</v>
      </c>
      <c r="AF15" s="35">
        <v>432000000</v>
      </c>
      <c r="AG15" s="35">
        <v>8.4600000000000009</v>
      </c>
      <c r="AH15" s="35">
        <v>618000000</v>
      </c>
      <c r="AI15" s="35">
        <v>16.3</v>
      </c>
      <c r="AJ15" s="35">
        <v>319000000</v>
      </c>
      <c r="AK15" s="35">
        <v>11.4</v>
      </c>
      <c r="AL15" s="35">
        <v>565000000</v>
      </c>
      <c r="AM15" s="35">
        <v>10.7</v>
      </c>
      <c r="AN15" s="35">
        <v>364000000</v>
      </c>
      <c r="AO15" s="35">
        <v>9.06</v>
      </c>
      <c r="AP15" s="35">
        <v>427000000</v>
      </c>
      <c r="AQ15" s="35">
        <v>8.16</v>
      </c>
      <c r="AR15" s="35">
        <v>384000000</v>
      </c>
      <c r="AS15" s="35">
        <v>7.31</v>
      </c>
      <c r="AT15" s="35">
        <v>441000000</v>
      </c>
      <c r="AU15" s="35">
        <v>8.6199999999999992</v>
      </c>
      <c r="AV15" s="35">
        <v>503000000</v>
      </c>
      <c r="AW15" s="35">
        <v>7.98</v>
      </c>
      <c r="AX15" s="35">
        <v>488000000</v>
      </c>
      <c r="AY15" s="35">
        <v>12.9</v>
      </c>
      <c r="AZ15" s="3"/>
      <c r="BA15" s="35">
        <v>327000000</v>
      </c>
      <c r="BB15" s="35">
        <v>6.63</v>
      </c>
      <c r="BC15" s="35">
        <v>783000000</v>
      </c>
      <c r="BD15" s="35">
        <v>5.4</v>
      </c>
      <c r="BE15" s="35">
        <v>1220000000</v>
      </c>
      <c r="BF15" s="35">
        <v>6.62</v>
      </c>
      <c r="BG15" s="35">
        <v>1370000000</v>
      </c>
      <c r="BH15" s="35">
        <v>7.96</v>
      </c>
      <c r="BI15" s="35">
        <v>985000000</v>
      </c>
      <c r="BJ15" s="35">
        <v>7.86</v>
      </c>
      <c r="BK15" s="3"/>
      <c r="BL15" s="35">
        <v>561000000</v>
      </c>
      <c r="BM15" s="35">
        <v>4.8600000000000003</v>
      </c>
      <c r="BN15" s="35">
        <v>593000000</v>
      </c>
      <c r="BO15" s="35">
        <v>5.72</v>
      </c>
      <c r="BP15" s="35">
        <v>521000000</v>
      </c>
      <c r="BQ15" s="35">
        <v>9.26</v>
      </c>
      <c r="BR15" s="35">
        <v>550000000</v>
      </c>
      <c r="BS15" s="35">
        <v>13.1</v>
      </c>
      <c r="BT15" s="35">
        <v>441000000</v>
      </c>
      <c r="BU15" s="35">
        <v>2.56</v>
      </c>
      <c r="BV15" s="35">
        <v>408000000</v>
      </c>
      <c r="BW15" s="35">
        <v>15.2</v>
      </c>
      <c r="BX15" s="35">
        <v>479000000</v>
      </c>
      <c r="BY15" s="35">
        <v>5.4</v>
      </c>
      <c r="BZ15" s="35">
        <v>580000000</v>
      </c>
      <c r="CA15" s="35">
        <v>7.11</v>
      </c>
      <c r="CB15" s="35">
        <v>584000000</v>
      </c>
      <c r="CC15" s="35">
        <v>7.87</v>
      </c>
      <c r="CD15" s="35">
        <v>379000000</v>
      </c>
      <c r="CE15" s="35">
        <v>11.1</v>
      </c>
      <c r="CF15" s="35">
        <v>457000000</v>
      </c>
      <c r="CG15" s="35">
        <v>6.92</v>
      </c>
      <c r="CH15" s="35">
        <v>426000000</v>
      </c>
      <c r="CI15" s="35">
        <v>5.35</v>
      </c>
      <c r="CJ15" s="35">
        <v>379000000</v>
      </c>
      <c r="CK15" s="35">
        <v>8.52</v>
      </c>
      <c r="CL15" s="35">
        <v>382000000</v>
      </c>
      <c r="CM15" s="35">
        <v>5.33</v>
      </c>
      <c r="CN15" s="35">
        <v>353000000</v>
      </c>
      <c r="CO15" s="35">
        <v>9.41</v>
      </c>
      <c r="CP15" s="3"/>
      <c r="CQ15" s="35">
        <v>473000000</v>
      </c>
      <c r="CR15" s="35">
        <v>85400000</v>
      </c>
      <c r="CS15" s="45">
        <v>18.100000000000001</v>
      </c>
    </row>
    <row r="16" spans="1:97">
      <c r="A16" s="13" t="s">
        <v>152</v>
      </c>
      <c r="B16" s="36">
        <v>89700000</v>
      </c>
      <c r="C16" s="36">
        <v>11.4</v>
      </c>
      <c r="D16" s="36">
        <v>131000000</v>
      </c>
      <c r="E16" s="36">
        <v>5.69</v>
      </c>
      <c r="F16" s="36">
        <v>68600000</v>
      </c>
      <c r="G16" s="36">
        <v>10.199999999999999</v>
      </c>
      <c r="H16" s="36">
        <v>40100000</v>
      </c>
      <c r="I16" s="36">
        <v>7.87</v>
      </c>
      <c r="J16" s="36">
        <v>41800000</v>
      </c>
      <c r="K16" s="36">
        <v>6.24</v>
      </c>
      <c r="L16" s="36">
        <v>87200000</v>
      </c>
      <c r="M16" s="36">
        <v>7.08</v>
      </c>
      <c r="N16" s="36">
        <v>107000000</v>
      </c>
      <c r="O16" s="36">
        <v>4.47</v>
      </c>
      <c r="P16" s="36">
        <v>92200000</v>
      </c>
      <c r="Q16" s="36">
        <v>7.47</v>
      </c>
      <c r="R16" s="36">
        <v>81600000</v>
      </c>
      <c r="S16" s="36">
        <v>13.7</v>
      </c>
      <c r="T16" s="36">
        <v>7.43E-23</v>
      </c>
      <c r="U16" s="36">
        <v>0</v>
      </c>
      <c r="V16" s="36">
        <v>82500000</v>
      </c>
      <c r="W16" s="36">
        <v>2.61</v>
      </c>
      <c r="X16" s="36">
        <v>79100000</v>
      </c>
      <c r="Y16" s="36">
        <v>9.34</v>
      </c>
      <c r="Z16" s="36">
        <v>89000000</v>
      </c>
      <c r="AA16" s="36">
        <v>15.9</v>
      </c>
      <c r="AB16" s="36">
        <v>98700000</v>
      </c>
      <c r="AC16" s="36">
        <v>9.1300000000000008</v>
      </c>
      <c r="AD16" s="36">
        <v>92800000</v>
      </c>
      <c r="AE16" s="36">
        <v>8.2799999999999994</v>
      </c>
      <c r="AF16" s="36">
        <v>79400000</v>
      </c>
      <c r="AG16" s="36">
        <v>6.88</v>
      </c>
      <c r="AH16" s="36">
        <v>82500000</v>
      </c>
      <c r="AI16" s="36">
        <v>13.9</v>
      </c>
      <c r="AJ16" s="36">
        <v>89800000</v>
      </c>
      <c r="AK16" s="36">
        <v>11</v>
      </c>
      <c r="AL16" s="36">
        <v>53500000</v>
      </c>
      <c r="AM16" s="36">
        <v>9.43</v>
      </c>
      <c r="AN16" s="36">
        <v>96300000</v>
      </c>
      <c r="AO16" s="36">
        <v>7.28</v>
      </c>
      <c r="AP16" s="36">
        <v>93400000</v>
      </c>
      <c r="AQ16" s="36">
        <v>11.9</v>
      </c>
      <c r="AR16" s="36">
        <v>116000000</v>
      </c>
      <c r="AS16" s="36">
        <v>10.6</v>
      </c>
      <c r="AT16" s="36">
        <v>102000000</v>
      </c>
      <c r="AU16" s="36">
        <v>12</v>
      </c>
      <c r="AV16" s="36">
        <v>109000000</v>
      </c>
      <c r="AW16" s="36">
        <v>7.81</v>
      </c>
      <c r="AX16" s="36">
        <v>87600000</v>
      </c>
      <c r="AY16" s="36">
        <v>10.199999999999999</v>
      </c>
      <c r="AZ16" s="5"/>
      <c r="BA16" s="36">
        <v>122000000</v>
      </c>
      <c r="BB16" s="36">
        <v>12</v>
      </c>
      <c r="BC16" s="36">
        <v>39500000</v>
      </c>
      <c r="BD16" s="36">
        <v>5.99</v>
      </c>
      <c r="BE16" s="36">
        <v>18500000</v>
      </c>
      <c r="BF16" s="36">
        <v>10.3</v>
      </c>
      <c r="BG16" s="36">
        <v>33500000</v>
      </c>
      <c r="BH16" s="36">
        <v>8.2100000000000009</v>
      </c>
      <c r="BI16" s="36">
        <v>21800000</v>
      </c>
      <c r="BJ16" s="36">
        <v>7.82</v>
      </c>
      <c r="BK16" s="5"/>
      <c r="BL16" s="36">
        <v>115000000</v>
      </c>
      <c r="BM16" s="36">
        <v>12.3</v>
      </c>
      <c r="BN16" s="36">
        <v>93300000</v>
      </c>
      <c r="BO16" s="36">
        <v>15.9</v>
      </c>
      <c r="BP16" s="36">
        <v>78700000</v>
      </c>
      <c r="BQ16" s="36">
        <v>2.67</v>
      </c>
      <c r="BR16" s="36">
        <v>72700000</v>
      </c>
      <c r="BS16" s="36">
        <v>11.2</v>
      </c>
      <c r="BT16" s="36">
        <v>85900000</v>
      </c>
      <c r="BU16" s="36">
        <v>4.7</v>
      </c>
      <c r="BV16" s="36">
        <v>58600000</v>
      </c>
      <c r="BW16" s="36">
        <v>9.99</v>
      </c>
      <c r="BX16" s="36">
        <v>79900000</v>
      </c>
      <c r="BY16" s="36">
        <v>6.87</v>
      </c>
      <c r="BZ16" s="36">
        <v>149000000</v>
      </c>
      <c r="CA16" s="36">
        <v>2.87</v>
      </c>
      <c r="CB16" s="36">
        <v>146000000</v>
      </c>
      <c r="CC16" s="36">
        <v>2.68</v>
      </c>
      <c r="CD16" s="36">
        <v>95400000</v>
      </c>
      <c r="CE16" s="36">
        <v>5.9</v>
      </c>
      <c r="CF16" s="36">
        <v>107000000</v>
      </c>
      <c r="CG16" s="36">
        <v>5.59</v>
      </c>
      <c r="CH16" s="36">
        <v>89000000</v>
      </c>
      <c r="CI16" s="36">
        <v>8.8699999999999992</v>
      </c>
      <c r="CJ16" s="36">
        <v>94900000</v>
      </c>
      <c r="CK16" s="36">
        <v>11.5</v>
      </c>
      <c r="CL16" s="36">
        <v>92100000</v>
      </c>
      <c r="CM16" s="36">
        <v>5.5</v>
      </c>
      <c r="CN16" s="36">
        <v>80500000</v>
      </c>
      <c r="CO16" s="36">
        <v>2.4500000000000002</v>
      </c>
      <c r="CP16" s="5"/>
      <c r="CQ16" s="36">
        <v>95900000</v>
      </c>
      <c r="CR16" s="36">
        <v>24900000</v>
      </c>
      <c r="CS16" s="46">
        <v>26</v>
      </c>
    </row>
    <row r="17" spans="1:97">
      <c r="A17" s="13" t="s">
        <v>153</v>
      </c>
      <c r="B17" s="35">
        <v>34300000</v>
      </c>
      <c r="C17" s="35">
        <v>11.2</v>
      </c>
      <c r="D17" s="35">
        <v>26600000</v>
      </c>
      <c r="E17" s="35">
        <v>9.5500000000000007</v>
      </c>
      <c r="F17" s="35">
        <v>48100000</v>
      </c>
      <c r="G17" s="35">
        <v>6.3</v>
      </c>
      <c r="H17" s="35">
        <v>53900000</v>
      </c>
      <c r="I17" s="35">
        <v>4.4000000000000004</v>
      </c>
      <c r="J17" s="35">
        <v>48400000</v>
      </c>
      <c r="K17" s="35">
        <v>4.2699999999999996</v>
      </c>
      <c r="L17" s="35">
        <v>49600000</v>
      </c>
      <c r="M17" s="35">
        <v>6.61</v>
      </c>
      <c r="N17" s="35">
        <v>41700000</v>
      </c>
      <c r="O17" s="35">
        <v>6.63</v>
      </c>
      <c r="P17" s="35">
        <v>33700000</v>
      </c>
      <c r="Q17" s="35">
        <v>11</v>
      </c>
      <c r="R17" s="35">
        <v>47200000</v>
      </c>
      <c r="S17" s="35">
        <v>9.18</v>
      </c>
      <c r="T17" s="35">
        <v>97500000</v>
      </c>
      <c r="U17" s="35">
        <v>14.7</v>
      </c>
      <c r="V17" s="35">
        <v>37900000</v>
      </c>
      <c r="W17" s="35">
        <v>5.93</v>
      </c>
      <c r="X17" s="35">
        <v>40100000</v>
      </c>
      <c r="Y17" s="35">
        <v>13.1</v>
      </c>
      <c r="Z17" s="35">
        <v>42400000</v>
      </c>
      <c r="AA17" s="35">
        <v>20.8</v>
      </c>
      <c r="AB17" s="35">
        <v>39100000</v>
      </c>
      <c r="AC17" s="35">
        <v>14.4</v>
      </c>
      <c r="AD17" s="35">
        <v>35700000</v>
      </c>
      <c r="AE17" s="35">
        <v>10.4</v>
      </c>
      <c r="AF17" s="35">
        <v>35300000</v>
      </c>
      <c r="AG17" s="35">
        <v>9.69</v>
      </c>
      <c r="AH17" s="35">
        <v>46400000</v>
      </c>
      <c r="AI17" s="35">
        <v>19.5</v>
      </c>
      <c r="AJ17" s="35">
        <v>26600000</v>
      </c>
      <c r="AK17" s="35">
        <v>13.3</v>
      </c>
      <c r="AL17" s="35">
        <v>35500000</v>
      </c>
      <c r="AM17" s="35">
        <v>13.8</v>
      </c>
      <c r="AN17" s="35">
        <v>35000000</v>
      </c>
      <c r="AO17" s="35">
        <v>11.4</v>
      </c>
      <c r="AP17" s="35">
        <v>34000000</v>
      </c>
      <c r="AQ17" s="35">
        <v>8.07</v>
      </c>
      <c r="AR17" s="35">
        <v>54700000</v>
      </c>
      <c r="AS17" s="35">
        <v>4.9000000000000004</v>
      </c>
      <c r="AT17" s="35">
        <v>39300000</v>
      </c>
      <c r="AU17" s="35">
        <v>10</v>
      </c>
      <c r="AV17" s="35">
        <v>43100000</v>
      </c>
      <c r="AW17" s="35">
        <v>6.59</v>
      </c>
      <c r="AX17" s="35">
        <v>37500000</v>
      </c>
      <c r="AY17" s="35">
        <v>14</v>
      </c>
      <c r="AZ17" s="3"/>
      <c r="BA17" s="35">
        <v>79800000</v>
      </c>
      <c r="BB17" s="35">
        <v>3.77</v>
      </c>
      <c r="BC17" s="35">
        <v>23000000</v>
      </c>
      <c r="BD17" s="35">
        <v>5.96</v>
      </c>
      <c r="BE17" s="35">
        <v>25200000</v>
      </c>
      <c r="BF17" s="35">
        <v>10.5</v>
      </c>
      <c r="BG17" s="35">
        <v>45500000</v>
      </c>
      <c r="BH17" s="35">
        <v>7.45</v>
      </c>
      <c r="BI17" s="35">
        <v>32300000</v>
      </c>
      <c r="BJ17" s="35">
        <v>8.1999999999999993</v>
      </c>
      <c r="BK17" s="3"/>
      <c r="BL17" s="35">
        <v>59500000</v>
      </c>
      <c r="BM17" s="35">
        <v>6.18</v>
      </c>
      <c r="BN17" s="35">
        <v>51200000</v>
      </c>
      <c r="BO17" s="35">
        <v>3.05</v>
      </c>
      <c r="BP17" s="35">
        <v>48000000</v>
      </c>
      <c r="BQ17" s="35">
        <v>2.95</v>
      </c>
      <c r="BR17" s="35">
        <v>40300000</v>
      </c>
      <c r="BS17" s="35">
        <v>6.66</v>
      </c>
      <c r="BT17" s="35">
        <v>42600000</v>
      </c>
      <c r="BU17" s="35">
        <v>2.38</v>
      </c>
      <c r="BV17" s="35">
        <v>39600000</v>
      </c>
      <c r="BW17" s="35">
        <v>16.100000000000001</v>
      </c>
      <c r="BX17" s="35">
        <v>49200000</v>
      </c>
      <c r="BY17" s="35">
        <v>6.04</v>
      </c>
      <c r="BZ17" s="35">
        <v>41800000</v>
      </c>
      <c r="CA17" s="35">
        <v>8.14</v>
      </c>
      <c r="CB17" s="35">
        <v>43200000</v>
      </c>
      <c r="CC17" s="35">
        <v>10.1</v>
      </c>
      <c r="CD17" s="35">
        <v>42300000</v>
      </c>
      <c r="CE17" s="35">
        <v>6.88</v>
      </c>
      <c r="CF17" s="35">
        <v>44200000</v>
      </c>
      <c r="CG17" s="35">
        <v>7.75</v>
      </c>
      <c r="CH17" s="35">
        <v>44700000</v>
      </c>
      <c r="CI17" s="35">
        <v>7</v>
      </c>
      <c r="CJ17" s="35">
        <v>35600000</v>
      </c>
      <c r="CK17" s="35">
        <v>9.83</v>
      </c>
      <c r="CL17" s="35">
        <v>44800000</v>
      </c>
      <c r="CM17" s="35">
        <v>10.4</v>
      </c>
      <c r="CN17" s="35">
        <v>43900000</v>
      </c>
      <c r="CO17" s="35">
        <v>12.4</v>
      </c>
      <c r="CP17" s="3"/>
      <c r="CQ17" s="35">
        <v>44700000</v>
      </c>
      <c r="CR17" s="35">
        <v>5630000</v>
      </c>
      <c r="CS17" s="45">
        <v>12.6</v>
      </c>
    </row>
    <row r="18" spans="1:97">
      <c r="A18" s="13" t="s">
        <v>154</v>
      </c>
      <c r="B18" s="36">
        <v>214000000</v>
      </c>
      <c r="C18" s="36">
        <v>12.6</v>
      </c>
      <c r="D18" s="36">
        <v>146000000</v>
      </c>
      <c r="E18" s="36">
        <v>5.22</v>
      </c>
      <c r="F18" s="36">
        <v>257000000</v>
      </c>
      <c r="G18" s="36">
        <v>10.8</v>
      </c>
      <c r="H18" s="36">
        <v>283000000</v>
      </c>
      <c r="I18" s="36">
        <v>9.67</v>
      </c>
      <c r="J18" s="36">
        <v>226000000</v>
      </c>
      <c r="K18" s="36">
        <v>11.7</v>
      </c>
      <c r="L18" s="36">
        <v>220000000</v>
      </c>
      <c r="M18" s="36">
        <v>10.4</v>
      </c>
      <c r="N18" s="36">
        <v>183000000</v>
      </c>
      <c r="O18" s="36">
        <v>5.53</v>
      </c>
      <c r="P18" s="36">
        <v>173000000</v>
      </c>
      <c r="Q18" s="36">
        <v>9.36</v>
      </c>
      <c r="R18" s="36">
        <v>213000000</v>
      </c>
      <c r="S18" s="36">
        <v>6.7</v>
      </c>
      <c r="T18" s="36">
        <v>205000000</v>
      </c>
      <c r="U18" s="36">
        <v>14.6</v>
      </c>
      <c r="V18" s="36">
        <v>208000000</v>
      </c>
      <c r="W18" s="36">
        <v>7.28</v>
      </c>
      <c r="X18" s="36">
        <v>243000000</v>
      </c>
      <c r="Y18" s="36">
        <v>14.8</v>
      </c>
      <c r="Z18" s="36">
        <v>228000000</v>
      </c>
      <c r="AA18" s="36">
        <v>9.4499999999999993</v>
      </c>
      <c r="AB18" s="36">
        <v>215000000</v>
      </c>
      <c r="AC18" s="36">
        <v>14.1</v>
      </c>
      <c r="AD18" s="36">
        <v>194000000</v>
      </c>
      <c r="AE18" s="36">
        <v>3.18</v>
      </c>
      <c r="AF18" s="36">
        <v>254000000</v>
      </c>
      <c r="AG18" s="36">
        <v>11.4</v>
      </c>
      <c r="AH18" s="36">
        <v>206000000</v>
      </c>
      <c r="AI18" s="36">
        <v>10.7</v>
      </c>
      <c r="AJ18" s="36">
        <v>228000000</v>
      </c>
      <c r="AK18" s="36">
        <v>10.3</v>
      </c>
      <c r="AL18" s="36">
        <v>272000000</v>
      </c>
      <c r="AM18" s="36">
        <v>8.9</v>
      </c>
      <c r="AN18" s="36">
        <v>195000000</v>
      </c>
      <c r="AO18" s="36">
        <v>8.8000000000000007</v>
      </c>
      <c r="AP18" s="36">
        <v>197000000</v>
      </c>
      <c r="AQ18" s="36">
        <v>5.48</v>
      </c>
      <c r="AR18" s="36">
        <v>137000000</v>
      </c>
      <c r="AS18" s="36">
        <v>9.68</v>
      </c>
      <c r="AT18" s="36">
        <v>221000000</v>
      </c>
      <c r="AU18" s="36">
        <v>9.1999999999999993</v>
      </c>
      <c r="AV18" s="36">
        <v>202000000</v>
      </c>
      <c r="AW18" s="36">
        <v>7.09</v>
      </c>
      <c r="AX18" s="36">
        <v>171000000</v>
      </c>
      <c r="AY18" s="36">
        <v>4.63</v>
      </c>
      <c r="AZ18" s="5"/>
      <c r="BA18" s="36">
        <v>220000000</v>
      </c>
      <c r="BB18" s="36">
        <v>5.21</v>
      </c>
      <c r="BC18" s="36">
        <v>222000000</v>
      </c>
      <c r="BD18" s="36">
        <v>7.86</v>
      </c>
      <c r="BE18" s="36">
        <v>412000000</v>
      </c>
      <c r="BF18" s="36">
        <v>12.1</v>
      </c>
      <c r="BG18" s="36">
        <v>399000000</v>
      </c>
      <c r="BH18" s="36">
        <v>6.96</v>
      </c>
      <c r="BI18" s="36">
        <v>407000000</v>
      </c>
      <c r="BJ18" s="36">
        <v>7.15</v>
      </c>
      <c r="BK18" s="5"/>
      <c r="BL18" s="36">
        <v>152000000</v>
      </c>
      <c r="BM18" s="36">
        <v>2.85</v>
      </c>
      <c r="BN18" s="36">
        <v>207000000</v>
      </c>
      <c r="BO18" s="36">
        <v>4.62</v>
      </c>
      <c r="BP18" s="36">
        <v>184000000</v>
      </c>
      <c r="BQ18" s="36">
        <v>0.84399999999999997</v>
      </c>
      <c r="BR18" s="36">
        <v>238000000</v>
      </c>
      <c r="BS18" s="36">
        <v>11.6</v>
      </c>
      <c r="BT18" s="36">
        <v>241000000</v>
      </c>
      <c r="BU18" s="36">
        <v>4.34</v>
      </c>
      <c r="BV18" s="36">
        <v>255000000</v>
      </c>
      <c r="BW18" s="36">
        <v>12.4</v>
      </c>
      <c r="BX18" s="36">
        <v>286000000</v>
      </c>
      <c r="BY18" s="36">
        <v>7.61</v>
      </c>
      <c r="BZ18" s="36">
        <v>200000000</v>
      </c>
      <c r="CA18" s="36">
        <v>11.2</v>
      </c>
      <c r="CB18" s="36">
        <v>266000000</v>
      </c>
      <c r="CC18" s="36">
        <v>7.73</v>
      </c>
      <c r="CD18" s="36">
        <v>260000000</v>
      </c>
      <c r="CE18" s="36">
        <v>9.0299999999999994</v>
      </c>
      <c r="CF18" s="36">
        <v>175000000</v>
      </c>
      <c r="CG18" s="36">
        <v>13.8</v>
      </c>
      <c r="CH18" s="36">
        <v>178000000</v>
      </c>
      <c r="CI18" s="36">
        <v>10.7</v>
      </c>
      <c r="CJ18" s="36">
        <v>195000000</v>
      </c>
      <c r="CK18" s="36">
        <v>12.8</v>
      </c>
      <c r="CL18" s="36">
        <v>254000000</v>
      </c>
      <c r="CM18" s="36">
        <v>11.4</v>
      </c>
      <c r="CN18" s="36">
        <v>259000000</v>
      </c>
      <c r="CO18" s="36">
        <v>2.15</v>
      </c>
      <c r="CP18" s="5"/>
      <c r="CQ18" s="36">
        <v>223000000</v>
      </c>
      <c r="CR18" s="36">
        <v>41100000</v>
      </c>
      <c r="CS18" s="46">
        <v>18.399999999999999</v>
      </c>
    </row>
    <row r="19" spans="1:97">
      <c r="A19" s="13" t="s">
        <v>121</v>
      </c>
      <c r="B19" s="35">
        <v>180000000</v>
      </c>
      <c r="C19" s="35">
        <v>11.7</v>
      </c>
      <c r="D19" s="35">
        <v>239000000</v>
      </c>
      <c r="E19" s="35">
        <v>12.7</v>
      </c>
      <c r="F19" s="35">
        <v>241000000</v>
      </c>
      <c r="G19" s="35">
        <v>3.33</v>
      </c>
      <c r="H19" s="35">
        <v>225000000</v>
      </c>
      <c r="I19" s="35">
        <v>8.91</v>
      </c>
      <c r="J19" s="35">
        <v>223000000</v>
      </c>
      <c r="K19" s="35">
        <v>8.11</v>
      </c>
      <c r="L19" s="35">
        <v>258000000</v>
      </c>
      <c r="M19" s="35">
        <v>4.4000000000000004</v>
      </c>
      <c r="N19" s="35">
        <v>279000000</v>
      </c>
      <c r="O19" s="35">
        <v>7.5</v>
      </c>
      <c r="P19" s="35">
        <v>208000000</v>
      </c>
      <c r="Q19" s="35">
        <v>6.09</v>
      </c>
      <c r="R19" s="35">
        <v>290000000</v>
      </c>
      <c r="S19" s="35">
        <v>7.89</v>
      </c>
      <c r="T19" s="35">
        <v>235000000</v>
      </c>
      <c r="U19" s="35">
        <v>13.2</v>
      </c>
      <c r="V19" s="35">
        <v>1.9299999999999999E-22</v>
      </c>
      <c r="W19" s="35">
        <v>0</v>
      </c>
      <c r="X19" s="35">
        <v>201000000</v>
      </c>
      <c r="Y19" s="35">
        <v>12.7</v>
      </c>
      <c r="Z19" s="35">
        <v>206000000</v>
      </c>
      <c r="AA19" s="35">
        <v>16.100000000000001</v>
      </c>
      <c r="AB19" s="35">
        <v>230000000</v>
      </c>
      <c r="AC19" s="35">
        <v>8.11</v>
      </c>
      <c r="AD19" s="35">
        <v>190000000</v>
      </c>
      <c r="AE19" s="35">
        <v>12.7</v>
      </c>
      <c r="AF19" s="35">
        <v>212000000</v>
      </c>
      <c r="AG19" s="35">
        <v>13.4</v>
      </c>
      <c r="AH19" s="35">
        <v>224000000</v>
      </c>
      <c r="AI19" s="35">
        <v>13.5</v>
      </c>
      <c r="AJ19" s="35">
        <v>164000000</v>
      </c>
      <c r="AK19" s="35">
        <v>18.7</v>
      </c>
      <c r="AL19" s="35">
        <v>282000000</v>
      </c>
      <c r="AM19" s="35">
        <v>11.7</v>
      </c>
      <c r="AN19" s="35">
        <v>238000000</v>
      </c>
      <c r="AO19" s="35">
        <v>3.33</v>
      </c>
      <c r="AP19" s="35">
        <v>197000000</v>
      </c>
      <c r="AQ19" s="35">
        <v>19.600000000000001</v>
      </c>
      <c r="AR19" s="35">
        <v>254000000</v>
      </c>
      <c r="AS19" s="35">
        <v>3.77</v>
      </c>
      <c r="AT19" s="35">
        <v>225000000</v>
      </c>
      <c r="AU19" s="35">
        <v>14.4</v>
      </c>
      <c r="AV19" s="35">
        <v>247000000</v>
      </c>
      <c r="AW19" s="35">
        <v>7.25</v>
      </c>
      <c r="AX19" s="35">
        <v>210000000</v>
      </c>
      <c r="AY19" s="35">
        <v>24.4</v>
      </c>
      <c r="AZ19" s="3"/>
      <c r="BA19" s="35">
        <v>291000000</v>
      </c>
      <c r="BB19" s="35">
        <v>5.42</v>
      </c>
      <c r="BC19" s="35">
        <v>220000000</v>
      </c>
      <c r="BD19" s="35">
        <v>11.9</v>
      </c>
      <c r="BE19" s="35">
        <v>271000000</v>
      </c>
      <c r="BF19" s="35">
        <v>7.39</v>
      </c>
      <c r="BG19" s="35">
        <v>283000000</v>
      </c>
      <c r="BH19" s="35">
        <v>11</v>
      </c>
      <c r="BI19" s="35">
        <v>222000000</v>
      </c>
      <c r="BJ19" s="35">
        <v>9.64</v>
      </c>
      <c r="BK19" s="3"/>
      <c r="BL19" s="35">
        <v>440000000</v>
      </c>
      <c r="BM19" s="35">
        <v>6.79</v>
      </c>
      <c r="BN19" s="35">
        <v>397000000</v>
      </c>
      <c r="BO19" s="35">
        <v>16.399999999999999</v>
      </c>
      <c r="BP19" s="35">
        <v>266000000</v>
      </c>
      <c r="BQ19" s="35">
        <v>15.6</v>
      </c>
      <c r="BR19" s="35">
        <v>264000000</v>
      </c>
      <c r="BS19" s="35">
        <v>6.99</v>
      </c>
      <c r="BT19" s="35">
        <v>226000000</v>
      </c>
      <c r="BU19" s="35">
        <v>12.2</v>
      </c>
      <c r="BV19" s="35">
        <v>231000000</v>
      </c>
      <c r="BW19" s="35">
        <v>12.4</v>
      </c>
      <c r="BX19" s="35">
        <v>259000000</v>
      </c>
      <c r="BY19" s="35">
        <v>2.4700000000000002</v>
      </c>
      <c r="BZ19" s="35">
        <v>258000000</v>
      </c>
      <c r="CA19" s="35">
        <v>9.81</v>
      </c>
      <c r="CB19" s="35">
        <v>271000000</v>
      </c>
      <c r="CC19" s="35">
        <v>8.99</v>
      </c>
      <c r="CD19" s="35">
        <v>259000000</v>
      </c>
      <c r="CE19" s="35">
        <v>10.4</v>
      </c>
      <c r="CF19" s="35">
        <v>324000000</v>
      </c>
      <c r="CG19" s="35">
        <v>10.6</v>
      </c>
      <c r="CH19" s="35">
        <v>241000000</v>
      </c>
      <c r="CI19" s="35">
        <v>16.399999999999999</v>
      </c>
      <c r="CJ19" s="35">
        <v>220000000</v>
      </c>
      <c r="CK19" s="35">
        <v>11.3</v>
      </c>
      <c r="CL19" s="35">
        <v>282000000</v>
      </c>
      <c r="CM19" s="35">
        <v>12.3</v>
      </c>
      <c r="CN19" s="35">
        <v>268000000</v>
      </c>
      <c r="CO19" s="35">
        <v>5.98</v>
      </c>
      <c r="CP19" s="3"/>
      <c r="CQ19" s="35">
        <v>280000000</v>
      </c>
      <c r="CR19" s="35">
        <v>61800000</v>
      </c>
      <c r="CS19" s="45">
        <v>22.1</v>
      </c>
    </row>
    <row r="20" spans="1:97">
      <c r="A20" s="13" t="s">
        <v>122</v>
      </c>
      <c r="B20" s="36">
        <v>17900000</v>
      </c>
      <c r="C20" s="36">
        <v>9.6</v>
      </c>
      <c r="D20" s="36">
        <v>16500000</v>
      </c>
      <c r="E20" s="36">
        <v>4.4400000000000004</v>
      </c>
      <c r="F20" s="36">
        <v>16200000</v>
      </c>
      <c r="G20" s="36">
        <v>20.2</v>
      </c>
      <c r="H20" s="36">
        <v>17200000</v>
      </c>
      <c r="I20" s="36">
        <v>15.5</v>
      </c>
      <c r="J20" s="36">
        <v>14000000</v>
      </c>
      <c r="K20" s="36">
        <v>8.6300000000000008</v>
      </c>
      <c r="L20" s="36">
        <v>24300000</v>
      </c>
      <c r="M20" s="36">
        <v>8.19</v>
      </c>
      <c r="N20" s="36">
        <v>16100000</v>
      </c>
      <c r="O20" s="36">
        <v>7.53</v>
      </c>
      <c r="P20" s="36">
        <v>12400000</v>
      </c>
      <c r="Q20" s="36">
        <v>9.94</v>
      </c>
      <c r="R20" s="36">
        <v>15500000</v>
      </c>
      <c r="S20" s="36">
        <v>6.37</v>
      </c>
      <c r="T20" s="36">
        <v>19700000</v>
      </c>
      <c r="U20" s="36">
        <v>10.8</v>
      </c>
      <c r="V20" s="36">
        <v>14600000</v>
      </c>
      <c r="W20" s="36">
        <v>1.54</v>
      </c>
      <c r="X20" s="36">
        <v>35100</v>
      </c>
      <c r="Y20" s="36">
        <v>37.1</v>
      </c>
      <c r="Z20" s="36">
        <v>17100000</v>
      </c>
      <c r="AA20" s="36">
        <v>16.100000000000001</v>
      </c>
      <c r="AB20" s="36">
        <v>18800000</v>
      </c>
      <c r="AC20" s="36">
        <v>11.7</v>
      </c>
      <c r="AD20" s="36">
        <v>18000000</v>
      </c>
      <c r="AE20" s="36">
        <v>4.68</v>
      </c>
      <c r="AF20" s="36">
        <v>18400000</v>
      </c>
      <c r="AG20" s="36">
        <v>16</v>
      </c>
      <c r="AH20" s="36">
        <v>24700000</v>
      </c>
      <c r="AI20" s="36">
        <v>12.7</v>
      </c>
      <c r="AJ20" s="36">
        <v>13200000</v>
      </c>
      <c r="AK20" s="36">
        <v>12.9</v>
      </c>
      <c r="AL20" s="36">
        <v>9870000</v>
      </c>
      <c r="AM20" s="36">
        <v>18.100000000000001</v>
      </c>
      <c r="AN20" s="36">
        <v>17100000</v>
      </c>
      <c r="AO20" s="36">
        <v>11</v>
      </c>
      <c r="AP20" s="36">
        <v>18900000</v>
      </c>
      <c r="AQ20" s="36">
        <v>15.6</v>
      </c>
      <c r="AR20" s="36">
        <v>13100000</v>
      </c>
      <c r="AS20" s="36">
        <v>10.1</v>
      </c>
      <c r="AT20" s="36">
        <v>21500000</v>
      </c>
      <c r="AU20" s="36">
        <v>12.2</v>
      </c>
      <c r="AV20" s="36">
        <v>18900000</v>
      </c>
      <c r="AW20" s="36">
        <v>11.4</v>
      </c>
      <c r="AX20" s="36">
        <v>12400000</v>
      </c>
      <c r="AY20" s="36">
        <v>8.41</v>
      </c>
      <c r="AZ20" s="5"/>
      <c r="BA20" s="36">
        <v>17700000</v>
      </c>
      <c r="BB20" s="36">
        <v>1.86</v>
      </c>
      <c r="BC20" s="36">
        <v>20800000</v>
      </c>
      <c r="BD20" s="36">
        <v>8.2899999999999991</v>
      </c>
      <c r="BE20" s="36">
        <v>22000000</v>
      </c>
      <c r="BF20" s="36">
        <v>11.8</v>
      </c>
      <c r="BG20" s="36">
        <v>17000000</v>
      </c>
      <c r="BH20" s="36">
        <v>3.5</v>
      </c>
      <c r="BI20" s="36">
        <v>18700000</v>
      </c>
      <c r="BJ20" s="36">
        <v>8.84</v>
      </c>
      <c r="BK20" s="5"/>
      <c r="BL20" s="36">
        <v>17800000</v>
      </c>
      <c r="BM20" s="36">
        <v>11.2</v>
      </c>
      <c r="BN20" s="36">
        <v>22300000</v>
      </c>
      <c r="BO20" s="36">
        <v>2.0499999999999998</v>
      </c>
      <c r="BP20" s="36">
        <v>19200000</v>
      </c>
      <c r="BQ20" s="36">
        <v>2.76</v>
      </c>
      <c r="BR20" s="36">
        <v>21200000</v>
      </c>
      <c r="BS20" s="36">
        <v>17.100000000000001</v>
      </c>
      <c r="BT20" s="36">
        <v>20200000</v>
      </c>
      <c r="BU20" s="36">
        <v>2.14</v>
      </c>
      <c r="BV20" s="36">
        <v>16800000</v>
      </c>
      <c r="BW20" s="36">
        <v>15.3</v>
      </c>
      <c r="BX20" s="36">
        <v>26100000</v>
      </c>
      <c r="BY20" s="36">
        <v>7.1</v>
      </c>
      <c r="BZ20" s="36">
        <v>16500000</v>
      </c>
      <c r="CA20" s="36">
        <v>5.68</v>
      </c>
      <c r="CB20" s="36">
        <v>21200000</v>
      </c>
      <c r="CC20" s="36">
        <v>8.6199999999999992</v>
      </c>
      <c r="CD20" s="36">
        <v>15800000</v>
      </c>
      <c r="CE20" s="36">
        <v>4.38</v>
      </c>
      <c r="CF20" s="36">
        <v>13300000</v>
      </c>
      <c r="CG20" s="36">
        <v>21.1</v>
      </c>
      <c r="CH20" s="36">
        <v>14400000</v>
      </c>
      <c r="CI20" s="36">
        <v>10.199999999999999</v>
      </c>
      <c r="CJ20" s="36">
        <v>14900000</v>
      </c>
      <c r="CK20" s="36">
        <v>12</v>
      </c>
      <c r="CL20" s="36">
        <v>19100000</v>
      </c>
      <c r="CM20" s="36">
        <v>16.8</v>
      </c>
      <c r="CN20" s="36">
        <v>18700000</v>
      </c>
      <c r="CO20" s="36">
        <v>1.64</v>
      </c>
      <c r="CP20" s="5"/>
      <c r="CQ20" s="36">
        <v>18500000</v>
      </c>
      <c r="CR20" s="36">
        <v>3410000</v>
      </c>
      <c r="CS20" s="46">
        <v>18.399999999999999</v>
      </c>
    </row>
    <row r="21" spans="1:97">
      <c r="A21" s="13" t="s">
        <v>155</v>
      </c>
      <c r="B21" s="35">
        <v>180000000</v>
      </c>
      <c r="C21" s="35">
        <v>10.1</v>
      </c>
      <c r="D21" s="35">
        <v>164000000</v>
      </c>
      <c r="E21" s="35">
        <v>10.199999999999999</v>
      </c>
      <c r="F21" s="35">
        <v>270000000</v>
      </c>
      <c r="G21" s="35">
        <v>8.85</v>
      </c>
      <c r="H21" s="35">
        <v>229000000</v>
      </c>
      <c r="I21" s="35">
        <v>7.31</v>
      </c>
      <c r="J21" s="35">
        <v>266000000</v>
      </c>
      <c r="K21" s="35">
        <v>12.2</v>
      </c>
      <c r="L21" s="35">
        <v>239000000</v>
      </c>
      <c r="M21" s="35">
        <v>8.99</v>
      </c>
      <c r="N21" s="35">
        <v>228000000</v>
      </c>
      <c r="O21" s="35">
        <v>7.51</v>
      </c>
      <c r="P21" s="35">
        <v>201000000</v>
      </c>
      <c r="Q21" s="35">
        <v>7.38</v>
      </c>
      <c r="R21" s="35">
        <v>272000000</v>
      </c>
      <c r="S21" s="35">
        <v>8.23</v>
      </c>
      <c r="T21" s="35">
        <v>188000000</v>
      </c>
      <c r="U21" s="35">
        <v>10</v>
      </c>
      <c r="V21" s="35">
        <v>239000000</v>
      </c>
      <c r="W21" s="35">
        <v>6.87</v>
      </c>
      <c r="X21" s="35">
        <v>233000000</v>
      </c>
      <c r="Y21" s="35">
        <v>14.6</v>
      </c>
      <c r="Z21" s="35">
        <v>219000000</v>
      </c>
      <c r="AA21" s="35">
        <v>21.6</v>
      </c>
      <c r="AB21" s="35">
        <v>212000000</v>
      </c>
      <c r="AC21" s="35">
        <v>11.7</v>
      </c>
      <c r="AD21" s="35">
        <v>174000000</v>
      </c>
      <c r="AE21" s="35">
        <v>13.6</v>
      </c>
      <c r="AF21" s="35">
        <v>245000000</v>
      </c>
      <c r="AG21" s="35">
        <v>12.2</v>
      </c>
      <c r="AH21" s="35">
        <v>186000000</v>
      </c>
      <c r="AI21" s="35">
        <v>6.77</v>
      </c>
      <c r="AJ21" s="35">
        <v>176000000</v>
      </c>
      <c r="AK21" s="35">
        <v>11.7</v>
      </c>
      <c r="AL21" s="35">
        <v>269000000</v>
      </c>
      <c r="AM21" s="35">
        <v>12.6</v>
      </c>
      <c r="AN21" s="35">
        <v>155000000</v>
      </c>
      <c r="AO21" s="35">
        <v>14.2</v>
      </c>
      <c r="AP21" s="35">
        <v>181000000</v>
      </c>
      <c r="AQ21" s="35">
        <v>1.92</v>
      </c>
      <c r="AR21" s="35">
        <v>229000000</v>
      </c>
      <c r="AS21" s="35">
        <v>6.1</v>
      </c>
      <c r="AT21" s="35">
        <v>194000000</v>
      </c>
      <c r="AU21" s="35">
        <v>5.54</v>
      </c>
      <c r="AV21" s="35">
        <v>197000000</v>
      </c>
      <c r="AW21" s="35">
        <v>9.68</v>
      </c>
      <c r="AX21" s="35">
        <v>184000000</v>
      </c>
      <c r="AY21" s="35">
        <v>8.77</v>
      </c>
      <c r="AZ21" s="3"/>
      <c r="BA21" s="35">
        <v>258000000</v>
      </c>
      <c r="BB21" s="35">
        <v>4.57</v>
      </c>
      <c r="BC21" s="35">
        <v>310000000</v>
      </c>
      <c r="BD21" s="35">
        <v>4.3499999999999996</v>
      </c>
      <c r="BE21" s="35">
        <v>581000000</v>
      </c>
      <c r="BF21" s="35">
        <v>8.64</v>
      </c>
      <c r="BG21" s="35">
        <v>646000000</v>
      </c>
      <c r="BH21" s="35">
        <v>5.05</v>
      </c>
      <c r="BI21" s="35">
        <v>693000000</v>
      </c>
      <c r="BJ21" s="35">
        <v>8.7899999999999991</v>
      </c>
      <c r="BK21" s="3"/>
      <c r="BL21" s="35">
        <v>237000000</v>
      </c>
      <c r="BM21" s="35">
        <v>0.47799999999999998</v>
      </c>
      <c r="BN21" s="35">
        <v>220000000</v>
      </c>
      <c r="BO21" s="35">
        <v>5.13</v>
      </c>
      <c r="BP21" s="35">
        <v>232000000</v>
      </c>
      <c r="BQ21" s="35">
        <v>2.4500000000000002</v>
      </c>
      <c r="BR21" s="35">
        <v>221000000</v>
      </c>
      <c r="BS21" s="35">
        <v>7.99</v>
      </c>
      <c r="BT21" s="35">
        <v>201000000</v>
      </c>
      <c r="BU21" s="35">
        <v>3.36</v>
      </c>
      <c r="BV21" s="35">
        <v>213000000</v>
      </c>
      <c r="BW21" s="35">
        <v>15.9</v>
      </c>
      <c r="BX21" s="35">
        <v>233000000</v>
      </c>
      <c r="BY21" s="35">
        <v>7.03</v>
      </c>
      <c r="BZ21" s="35">
        <v>256000000</v>
      </c>
      <c r="CA21" s="35">
        <v>7.52</v>
      </c>
      <c r="CB21" s="35">
        <v>214000000</v>
      </c>
      <c r="CC21" s="35">
        <v>8.4</v>
      </c>
      <c r="CD21" s="35">
        <v>245000000</v>
      </c>
      <c r="CE21" s="35">
        <v>8.02</v>
      </c>
      <c r="CF21" s="35">
        <v>259000000</v>
      </c>
      <c r="CG21" s="35">
        <v>11.2</v>
      </c>
      <c r="CH21" s="35">
        <v>220000000</v>
      </c>
      <c r="CI21" s="35">
        <v>9.6300000000000008</v>
      </c>
      <c r="CJ21" s="35">
        <v>179000000</v>
      </c>
      <c r="CK21" s="35">
        <v>6.32</v>
      </c>
      <c r="CL21" s="35">
        <v>187000000</v>
      </c>
      <c r="CM21" s="35">
        <v>9.91</v>
      </c>
      <c r="CN21" s="35">
        <v>213000000</v>
      </c>
      <c r="CO21" s="35">
        <v>6.32</v>
      </c>
      <c r="CP21" s="3"/>
      <c r="CQ21" s="35">
        <v>222000000</v>
      </c>
      <c r="CR21" s="35">
        <v>22800000</v>
      </c>
      <c r="CS21" s="45">
        <v>10.3</v>
      </c>
    </row>
    <row r="22" spans="1:97">
      <c r="A22" s="13" t="s">
        <v>123</v>
      </c>
      <c r="B22" s="36">
        <v>75700000</v>
      </c>
      <c r="C22" s="36">
        <v>12.2</v>
      </c>
      <c r="D22" s="36">
        <v>86400000</v>
      </c>
      <c r="E22" s="36">
        <v>4.1399999999999997</v>
      </c>
      <c r="F22" s="36">
        <v>90900000</v>
      </c>
      <c r="G22" s="36">
        <v>9.7100000000000009</v>
      </c>
      <c r="H22" s="36">
        <v>68900000</v>
      </c>
      <c r="I22" s="36">
        <v>7.99</v>
      </c>
      <c r="J22" s="36">
        <v>76700000</v>
      </c>
      <c r="K22" s="36">
        <v>9.4600000000000009</v>
      </c>
      <c r="L22" s="36">
        <v>146000000</v>
      </c>
      <c r="M22" s="36">
        <v>8.43</v>
      </c>
      <c r="N22" s="36">
        <v>93600000</v>
      </c>
      <c r="O22" s="36">
        <v>7.38</v>
      </c>
      <c r="P22" s="36">
        <v>76700000</v>
      </c>
      <c r="Q22" s="36">
        <v>4.12</v>
      </c>
      <c r="R22" s="36">
        <v>97700000</v>
      </c>
      <c r="S22" s="36">
        <v>7.35</v>
      </c>
      <c r="T22" s="36">
        <v>104000000</v>
      </c>
      <c r="U22" s="36">
        <v>14.4</v>
      </c>
      <c r="V22" s="36">
        <v>80400000</v>
      </c>
      <c r="W22" s="36">
        <v>1.61</v>
      </c>
      <c r="X22" s="36">
        <v>75100000</v>
      </c>
      <c r="Y22" s="36">
        <v>7.43</v>
      </c>
      <c r="Z22" s="36">
        <v>178000</v>
      </c>
      <c r="AA22" s="36">
        <v>15.3</v>
      </c>
      <c r="AB22" s="36">
        <v>93200000</v>
      </c>
      <c r="AC22" s="36">
        <v>7.2</v>
      </c>
      <c r="AD22" s="36">
        <v>74600000</v>
      </c>
      <c r="AE22" s="36">
        <v>6.19</v>
      </c>
      <c r="AF22" s="36">
        <v>116000000</v>
      </c>
      <c r="AG22" s="36">
        <v>13.2</v>
      </c>
      <c r="AH22" s="36">
        <v>112000000</v>
      </c>
      <c r="AI22" s="36">
        <v>7.91</v>
      </c>
      <c r="AJ22" s="36">
        <v>91800000</v>
      </c>
      <c r="AK22" s="36">
        <v>14.2</v>
      </c>
      <c r="AL22" s="36">
        <v>95400000</v>
      </c>
      <c r="AM22" s="36">
        <v>2.56</v>
      </c>
      <c r="AN22" s="36">
        <v>114000000</v>
      </c>
      <c r="AO22" s="36">
        <v>9.9499999999999993</v>
      </c>
      <c r="AP22" s="36">
        <v>96500000</v>
      </c>
      <c r="AQ22" s="36">
        <v>13.1</v>
      </c>
      <c r="AR22" s="36">
        <v>64300000</v>
      </c>
      <c r="AS22" s="36">
        <v>12.7</v>
      </c>
      <c r="AT22" s="36">
        <v>90200000</v>
      </c>
      <c r="AU22" s="36">
        <v>13.2</v>
      </c>
      <c r="AV22" s="36">
        <v>93900000</v>
      </c>
      <c r="AW22" s="36">
        <v>6.86</v>
      </c>
      <c r="AX22" s="36">
        <v>73900000</v>
      </c>
      <c r="AY22" s="36">
        <v>10.199999999999999</v>
      </c>
      <c r="AZ22" s="5"/>
      <c r="BA22" s="36">
        <v>95000000</v>
      </c>
      <c r="BB22" s="36">
        <v>3.6</v>
      </c>
      <c r="BC22" s="36">
        <v>105000000</v>
      </c>
      <c r="BD22" s="36">
        <v>10.5</v>
      </c>
      <c r="BE22" s="36">
        <v>172000000</v>
      </c>
      <c r="BF22" s="36">
        <v>11.3</v>
      </c>
      <c r="BG22" s="36">
        <v>88000000</v>
      </c>
      <c r="BH22" s="36">
        <v>7.79</v>
      </c>
      <c r="BI22" s="36">
        <v>103000000</v>
      </c>
      <c r="BJ22" s="36">
        <v>7.8</v>
      </c>
      <c r="BK22" s="5"/>
      <c r="BL22" s="36">
        <v>99700000</v>
      </c>
      <c r="BM22" s="36">
        <v>4.24</v>
      </c>
      <c r="BN22" s="36">
        <v>126000000</v>
      </c>
      <c r="BO22" s="36">
        <v>4.51</v>
      </c>
      <c r="BP22" s="36">
        <v>64100000</v>
      </c>
      <c r="BQ22" s="36">
        <v>1.56</v>
      </c>
      <c r="BR22" s="36">
        <v>83700000</v>
      </c>
      <c r="BS22" s="36">
        <v>13.9</v>
      </c>
      <c r="BT22" s="36">
        <v>89500000</v>
      </c>
      <c r="BU22" s="36">
        <v>4.26</v>
      </c>
      <c r="BV22" s="36">
        <v>84500000</v>
      </c>
      <c r="BW22" s="36">
        <v>6.03</v>
      </c>
      <c r="BX22" s="36">
        <v>118000000</v>
      </c>
      <c r="BY22" s="36">
        <v>6.91</v>
      </c>
      <c r="BZ22" s="36">
        <v>77100000</v>
      </c>
      <c r="CA22" s="36">
        <v>5.36</v>
      </c>
      <c r="CB22" s="36">
        <v>94800000</v>
      </c>
      <c r="CC22" s="36">
        <v>5.94</v>
      </c>
      <c r="CD22" s="36">
        <v>99800000</v>
      </c>
      <c r="CE22" s="36">
        <v>9.9700000000000006</v>
      </c>
      <c r="CF22" s="36">
        <v>79000000</v>
      </c>
      <c r="CG22" s="36">
        <v>11.7</v>
      </c>
      <c r="CH22" s="36">
        <v>77000000</v>
      </c>
      <c r="CI22" s="36">
        <v>11.8</v>
      </c>
      <c r="CJ22" s="36">
        <v>69600000</v>
      </c>
      <c r="CK22" s="36">
        <v>11.3</v>
      </c>
      <c r="CL22" s="36">
        <v>107000000</v>
      </c>
      <c r="CM22" s="36">
        <v>9.07</v>
      </c>
      <c r="CN22" s="36">
        <v>113000000</v>
      </c>
      <c r="CO22" s="36">
        <v>12.3</v>
      </c>
      <c r="CP22" s="5"/>
      <c r="CQ22" s="36">
        <v>92200000</v>
      </c>
      <c r="CR22" s="36">
        <v>18300000</v>
      </c>
      <c r="CS22" s="46">
        <v>19.899999999999999</v>
      </c>
    </row>
    <row r="23" spans="1:97">
      <c r="A23" s="13" t="s">
        <v>124</v>
      </c>
      <c r="B23" s="35">
        <v>102000000</v>
      </c>
      <c r="C23" s="35">
        <v>7.42</v>
      </c>
      <c r="D23" s="35">
        <v>58600000</v>
      </c>
      <c r="E23" s="35">
        <v>6.5</v>
      </c>
      <c r="F23" s="35">
        <v>105000000</v>
      </c>
      <c r="G23" s="35">
        <v>7.06</v>
      </c>
      <c r="H23" s="35">
        <v>120000000</v>
      </c>
      <c r="I23" s="35">
        <v>8.4600000000000009</v>
      </c>
      <c r="J23" s="35">
        <v>115000000</v>
      </c>
      <c r="K23" s="35">
        <v>7.33</v>
      </c>
      <c r="L23" s="35">
        <v>161000000</v>
      </c>
      <c r="M23" s="35">
        <v>9.1199999999999992</v>
      </c>
      <c r="N23" s="35">
        <v>89700000</v>
      </c>
      <c r="O23" s="35">
        <v>7.65</v>
      </c>
      <c r="P23" s="35">
        <v>75600000</v>
      </c>
      <c r="Q23" s="35">
        <v>8.15</v>
      </c>
      <c r="R23" s="35">
        <v>126000000</v>
      </c>
      <c r="S23" s="35">
        <v>12.7</v>
      </c>
      <c r="T23" s="35">
        <v>84700000</v>
      </c>
      <c r="U23" s="35">
        <v>11.1</v>
      </c>
      <c r="V23" s="35">
        <v>87100000</v>
      </c>
      <c r="W23" s="35">
        <v>8.0500000000000007</v>
      </c>
      <c r="X23" s="35">
        <v>104000000</v>
      </c>
      <c r="Y23" s="35">
        <v>11.7</v>
      </c>
      <c r="Z23" s="35">
        <v>113000000</v>
      </c>
      <c r="AA23" s="35">
        <v>13.6</v>
      </c>
      <c r="AB23" s="35">
        <v>7.2199999999999997E-23</v>
      </c>
      <c r="AC23" s="35">
        <v>0</v>
      </c>
      <c r="AD23" s="35">
        <v>96900000</v>
      </c>
      <c r="AE23" s="35">
        <v>9.58</v>
      </c>
      <c r="AF23" s="35">
        <v>115000000</v>
      </c>
      <c r="AG23" s="35">
        <v>14.6</v>
      </c>
      <c r="AH23" s="35">
        <v>97700000</v>
      </c>
      <c r="AI23" s="35">
        <v>7.34</v>
      </c>
      <c r="AJ23" s="35">
        <v>83100000</v>
      </c>
      <c r="AK23" s="35">
        <v>18.600000000000001</v>
      </c>
      <c r="AL23" s="35">
        <v>116000000</v>
      </c>
      <c r="AM23" s="35">
        <v>16.100000000000001</v>
      </c>
      <c r="AN23" s="35">
        <v>79700000</v>
      </c>
      <c r="AO23" s="35">
        <v>13.9</v>
      </c>
      <c r="AP23" s="35">
        <v>89400000</v>
      </c>
      <c r="AQ23" s="35">
        <v>16.8</v>
      </c>
      <c r="AR23" s="35">
        <v>106000000</v>
      </c>
      <c r="AS23" s="35">
        <v>5.85</v>
      </c>
      <c r="AT23" s="35">
        <v>98800000</v>
      </c>
      <c r="AU23" s="35">
        <v>7.14</v>
      </c>
      <c r="AV23" s="35">
        <v>95500000</v>
      </c>
      <c r="AW23" s="35">
        <v>5.7</v>
      </c>
      <c r="AX23" s="35">
        <v>85900000</v>
      </c>
      <c r="AY23" s="35">
        <v>9.2799999999999994</v>
      </c>
      <c r="AZ23" s="3"/>
      <c r="BA23" s="35">
        <v>122000000</v>
      </c>
      <c r="BB23" s="35">
        <v>8.83</v>
      </c>
      <c r="BC23" s="35">
        <v>118000000</v>
      </c>
      <c r="BD23" s="35">
        <v>10.8</v>
      </c>
      <c r="BE23" s="35">
        <v>179000000</v>
      </c>
      <c r="BF23" s="35">
        <v>3.65</v>
      </c>
      <c r="BG23" s="35">
        <v>225000000</v>
      </c>
      <c r="BH23" s="35">
        <v>9.02</v>
      </c>
      <c r="BI23" s="35">
        <v>215000000</v>
      </c>
      <c r="BJ23" s="35">
        <v>5.21</v>
      </c>
      <c r="BK23" s="3"/>
      <c r="BL23" s="35">
        <v>137000000</v>
      </c>
      <c r="BM23" s="35">
        <v>6.41</v>
      </c>
      <c r="BN23" s="35">
        <v>131000000</v>
      </c>
      <c r="BO23" s="35">
        <v>3.22</v>
      </c>
      <c r="BP23" s="35">
        <v>109000000</v>
      </c>
      <c r="BQ23" s="35">
        <v>9.4499999999999993</v>
      </c>
      <c r="BR23" s="35">
        <v>93700000</v>
      </c>
      <c r="BS23" s="35">
        <v>7.56</v>
      </c>
      <c r="BT23" s="35">
        <v>97100000</v>
      </c>
      <c r="BU23" s="35">
        <v>2.4900000000000002</v>
      </c>
      <c r="BV23" s="35">
        <v>97800000</v>
      </c>
      <c r="BW23" s="35">
        <v>11.6</v>
      </c>
      <c r="BX23" s="35">
        <v>123000000</v>
      </c>
      <c r="BY23" s="35">
        <v>7.43</v>
      </c>
      <c r="BZ23" s="35">
        <v>110000000</v>
      </c>
      <c r="CA23" s="35">
        <v>11.2</v>
      </c>
      <c r="CB23" s="35">
        <v>96100000</v>
      </c>
      <c r="CC23" s="35">
        <v>5.83</v>
      </c>
      <c r="CD23" s="35">
        <v>78300000</v>
      </c>
      <c r="CE23" s="35">
        <v>8.43</v>
      </c>
      <c r="CF23" s="35">
        <v>79700000</v>
      </c>
      <c r="CG23" s="35">
        <v>5.79</v>
      </c>
      <c r="CH23" s="35">
        <v>93500000</v>
      </c>
      <c r="CI23" s="35">
        <v>5.47</v>
      </c>
      <c r="CJ23" s="35">
        <v>78800000</v>
      </c>
      <c r="CK23" s="35">
        <v>5.6</v>
      </c>
      <c r="CL23" s="35">
        <v>101000000</v>
      </c>
      <c r="CM23" s="35">
        <v>9.7799999999999994</v>
      </c>
      <c r="CN23" s="35">
        <v>114000000</v>
      </c>
      <c r="CO23" s="35">
        <v>12.8</v>
      </c>
      <c r="CP23" s="3"/>
      <c r="CQ23" s="35">
        <v>103000000</v>
      </c>
      <c r="CR23" s="35">
        <v>18000000</v>
      </c>
      <c r="CS23" s="45">
        <v>17.5</v>
      </c>
    </row>
    <row r="24" spans="1:97">
      <c r="A24" s="13" t="s">
        <v>125</v>
      </c>
      <c r="B24" s="36">
        <v>223000000</v>
      </c>
      <c r="C24" s="36">
        <v>13.6</v>
      </c>
      <c r="D24" s="36">
        <v>238000000</v>
      </c>
      <c r="E24" s="36">
        <v>3.1</v>
      </c>
      <c r="F24" s="36">
        <v>232000000</v>
      </c>
      <c r="G24" s="36">
        <v>8.34</v>
      </c>
      <c r="H24" s="36">
        <v>202000000</v>
      </c>
      <c r="I24" s="36">
        <v>10.4</v>
      </c>
      <c r="J24" s="36">
        <v>141000000</v>
      </c>
      <c r="K24" s="36">
        <v>9.3000000000000007</v>
      </c>
      <c r="L24" s="36">
        <v>197000000</v>
      </c>
      <c r="M24" s="36">
        <v>7.47</v>
      </c>
      <c r="N24" s="36">
        <v>232000000</v>
      </c>
      <c r="O24" s="36">
        <v>8.94</v>
      </c>
      <c r="P24" s="36">
        <v>212000000</v>
      </c>
      <c r="Q24" s="36">
        <v>8.64</v>
      </c>
      <c r="R24" s="36">
        <v>200000000</v>
      </c>
      <c r="S24" s="36">
        <v>5.44</v>
      </c>
      <c r="T24" s="36">
        <v>198000000</v>
      </c>
      <c r="U24" s="36">
        <v>10.3</v>
      </c>
      <c r="V24" s="36">
        <v>209000000</v>
      </c>
      <c r="W24" s="36">
        <v>2.16</v>
      </c>
      <c r="X24" s="36">
        <v>221000000</v>
      </c>
      <c r="Y24" s="36">
        <v>12.8</v>
      </c>
      <c r="Z24" s="36">
        <v>205000000</v>
      </c>
      <c r="AA24" s="36">
        <v>15.2</v>
      </c>
      <c r="AB24" s="36">
        <v>256000000</v>
      </c>
      <c r="AC24" s="36">
        <v>6.13</v>
      </c>
      <c r="AD24" s="36">
        <v>135000</v>
      </c>
      <c r="AE24" s="36">
        <v>25.2</v>
      </c>
      <c r="AF24" s="36">
        <v>202000000</v>
      </c>
      <c r="AG24" s="36">
        <v>11.2</v>
      </c>
      <c r="AH24" s="36">
        <v>181000000</v>
      </c>
      <c r="AI24" s="36">
        <v>5.0999999999999996</v>
      </c>
      <c r="AJ24" s="36">
        <v>248000000</v>
      </c>
      <c r="AK24" s="36">
        <v>9.82</v>
      </c>
      <c r="AL24" s="36">
        <v>138000000</v>
      </c>
      <c r="AM24" s="36">
        <v>10.3</v>
      </c>
      <c r="AN24" s="36">
        <v>267000000</v>
      </c>
      <c r="AO24" s="36">
        <v>9.99</v>
      </c>
      <c r="AP24" s="36">
        <v>222000000</v>
      </c>
      <c r="AQ24" s="36">
        <v>14.2</v>
      </c>
      <c r="AR24" s="36">
        <v>238000000</v>
      </c>
      <c r="AS24" s="36">
        <v>8.14</v>
      </c>
      <c r="AT24" s="36">
        <v>245000000</v>
      </c>
      <c r="AU24" s="36">
        <v>10.199999999999999</v>
      </c>
      <c r="AV24" s="36">
        <v>230000000</v>
      </c>
      <c r="AW24" s="36">
        <v>9.51</v>
      </c>
      <c r="AX24" s="36">
        <v>227000000</v>
      </c>
      <c r="AY24" s="36">
        <v>9.09</v>
      </c>
      <c r="AZ24" s="5"/>
      <c r="BA24" s="36">
        <v>238000000</v>
      </c>
      <c r="BB24" s="36">
        <v>3.34</v>
      </c>
      <c r="BC24" s="36">
        <v>169000000</v>
      </c>
      <c r="BD24" s="36">
        <v>6.83</v>
      </c>
      <c r="BE24" s="36">
        <v>107000000</v>
      </c>
      <c r="BF24" s="36">
        <v>10.3</v>
      </c>
      <c r="BG24" s="36">
        <v>71800000</v>
      </c>
      <c r="BH24" s="36">
        <v>8.3000000000000007</v>
      </c>
      <c r="BI24" s="36">
        <v>91800000</v>
      </c>
      <c r="BJ24" s="36">
        <v>11.4</v>
      </c>
      <c r="BK24" s="5"/>
      <c r="BL24" s="36">
        <v>227000000</v>
      </c>
      <c r="BM24" s="36">
        <v>3.48</v>
      </c>
      <c r="BN24" s="36">
        <v>188000000</v>
      </c>
      <c r="BO24" s="36">
        <v>9.27</v>
      </c>
      <c r="BP24" s="36">
        <v>179000000</v>
      </c>
      <c r="BQ24" s="36">
        <v>3.85</v>
      </c>
      <c r="BR24" s="36">
        <v>200000000</v>
      </c>
      <c r="BS24" s="36">
        <v>14.6</v>
      </c>
      <c r="BT24" s="36">
        <v>220000000</v>
      </c>
      <c r="BU24" s="36">
        <v>7.02</v>
      </c>
      <c r="BV24" s="36">
        <v>234000000</v>
      </c>
      <c r="BW24" s="36">
        <v>12.9</v>
      </c>
      <c r="BX24" s="36">
        <v>350000000</v>
      </c>
      <c r="BY24" s="36">
        <v>14.9</v>
      </c>
      <c r="BZ24" s="36">
        <v>286000000</v>
      </c>
      <c r="CA24" s="36">
        <v>2.88</v>
      </c>
      <c r="CB24" s="36">
        <v>328000000</v>
      </c>
      <c r="CC24" s="36">
        <v>8.16</v>
      </c>
      <c r="CD24" s="36">
        <v>325000000</v>
      </c>
      <c r="CE24" s="36">
        <v>7.48</v>
      </c>
      <c r="CF24" s="36">
        <v>297000000</v>
      </c>
      <c r="CG24" s="36">
        <v>13</v>
      </c>
      <c r="CH24" s="36">
        <v>278000000</v>
      </c>
      <c r="CI24" s="36">
        <v>7.45</v>
      </c>
      <c r="CJ24" s="36">
        <v>248000000</v>
      </c>
      <c r="CK24" s="36">
        <v>10.199999999999999</v>
      </c>
      <c r="CL24" s="36">
        <v>302000000</v>
      </c>
      <c r="CM24" s="36">
        <v>6.86</v>
      </c>
      <c r="CN24" s="36">
        <v>340000000</v>
      </c>
      <c r="CO24" s="36">
        <v>5.25</v>
      </c>
      <c r="CP24" s="5"/>
      <c r="CQ24" s="36">
        <v>267000000</v>
      </c>
      <c r="CR24" s="36">
        <v>57200000</v>
      </c>
      <c r="CS24" s="46">
        <v>21.4</v>
      </c>
    </row>
    <row r="25" spans="1:97">
      <c r="A25" s="13" t="s">
        <v>126</v>
      </c>
      <c r="B25" s="35">
        <v>50500000</v>
      </c>
      <c r="C25" s="35">
        <v>10.9</v>
      </c>
      <c r="D25" s="35">
        <v>56200000</v>
      </c>
      <c r="E25" s="35">
        <v>3.71</v>
      </c>
      <c r="F25" s="35">
        <v>79700000</v>
      </c>
      <c r="G25" s="35">
        <v>10.9</v>
      </c>
      <c r="H25" s="35">
        <v>71000000</v>
      </c>
      <c r="I25" s="35">
        <v>9.39</v>
      </c>
      <c r="J25" s="35">
        <v>68800000</v>
      </c>
      <c r="K25" s="35">
        <v>8.16</v>
      </c>
      <c r="L25" s="35">
        <v>90400000</v>
      </c>
      <c r="M25" s="35">
        <v>10.9</v>
      </c>
      <c r="N25" s="35">
        <v>53300000</v>
      </c>
      <c r="O25" s="35">
        <v>6.76</v>
      </c>
      <c r="P25" s="35">
        <v>50700000</v>
      </c>
      <c r="Q25" s="35">
        <v>7.85</v>
      </c>
      <c r="R25" s="35">
        <v>54100000</v>
      </c>
      <c r="S25" s="35">
        <v>10.7</v>
      </c>
      <c r="T25" s="35">
        <v>49900000</v>
      </c>
      <c r="U25" s="35">
        <v>5.44</v>
      </c>
      <c r="V25" s="35">
        <v>63900000</v>
      </c>
      <c r="W25" s="35">
        <v>5.25</v>
      </c>
      <c r="X25" s="35">
        <v>43000000</v>
      </c>
      <c r="Y25" s="35">
        <v>14</v>
      </c>
      <c r="Z25" s="35">
        <v>52500000</v>
      </c>
      <c r="AA25" s="35">
        <v>19.600000000000001</v>
      </c>
      <c r="AB25" s="35">
        <v>47600000</v>
      </c>
      <c r="AC25" s="35">
        <v>13.7</v>
      </c>
      <c r="AD25" s="35">
        <v>55900000</v>
      </c>
      <c r="AE25" s="35">
        <v>4.1399999999999997</v>
      </c>
      <c r="AF25" s="35">
        <v>82400</v>
      </c>
      <c r="AG25" s="35">
        <v>3.66</v>
      </c>
      <c r="AH25" s="35">
        <v>55500000</v>
      </c>
      <c r="AI25" s="35">
        <v>6.02</v>
      </c>
      <c r="AJ25" s="35">
        <v>58700000</v>
      </c>
      <c r="AK25" s="35">
        <v>13.1</v>
      </c>
      <c r="AL25" s="35">
        <v>41300000</v>
      </c>
      <c r="AM25" s="35">
        <v>19.3</v>
      </c>
      <c r="AN25" s="35">
        <v>42900000</v>
      </c>
      <c r="AO25" s="35">
        <v>14.4</v>
      </c>
      <c r="AP25" s="35">
        <v>47200000</v>
      </c>
      <c r="AQ25" s="35">
        <v>18.5</v>
      </c>
      <c r="AR25" s="35">
        <v>44300000</v>
      </c>
      <c r="AS25" s="35">
        <v>9.73</v>
      </c>
      <c r="AT25" s="35">
        <v>50600000</v>
      </c>
      <c r="AU25" s="35">
        <v>7.43</v>
      </c>
      <c r="AV25" s="35">
        <v>51600000</v>
      </c>
      <c r="AW25" s="35">
        <v>9.4499999999999993</v>
      </c>
      <c r="AX25" s="35">
        <v>50600000</v>
      </c>
      <c r="AY25" s="35">
        <v>4.13</v>
      </c>
      <c r="AZ25" s="3"/>
      <c r="BA25" s="35">
        <v>57200000</v>
      </c>
      <c r="BB25" s="35">
        <v>9.5399999999999991</v>
      </c>
      <c r="BC25" s="35">
        <v>63000000</v>
      </c>
      <c r="BD25" s="35">
        <v>8.8699999999999992</v>
      </c>
      <c r="BE25" s="35">
        <v>86500000</v>
      </c>
      <c r="BF25" s="35">
        <v>7.95</v>
      </c>
      <c r="BG25" s="35">
        <v>105000000</v>
      </c>
      <c r="BH25" s="35">
        <v>7.24</v>
      </c>
      <c r="BI25" s="35">
        <v>103000000</v>
      </c>
      <c r="BJ25" s="35">
        <v>4.71</v>
      </c>
      <c r="BK25" s="3"/>
      <c r="BL25" s="35">
        <v>49600000</v>
      </c>
      <c r="BM25" s="35">
        <v>6.72</v>
      </c>
      <c r="BN25" s="35">
        <v>60600000</v>
      </c>
      <c r="BO25" s="35">
        <v>1.51</v>
      </c>
      <c r="BP25" s="35">
        <v>66000000</v>
      </c>
      <c r="BQ25" s="35">
        <v>4.72</v>
      </c>
      <c r="BR25" s="35">
        <v>73700000</v>
      </c>
      <c r="BS25" s="35">
        <v>15.9</v>
      </c>
      <c r="BT25" s="35">
        <v>61700000</v>
      </c>
      <c r="BU25" s="35">
        <v>2.73</v>
      </c>
      <c r="BV25" s="35">
        <v>50700000</v>
      </c>
      <c r="BW25" s="35">
        <v>10.9</v>
      </c>
      <c r="BX25" s="35">
        <v>60400000</v>
      </c>
      <c r="BY25" s="35">
        <v>7.2</v>
      </c>
      <c r="BZ25" s="35">
        <v>81900000</v>
      </c>
      <c r="CA25" s="35">
        <v>5.44</v>
      </c>
      <c r="CB25" s="35">
        <v>74100000</v>
      </c>
      <c r="CC25" s="35">
        <v>8.31</v>
      </c>
      <c r="CD25" s="35">
        <v>66300000</v>
      </c>
      <c r="CE25" s="35">
        <v>11.9</v>
      </c>
      <c r="CF25" s="35">
        <v>76900000</v>
      </c>
      <c r="CG25" s="35">
        <v>11.3</v>
      </c>
      <c r="CH25" s="35">
        <v>108000000</v>
      </c>
      <c r="CI25" s="35">
        <v>4.22</v>
      </c>
      <c r="CJ25" s="35">
        <v>138000000</v>
      </c>
      <c r="CK25" s="35">
        <v>8.32</v>
      </c>
      <c r="CL25" s="35">
        <v>83800000</v>
      </c>
      <c r="CM25" s="35">
        <v>10.4</v>
      </c>
      <c r="CN25" s="35">
        <v>86600000</v>
      </c>
      <c r="CO25" s="35">
        <v>10.6</v>
      </c>
      <c r="CP25" s="3"/>
      <c r="CQ25" s="35">
        <v>75900000</v>
      </c>
      <c r="CR25" s="35">
        <v>23000000</v>
      </c>
      <c r="CS25" s="45">
        <v>30.2</v>
      </c>
    </row>
    <row r="26" spans="1:97">
      <c r="A26" s="13" t="s">
        <v>127</v>
      </c>
      <c r="B26" s="36">
        <v>38500000</v>
      </c>
      <c r="C26" s="36">
        <v>12.7</v>
      </c>
      <c r="D26" s="36">
        <v>27900000</v>
      </c>
      <c r="E26" s="36">
        <v>13.1</v>
      </c>
      <c r="F26" s="36">
        <v>77500000</v>
      </c>
      <c r="G26" s="36">
        <v>7.26</v>
      </c>
      <c r="H26" s="36">
        <v>76100000</v>
      </c>
      <c r="I26" s="36">
        <v>15.1</v>
      </c>
      <c r="J26" s="36">
        <v>78400000</v>
      </c>
      <c r="K26" s="36">
        <v>5.35</v>
      </c>
      <c r="L26" s="36">
        <v>114000000</v>
      </c>
      <c r="M26" s="36">
        <v>14.7</v>
      </c>
      <c r="N26" s="36">
        <v>52300000</v>
      </c>
      <c r="O26" s="36">
        <v>13.6</v>
      </c>
      <c r="P26" s="36">
        <v>41400000</v>
      </c>
      <c r="Q26" s="36">
        <v>5.01</v>
      </c>
      <c r="R26" s="36">
        <v>71100000</v>
      </c>
      <c r="S26" s="36">
        <v>6.67</v>
      </c>
      <c r="T26" s="36">
        <v>35000000</v>
      </c>
      <c r="U26" s="36">
        <v>6.3</v>
      </c>
      <c r="V26" s="36">
        <v>51400000</v>
      </c>
      <c r="W26" s="36">
        <v>7.96</v>
      </c>
      <c r="X26" s="36">
        <v>42400000</v>
      </c>
      <c r="Y26" s="36">
        <v>5.69</v>
      </c>
      <c r="Z26" s="36">
        <v>45000000</v>
      </c>
      <c r="AA26" s="36">
        <v>11.3</v>
      </c>
      <c r="AB26" s="36">
        <v>46500000</v>
      </c>
      <c r="AC26" s="36">
        <v>8.44</v>
      </c>
      <c r="AD26" s="36">
        <v>37100000</v>
      </c>
      <c r="AE26" s="36">
        <v>1.73</v>
      </c>
      <c r="AF26" s="36">
        <v>67100000</v>
      </c>
      <c r="AG26" s="36">
        <v>10.4</v>
      </c>
      <c r="AH26" s="36">
        <v>29900</v>
      </c>
      <c r="AI26" s="36">
        <v>35.9</v>
      </c>
      <c r="AJ26" s="36">
        <v>48300000</v>
      </c>
      <c r="AK26" s="36">
        <v>4.09</v>
      </c>
      <c r="AL26" s="36">
        <v>56000000</v>
      </c>
      <c r="AM26" s="36">
        <v>5.78</v>
      </c>
      <c r="AN26" s="36">
        <v>63800000</v>
      </c>
      <c r="AO26" s="36">
        <v>9.49</v>
      </c>
      <c r="AP26" s="36">
        <v>38600000</v>
      </c>
      <c r="AQ26" s="36">
        <v>13.9</v>
      </c>
      <c r="AR26" s="36">
        <v>54600000</v>
      </c>
      <c r="AS26" s="36">
        <v>4.9400000000000004</v>
      </c>
      <c r="AT26" s="36">
        <v>36000000</v>
      </c>
      <c r="AU26" s="36">
        <v>4.97</v>
      </c>
      <c r="AV26" s="36">
        <v>29600000</v>
      </c>
      <c r="AW26" s="36">
        <v>10.7</v>
      </c>
      <c r="AX26" s="36">
        <v>43100000</v>
      </c>
      <c r="AY26" s="36">
        <v>11.3</v>
      </c>
      <c r="AZ26" s="5"/>
      <c r="BA26" s="36">
        <v>66900000</v>
      </c>
      <c r="BB26" s="36">
        <v>6</v>
      </c>
      <c r="BC26" s="36">
        <v>46100000</v>
      </c>
      <c r="BD26" s="36">
        <v>9.1</v>
      </c>
      <c r="BE26" s="36">
        <v>70400000</v>
      </c>
      <c r="BF26" s="36">
        <v>14</v>
      </c>
      <c r="BG26" s="36">
        <v>59100000</v>
      </c>
      <c r="BH26" s="36">
        <v>9.9</v>
      </c>
      <c r="BI26" s="36">
        <v>90000000</v>
      </c>
      <c r="BJ26" s="36">
        <v>8.32</v>
      </c>
      <c r="BK26" s="5"/>
      <c r="BL26" s="36">
        <v>150000000</v>
      </c>
      <c r="BM26" s="36">
        <v>16</v>
      </c>
      <c r="BN26" s="36">
        <v>142000000</v>
      </c>
      <c r="BO26" s="36">
        <v>9.14</v>
      </c>
      <c r="BP26" s="36">
        <v>147000000</v>
      </c>
      <c r="BQ26" s="36">
        <v>6.45</v>
      </c>
      <c r="BR26" s="36">
        <v>131000000</v>
      </c>
      <c r="BS26" s="36">
        <v>3.22</v>
      </c>
      <c r="BT26" s="36">
        <v>103000000</v>
      </c>
      <c r="BU26" s="36">
        <v>9.7100000000000009</v>
      </c>
      <c r="BV26" s="36">
        <v>109000000</v>
      </c>
      <c r="BW26" s="36">
        <v>16</v>
      </c>
      <c r="BX26" s="36">
        <v>96400000</v>
      </c>
      <c r="BY26" s="36">
        <v>5.23</v>
      </c>
      <c r="BZ26" s="36">
        <v>77100000</v>
      </c>
      <c r="CA26" s="36">
        <v>16.5</v>
      </c>
      <c r="CB26" s="36">
        <v>72200000</v>
      </c>
      <c r="CC26" s="36">
        <v>9.7100000000000009</v>
      </c>
      <c r="CD26" s="36">
        <v>59500000</v>
      </c>
      <c r="CE26" s="36">
        <v>16.3</v>
      </c>
      <c r="CF26" s="36">
        <v>80600000</v>
      </c>
      <c r="CG26" s="36">
        <v>11.2</v>
      </c>
      <c r="CH26" s="36">
        <v>111000000</v>
      </c>
      <c r="CI26" s="36">
        <v>6.6</v>
      </c>
      <c r="CJ26" s="36">
        <v>115000000</v>
      </c>
      <c r="CK26" s="36">
        <v>10.3</v>
      </c>
      <c r="CL26" s="36">
        <v>85200000</v>
      </c>
      <c r="CM26" s="36">
        <v>16.399999999999999</v>
      </c>
      <c r="CN26" s="36">
        <v>76400000</v>
      </c>
      <c r="CO26" s="36">
        <v>16.7</v>
      </c>
      <c r="CP26" s="5"/>
      <c r="CQ26" s="36">
        <v>104000000</v>
      </c>
      <c r="CR26" s="36">
        <v>29000000</v>
      </c>
      <c r="CS26" s="46">
        <v>27.9</v>
      </c>
    </row>
    <row r="27" spans="1:97">
      <c r="A27" s="13" t="s">
        <v>128</v>
      </c>
      <c r="B27" s="35">
        <v>115000000</v>
      </c>
      <c r="C27" s="35">
        <v>14.4</v>
      </c>
      <c r="D27" s="35">
        <v>120000000</v>
      </c>
      <c r="E27" s="35">
        <v>6.14</v>
      </c>
      <c r="F27" s="35">
        <v>158000000</v>
      </c>
      <c r="G27" s="35">
        <v>6.92</v>
      </c>
      <c r="H27" s="35">
        <v>212000000</v>
      </c>
      <c r="I27" s="35">
        <v>10.3</v>
      </c>
      <c r="J27" s="35">
        <v>220000000</v>
      </c>
      <c r="K27" s="35">
        <v>12.2</v>
      </c>
      <c r="L27" s="35">
        <v>127000000</v>
      </c>
      <c r="M27" s="35">
        <v>7.3</v>
      </c>
      <c r="N27" s="35">
        <v>142000000</v>
      </c>
      <c r="O27" s="35">
        <v>8.5399999999999991</v>
      </c>
      <c r="P27" s="35">
        <v>148000000</v>
      </c>
      <c r="Q27" s="35">
        <v>9.11</v>
      </c>
      <c r="R27" s="35">
        <v>132000000</v>
      </c>
      <c r="S27" s="35">
        <v>10.6</v>
      </c>
      <c r="T27" s="35">
        <v>125000000</v>
      </c>
      <c r="U27" s="35">
        <v>10.199999999999999</v>
      </c>
      <c r="V27" s="35">
        <v>176000000</v>
      </c>
      <c r="W27" s="35">
        <v>5.84</v>
      </c>
      <c r="X27" s="35">
        <v>141000000</v>
      </c>
      <c r="Y27" s="35">
        <v>15.6</v>
      </c>
      <c r="Z27" s="35">
        <v>141000000</v>
      </c>
      <c r="AA27" s="35">
        <v>20</v>
      </c>
      <c r="AB27" s="35">
        <v>129000000</v>
      </c>
      <c r="AC27" s="35">
        <v>13.4</v>
      </c>
      <c r="AD27" s="35">
        <v>112000000</v>
      </c>
      <c r="AE27" s="35">
        <v>15.9</v>
      </c>
      <c r="AF27" s="35">
        <v>121000000</v>
      </c>
      <c r="AG27" s="35">
        <v>13.1</v>
      </c>
      <c r="AH27" s="35">
        <v>125000000</v>
      </c>
      <c r="AI27" s="35">
        <v>3.89</v>
      </c>
      <c r="AJ27" s="35">
        <v>90700</v>
      </c>
      <c r="AK27" s="35">
        <v>25.8</v>
      </c>
      <c r="AL27" s="35">
        <v>140000000</v>
      </c>
      <c r="AM27" s="35">
        <v>10.4</v>
      </c>
      <c r="AN27" s="35">
        <v>144000000</v>
      </c>
      <c r="AO27" s="35">
        <v>14.5</v>
      </c>
      <c r="AP27" s="35">
        <v>113000000</v>
      </c>
      <c r="AQ27" s="35">
        <v>9.3800000000000008</v>
      </c>
      <c r="AR27" s="35">
        <v>135000000</v>
      </c>
      <c r="AS27" s="35">
        <v>1.88</v>
      </c>
      <c r="AT27" s="35">
        <v>125000000</v>
      </c>
      <c r="AU27" s="35">
        <v>9.76</v>
      </c>
      <c r="AV27" s="35">
        <v>113000000</v>
      </c>
      <c r="AW27" s="35">
        <v>8.2100000000000009</v>
      </c>
      <c r="AX27" s="35">
        <v>131000000</v>
      </c>
      <c r="AY27" s="35">
        <v>13.8</v>
      </c>
      <c r="AZ27" s="3"/>
      <c r="BA27" s="35">
        <v>125000000</v>
      </c>
      <c r="BB27" s="35">
        <v>7.14</v>
      </c>
      <c r="BC27" s="35">
        <v>217000000</v>
      </c>
      <c r="BD27" s="35">
        <v>7.36</v>
      </c>
      <c r="BE27" s="35">
        <v>335000000</v>
      </c>
      <c r="BF27" s="35">
        <v>12</v>
      </c>
      <c r="BG27" s="35">
        <v>434000000</v>
      </c>
      <c r="BH27" s="35">
        <v>4.6100000000000003</v>
      </c>
      <c r="BI27" s="35">
        <v>443000000</v>
      </c>
      <c r="BJ27" s="35">
        <v>8.94</v>
      </c>
      <c r="BK27" s="3"/>
      <c r="BL27" s="35">
        <v>124000000</v>
      </c>
      <c r="BM27" s="35">
        <v>4.8099999999999996</v>
      </c>
      <c r="BN27" s="35">
        <v>130000000</v>
      </c>
      <c r="BO27" s="35">
        <v>10.5</v>
      </c>
      <c r="BP27" s="35">
        <v>190000000</v>
      </c>
      <c r="BQ27" s="35">
        <v>1.1599999999999999</v>
      </c>
      <c r="BR27" s="35">
        <v>175000000</v>
      </c>
      <c r="BS27" s="35">
        <v>6.29</v>
      </c>
      <c r="BT27" s="35">
        <v>139000000</v>
      </c>
      <c r="BU27" s="35">
        <v>4.4800000000000004</v>
      </c>
      <c r="BV27" s="35">
        <v>175000000</v>
      </c>
      <c r="BW27" s="35">
        <v>11.3</v>
      </c>
      <c r="BX27" s="35">
        <v>142000000</v>
      </c>
      <c r="BY27" s="35">
        <v>6.75</v>
      </c>
      <c r="BZ27" s="35">
        <v>172000000</v>
      </c>
      <c r="CA27" s="35">
        <v>9.11</v>
      </c>
      <c r="CB27" s="35">
        <v>133000000</v>
      </c>
      <c r="CC27" s="35">
        <v>10.9</v>
      </c>
      <c r="CD27" s="35">
        <v>158000000</v>
      </c>
      <c r="CE27" s="35">
        <v>9.7799999999999994</v>
      </c>
      <c r="CF27" s="35">
        <v>176000000</v>
      </c>
      <c r="CG27" s="35">
        <v>3.3</v>
      </c>
      <c r="CH27" s="35">
        <v>228000000</v>
      </c>
      <c r="CI27" s="35">
        <v>7.67</v>
      </c>
      <c r="CJ27" s="35">
        <v>282000000</v>
      </c>
      <c r="CK27" s="35">
        <v>10.4</v>
      </c>
      <c r="CL27" s="35">
        <v>133000000</v>
      </c>
      <c r="CM27" s="35">
        <v>6.92</v>
      </c>
      <c r="CN27" s="35">
        <v>184000000</v>
      </c>
      <c r="CO27" s="35">
        <v>3.65</v>
      </c>
      <c r="CP27" s="3"/>
      <c r="CQ27" s="35">
        <v>169000000</v>
      </c>
      <c r="CR27" s="35">
        <v>42400000</v>
      </c>
      <c r="CS27" s="45">
        <v>25</v>
      </c>
    </row>
    <row r="28" spans="1:97">
      <c r="A28" s="13" t="s">
        <v>129</v>
      </c>
      <c r="B28" s="36">
        <v>31700000</v>
      </c>
      <c r="C28" s="36">
        <v>13.7</v>
      </c>
      <c r="D28" s="36">
        <v>46300000</v>
      </c>
      <c r="E28" s="36">
        <v>4.55</v>
      </c>
      <c r="F28" s="36">
        <v>51400000</v>
      </c>
      <c r="G28" s="36">
        <v>14.8</v>
      </c>
      <c r="H28" s="36">
        <v>45100000</v>
      </c>
      <c r="I28" s="36">
        <v>5.37</v>
      </c>
      <c r="J28" s="36">
        <v>43900000</v>
      </c>
      <c r="K28" s="36">
        <v>6.72</v>
      </c>
      <c r="L28" s="36">
        <v>49800000</v>
      </c>
      <c r="M28" s="36">
        <v>9.5</v>
      </c>
      <c r="N28" s="36">
        <v>42100000</v>
      </c>
      <c r="O28" s="36">
        <v>5.39</v>
      </c>
      <c r="P28" s="36">
        <v>42000000</v>
      </c>
      <c r="Q28" s="36">
        <v>4.1399999999999997</v>
      </c>
      <c r="R28" s="36">
        <v>40900000</v>
      </c>
      <c r="S28" s="36">
        <v>14.9</v>
      </c>
      <c r="T28" s="36">
        <v>33300000</v>
      </c>
      <c r="U28" s="36">
        <v>10.3</v>
      </c>
      <c r="V28" s="36">
        <v>45600000</v>
      </c>
      <c r="W28" s="36">
        <v>4.91</v>
      </c>
      <c r="X28" s="36">
        <v>38900000</v>
      </c>
      <c r="Y28" s="36">
        <v>15.7</v>
      </c>
      <c r="Z28" s="36">
        <v>41100000</v>
      </c>
      <c r="AA28" s="36">
        <v>16.3</v>
      </c>
      <c r="AB28" s="36">
        <v>40100000</v>
      </c>
      <c r="AC28" s="36">
        <v>7.65</v>
      </c>
      <c r="AD28" s="36">
        <v>33100000</v>
      </c>
      <c r="AE28" s="36">
        <v>9.51</v>
      </c>
      <c r="AF28" s="36">
        <v>42000000</v>
      </c>
      <c r="AG28" s="36">
        <v>11</v>
      </c>
      <c r="AH28" s="36">
        <v>42900000</v>
      </c>
      <c r="AI28" s="36">
        <v>8.14</v>
      </c>
      <c r="AJ28" s="36">
        <v>31800000</v>
      </c>
      <c r="AK28" s="36">
        <v>14.7</v>
      </c>
      <c r="AL28" s="36">
        <v>42200</v>
      </c>
      <c r="AM28" s="36">
        <v>17.5</v>
      </c>
      <c r="AN28" s="36">
        <v>31500000</v>
      </c>
      <c r="AO28" s="36">
        <v>14.4</v>
      </c>
      <c r="AP28" s="36">
        <v>38500000</v>
      </c>
      <c r="AQ28" s="36">
        <v>8.18</v>
      </c>
      <c r="AR28" s="36">
        <v>35700000</v>
      </c>
      <c r="AS28" s="36">
        <v>7.33</v>
      </c>
      <c r="AT28" s="36">
        <v>36600000</v>
      </c>
      <c r="AU28" s="36">
        <v>5.43</v>
      </c>
      <c r="AV28" s="36">
        <v>39400000</v>
      </c>
      <c r="AW28" s="36">
        <v>10.9</v>
      </c>
      <c r="AX28" s="36">
        <v>36500000</v>
      </c>
      <c r="AY28" s="36">
        <v>13.1</v>
      </c>
      <c r="AZ28" s="5"/>
      <c r="BA28" s="36">
        <v>34900000</v>
      </c>
      <c r="BB28" s="36">
        <v>8.11</v>
      </c>
      <c r="BC28" s="36">
        <v>47200000</v>
      </c>
      <c r="BD28" s="36">
        <v>6.24</v>
      </c>
      <c r="BE28" s="36">
        <v>52500000</v>
      </c>
      <c r="BF28" s="36">
        <v>5.84</v>
      </c>
      <c r="BG28" s="36">
        <v>60500000</v>
      </c>
      <c r="BH28" s="36">
        <v>9.07</v>
      </c>
      <c r="BI28" s="36">
        <v>60400000</v>
      </c>
      <c r="BJ28" s="36">
        <v>7.09</v>
      </c>
      <c r="BK28" s="5"/>
      <c r="BL28" s="36">
        <v>38900000</v>
      </c>
      <c r="BM28" s="36">
        <v>4.49</v>
      </c>
      <c r="BN28" s="36">
        <v>34800000</v>
      </c>
      <c r="BO28" s="36">
        <v>2.92</v>
      </c>
      <c r="BP28" s="36">
        <v>40500000</v>
      </c>
      <c r="BQ28" s="36">
        <v>15.4</v>
      </c>
      <c r="BR28" s="36">
        <v>42800000</v>
      </c>
      <c r="BS28" s="36">
        <v>16.5</v>
      </c>
      <c r="BT28" s="36">
        <v>44800000</v>
      </c>
      <c r="BU28" s="36">
        <v>11.7</v>
      </c>
      <c r="BV28" s="36">
        <v>34900000</v>
      </c>
      <c r="BW28" s="36">
        <v>11.7</v>
      </c>
      <c r="BX28" s="36">
        <v>41500000</v>
      </c>
      <c r="BY28" s="36">
        <v>11.8</v>
      </c>
      <c r="BZ28" s="36">
        <v>50100000</v>
      </c>
      <c r="CA28" s="36">
        <v>5.04</v>
      </c>
      <c r="CB28" s="36">
        <v>50400000</v>
      </c>
      <c r="CC28" s="36">
        <v>10.1</v>
      </c>
      <c r="CD28" s="36">
        <v>35600000</v>
      </c>
      <c r="CE28" s="36">
        <v>7.23</v>
      </c>
      <c r="CF28" s="36">
        <v>42200000</v>
      </c>
      <c r="CG28" s="36">
        <v>12.2</v>
      </c>
      <c r="CH28" s="36">
        <v>45300000</v>
      </c>
      <c r="CI28" s="36">
        <v>5.52</v>
      </c>
      <c r="CJ28" s="36">
        <v>59600000</v>
      </c>
      <c r="CK28" s="36">
        <v>4.1100000000000003</v>
      </c>
      <c r="CL28" s="36">
        <v>37200000</v>
      </c>
      <c r="CM28" s="36">
        <v>14.8</v>
      </c>
      <c r="CN28" s="36">
        <v>42800000</v>
      </c>
      <c r="CO28" s="36">
        <v>8.35</v>
      </c>
      <c r="CP28" s="5"/>
      <c r="CQ28" s="36">
        <v>42800000</v>
      </c>
      <c r="CR28" s="36">
        <v>6750000</v>
      </c>
      <c r="CS28" s="46">
        <v>15.8</v>
      </c>
    </row>
    <row r="29" spans="1:97">
      <c r="A29" s="13" t="s">
        <v>130</v>
      </c>
      <c r="B29" s="35">
        <v>38800000</v>
      </c>
      <c r="C29" s="35">
        <v>6.37</v>
      </c>
      <c r="D29" s="35">
        <v>41200000</v>
      </c>
      <c r="E29" s="35">
        <v>2.8</v>
      </c>
      <c r="F29" s="35">
        <v>41700000</v>
      </c>
      <c r="G29" s="35">
        <v>10</v>
      </c>
      <c r="H29" s="35">
        <v>60300000</v>
      </c>
      <c r="I29" s="35">
        <v>6.04</v>
      </c>
      <c r="J29" s="35">
        <v>50100000</v>
      </c>
      <c r="K29" s="35">
        <v>14</v>
      </c>
      <c r="L29" s="35">
        <v>49800000</v>
      </c>
      <c r="M29" s="35">
        <v>12.2</v>
      </c>
      <c r="N29" s="35">
        <v>39700000</v>
      </c>
      <c r="O29" s="35">
        <v>5.95</v>
      </c>
      <c r="P29" s="35">
        <v>36900000</v>
      </c>
      <c r="Q29" s="35">
        <v>7.96</v>
      </c>
      <c r="R29" s="35">
        <v>42500000</v>
      </c>
      <c r="S29" s="35">
        <v>13.6</v>
      </c>
      <c r="T29" s="35">
        <v>38700000</v>
      </c>
      <c r="U29" s="35">
        <v>4.97</v>
      </c>
      <c r="V29" s="35">
        <v>51100000</v>
      </c>
      <c r="W29" s="35">
        <v>6.23</v>
      </c>
      <c r="X29" s="35">
        <v>42700000</v>
      </c>
      <c r="Y29" s="35">
        <v>11</v>
      </c>
      <c r="Z29" s="35">
        <v>45500000</v>
      </c>
      <c r="AA29" s="35">
        <v>17.899999999999999</v>
      </c>
      <c r="AB29" s="35">
        <v>44600000</v>
      </c>
      <c r="AC29" s="35">
        <v>13.3</v>
      </c>
      <c r="AD29" s="35">
        <v>41300000</v>
      </c>
      <c r="AE29" s="35">
        <v>5.59</v>
      </c>
      <c r="AF29" s="35">
        <v>42000000</v>
      </c>
      <c r="AG29" s="35">
        <v>9.75</v>
      </c>
      <c r="AH29" s="35">
        <v>46800000</v>
      </c>
      <c r="AI29" s="35">
        <v>10.6</v>
      </c>
      <c r="AJ29" s="35">
        <v>29600000</v>
      </c>
      <c r="AK29" s="35">
        <v>8.4499999999999993</v>
      </c>
      <c r="AL29" s="35">
        <v>43300000</v>
      </c>
      <c r="AM29" s="35">
        <v>13.2</v>
      </c>
      <c r="AN29" s="35">
        <v>48100</v>
      </c>
      <c r="AO29" s="35">
        <v>20.100000000000001</v>
      </c>
      <c r="AP29" s="35">
        <v>39800000</v>
      </c>
      <c r="AQ29" s="35">
        <v>8.65</v>
      </c>
      <c r="AR29" s="35">
        <v>33700000</v>
      </c>
      <c r="AS29" s="35">
        <v>9.89</v>
      </c>
      <c r="AT29" s="35">
        <v>43500000</v>
      </c>
      <c r="AU29" s="35">
        <v>8.91</v>
      </c>
      <c r="AV29" s="35">
        <v>37400000</v>
      </c>
      <c r="AW29" s="35">
        <v>12.8</v>
      </c>
      <c r="AX29" s="35">
        <v>37100000</v>
      </c>
      <c r="AY29" s="35">
        <v>12.3</v>
      </c>
      <c r="AZ29" s="3"/>
      <c r="BA29" s="35">
        <v>36900000</v>
      </c>
      <c r="BB29" s="35">
        <v>10.8</v>
      </c>
      <c r="BC29" s="35">
        <v>45900000</v>
      </c>
      <c r="BD29" s="35">
        <v>5.35</v>
      </c>
      <c r="BE29" s="35">
        <v>67300000</v>
      </c>
      <c r="BF29" s="35">
        <v>7.46</v>
      </c>
      <c r="BG29" s="35">
        <v>67800000</v>
      </c>
      <c r="BH29" s="35">
        <v>5.36</v>
      </c>
      <c r="BI29" s="35">
        <v>77000000</v>
      </c>
      <c r="BJ29" s="35">
        <v>6.19</v>
      </c>
      <c r="BK29" s="3"/>
      <c r="BL29" s="35">
        <v>45700000</v>
      </c>
      <c r="BM29" s="35">
        <v>11.1</v>
      </c>
      <c r="BN29" s="35">
        <v>44800000</v>
      </c>
      <c r="BO29" s="35">
        <v>17.2</v>
      </c>
      <c r="BP29" s="35">
        <v>41600000</v>
      </c>
      <c r="BQ29" s="35">
        <v>1.08</v>
      </c>
      <c r="BR29" s="35">
        <v>51000000</v>
      </c>
      <c r="BS29" s="35">
        <v>12.7</v>
      </c>
      <c r="BT29" s="35">
        <v>42700000</v>
      </c>
      <c r="BU29" s="35">
        <v>4.32</v>
      </c>
      <c r="BV29" s="35">
        <v>34600000</v>
      </c>
      <c r="BW29" s="35">
        <v>13.3</v>
      </c>
      <c r="BX29" s="35">
        <v>36500000</v>
      </c>
      <c r="BY29" s="35">
        <v>6.43</v>
      </c>
      <c r="BZ29" s="35">
        <v>40000000</v>
      </c>
      <c r="CA29" s="35">
        <v>6.97</v>
      </c>
      <c r="CB29" s="35">
        <v>39700000</v>
      </c>
      <c r="CC29" s="35">
        <v>8.36</v>
      </c>
      <c r="CD29" s="35">
        <v>47400000</v>
      </c>
      <c r="CE29" s="35">
        <v>7.92</v>
      </c>
      <c r="CF29" s="35">
        <v>36900000</v>
      </c>
      <c r="CG29" s="35">
        <v>10.5</v>
      </c>
      <c r="CH29" s="35">
        <v>52000000</v>
      </c>
      <c r="CI29" s="35">
        <v>10.3</v>
      </c>
      <c r="CJ29" s="35">
        <v>64000000</v>
      </c>
      <c r="CK29" s="35">
        <v>8.36</v>
      </c>
      <c r="CL29" s="35">
        <v>50200000</v>
      </c>
      <c r="CM29" s="35">
        <v>13.5</v>
      </c>
      <c r="CN29" s="35">
        <v>57400000</v>
      </c>
      <c r="CO29" s="35">
        <v>6.75</v>
      </c>
      <c r="CP29" s="3"/>
      <c r="CQ29" s="35">
        <v>45600000</v>
      </c>
      <c r="CR29" s="35">
        <v>8200000</v>
      </c>
      <c r="CS29" s="45">
        <v>18</v>
      </c>
    </row>
    <row r="30" spans="1:97">
      <c r="A30" s="13" t="s">
        <v>131</v>
      </c>
      <c r="B30" s="36">
        <v>9500000</v>
      </c>
      <c r="C30" s="36">
        <v>5.42</v>
      </c>
      <c r="D30" s="36">
        <v>14100000</v>
      </c>
      <c r="E30" s="36">
        <v>9.67</v>
      </c>
      <c r="F30" s="36">
        <v>8350000</v>
      </c>
      <c r="G30" s="36">
        <v>9.64</v>
      </c>
      <c r="H30" s="36">
        <v>13100000</v>
      </c>
      <c r="I30" s="36">
        <v>9.7200000000000006</v>
      </c>
      <c r="J30" s="36">
        <v>32700000</v>
      </c>
      <c r="K30" s="36">
        <v>7.61</v>
      </c>
      <c r="L30" s="36">
        <v>48800000</v>
      </c>
      <c r="M30" s="36">
        <v>8.18</v>
      </c>
      <c r="N30" s="36">
        <v>11400000</v>
      </c>
      <c r="O30" s="36">
        <v>10.9</v>
      </c>
      <c r="P30" s="36">
        <v>26200000</v>
      </c>
      <c r="Q30" s="36">
        <v>9.24</v>
      </c>
      <c r="R30" s="36">
        <v>8410000</v>
      </c>
      <c r="S30" s="36">
        <v>6.5</v>
      </c>
      <c r="T30" s="36">
        <v>11200000</v>
      </c>
      <c r="U30" s="36">
        <v>7.39</v>
      </c>
      <c r="V30" s="36">
        <v>14300000</v>
      </c>
      <c r="W30" s="36">
        <v>3.49</v>
      </c>
      <c r="X30" s="36">
        <v>8100000</v>
      </c>
      <c r="Y30" s="36">
        <v>6.01</v>
      </c>
      <c r="Z30" s="36">
        <v>7910000</v>
      </c>
      <c r="AA30" s="36">
        <v>15</v>
      </c>
      <c r="AB30" s="36">
        <v>11400000</v>
      </c>
      <c r="AC30" s="36">
        <v>5.72</v>
      </c>
      <c r="AD30" s="36">
        <v>9880000</v>
      </c>
      <c r="AE30" s="36">
        <v>6.16</v>
      </c>
      <c r="AF30" s="36">
        <v>11000000</v>
      </c>
      <c r="AG30" s="36">
        <v>12.2</v>
      </c>
      <c r="AH30" s="36">
        <v>15100000</v>
      </c>
      <c r="AI30" s="36">
        <v>11.4</v>
      </c>
      <c r="AJ30" s="36">
        <v>12300000</v>
      </c>
      <c r="AK30" s="36">
        <v>10.9</v>
      </c>
      <c r="AL30" s="36">
        <v>19100000</v>
      </c>
      <c r="AM30" s="36">
        <v>13.1</v>
      </c>
      <c r="AN30" s="36">
        <v>1810000000</v>
      </c>
      <c r="AO30" s="36">
        <v>6.87</v>
      </c>
      <c r="AP30" s="36">
        <v>1260000</v>
      </c>
      <c r="AQ30" s="36">
        <v>16.899999999999999</v>
      </c>
      <c r="AR30" s="36">
        <v>7130000</v>
      </c>
      <c r="AS30" s="36">
        <v>1.01</v>
      </c>
      <c r="AT30" s="36">
        <v>9400000</v>
      </c>
      <c r="AU30" s="36">
        <v>7.09</v>
      </c>
      <c r="AV30" s="36">
        <v>10400000</v>
      </c>
      <c r="AW30" s="36">
        <v>4.83</v>
      </c>
      <c r="AX30" s="36">
        <v>17100000</v>
      </c>
      <c r="AY30" s="36">
        <v>10.4</v>
      </c>
      <c r="AZ30" s="5"/>
      <c r="BA30" s="36">
        <v>8200000</v>
      </c>
      <c r="BB30" s="36">
        <v>3.37</v>
      </c>
      <c r="BC30" s="36">
        <v>19000000</v>
      </c>
      <c r="BD30" s="36">
        <v>8.5</v>
      </c>
      <c r="BE30" s="36">
        <v>9460000</v>
      </c>
      <c r="BF30" s="36">
        <v>6.61</v>
      </c>
      <c r="BG30" s="36">
        <v>5270000</v>
      </c>
      <c r="BH30" s="36">
        <v>5.39</v>
      </c>
      <c r="BI30" s="36">
        <v>5830000</v>
      </c>
      <c r="BJ30" s="36">
        <v>5.67</v>
      </c>
      <c r="BK30" s="5"/>
      <c r="BL30" s="36">
        <v>16500000</v>
      </c>
      <c r="BM30" s="36">
        <v>5.61</v>
      </c>
      <c r="BN30" s="36">
        <v>15200000</v>
      </c>
      <c r="BO30" s="36">
        <v>4.1100000000000003</v>
      </c>
      <c r="BP30" s="36">
        <v>10000000</v>
      </c>
      <c r="BQ30" s="36">
        <v>7.41</v>
      </c>
      <c r="BR30" s="36">
        <v>11800000</v>
      </c>
      <c r="BS30" s="36">
        <v>6.67</v>
      </c>
      <c r="BT30" s="36">
        <v>12600000</v>
      </c>
      <c r="BU30" s="36">
        <v>8.33</v>
      </c>
      <c r="BV30" s="36">
        <v>11300000</v>
      </c>
      <c r="BW30" s="36">
        <v>7.44</v>
      </c>
      <c r="BX30" s="36">
        <v>11300000</v>
      </c>
      <c r="BY30" s="36">
        <v>5.7</v>
      </c>
      <c r="BZ30" s="36">
        <v>12600000</v>
      </c>
      <c r="CA30" s="36">
        <v>8.49</v>
      </c>
      <c r="CB30" s="36">
        <v>12600000</v>
      </c>
      <c r="CC30" s="36">
        <v>8.08</v>
      </c>
      <c r="CD30" s="36">
        <v>7580000</v>
      </c>
      <c r="CE30" s="36">
        <v>5.92</v>
      </c>
      <c r="CF30" s="36">
        <v>10800000</v>
      </c>
      <c r="CG30" s="36">
        <v>7.11</v>
      </c>
      <c r="CH30" s="36">
        <v>10300000</v>
      </c>
      <c r="CI30" s="36">
        <v>5.83</v>
      </c>
      <c r="CJ30" s="36">
        <v>12800000</v>
      </c>
      <c r="CK30" s="36">
        <v>11.7</v>
      </c>
      <c r="CL30" s="36">
        <v>10200000</v>
      </c>
      <c r="CM30" s="36">
        <v>10.3</v>
      </c>
      <c r="CN30" s="36">
        <v>7550000</v>
      </c>
      <c r="CO30" s="36">
        <v>5.5</v>
      </c>
      <c r="CP30" s="5"/>
      <c r="CQ30" s="36">
        <v>11500000</v>
      </c>
      <c r="CR30" s="36">
        <v>2410000</v>
      </c>
      <c r="CS30" s="46">
        <v>20.8</v>
      </c>
    </row>
    <row r="31" spans="1:97">
      <c r="A31" s="13" t="s">
        <v>132</v>
      </c>
      <c r="B31" s="35">
        <v>106000000</v>
      </c>
      <c r="C31" s="35">
        <v>12.3</v>
      </c>
      <c r="D31" s="35">
        <v>110000000</v>
      </c>
      <c r="E31" s="35">
        <v>3.63</v>
      </c>
      <c r="F31" s="35">
        <v>92800000</v>
      </c>
      <c r="G31" s="35">
        <v>10.9</v>
      </c>
      <c r="H31" s="35">
        <v>135000000</v>
      </c>
      <c r="I31" s="35">
        <v>7.35</v>
      </c>
      <c r="J31" s="35">
        <v>112000000</v>
      </c>
      <c r="K31" s="35">
        <v>11.1</v>
      </c>
      <c r="L31" s="35">
        <v>87900000</v>
      </c>
      <c r="M31" s="35">
        <v>11</v>
      </c>
      <c r="N31" s="35">
        <v>99100000</v>
      </c>
      <c r="O31" s="35">
        <v>4.45</v>
      </c>
      <c r="P31" s="35">
        <v>84900000</v>
      </c>
      <c r="Q31" s="35">
        <v>3.75</v>
      </c>
      <c r="R31" s="35">
        <v>88900000</v>
      </c>
      <c r="S31" s="35">
        <v>14.8</v>
      </c>
      <c r="T31" s="35">
        <v>107000000</v>
      </c>
      <c r="U31" s="35">
        <v>8.6300000000000008</v>
      </c>
      <c r="V31" s="35">
        <v>119000000</v>
      </c>
      <c r="W31" s="35">
        <v>3.27</v>
      </c>
      <c r="X31" s="35">
        <v>130000000</v>
      </c>
      <c r="Y31" s="35">
        <v>16.2</v>
      </c>
      <c r="Z31" s="35">
        <v>121000000</v>
      </c>
      <c r="AA31" s="35">
        <v>18.2</v>
      </c>
      <c r="AB31" s="35">
        <v>103000000</v>
      </c>
      <c r="AC31" s="35">
        <v>11.7</v>
      </c>
      <c r="AD31" s="35">
        <v>104000000</v>
      </c>
      <c r="AE31" s="35">
        <v>8.5399999999999991</v>
      </c>
      <c r="AF31" s="35">
        <v>107000000</v>
      </c>
      <c r="AG31" s="35">
        <v>9.42</v>
      </c>
      <c r="AH31" s="35">
        <v>122000000</v>
      </c>
      <c r="AI31" s="35">
        <v>7.79</v>
      </c>
      <c r="AJ31" s="35">
        <v>115000000</v>
      </c>
      <c r="AK31" s="35">
        <v>9.2100000000000009</v>
      </c>
      <c r="AL31" s="35">
        <v>68200000</v>
      </c>
      <c r="AM31" s="35">
        <v>5.01</v>
      </c>
      <c r="AN31" s="35">
        <v>124000000</v>
      </c>
      <c r="AO31" s="35">
        <v>5.05</v>
      </c>
      <c r="AP31" s="35">
        <v>122000000</v>
      </c>
      <c r="AQ31" s="35">
        <v>8.3800000000000008</v>
      </c>
      <c r="AR31" s="35">
        <v>324000</v>
      </c>
      <c r="AS31" s="35">
        <v>11.9</v>
      </c>
      <c r="AT31" s="35">
        <v>118000000</v>
      </c>
      <c r="AU31" s="35">
        <v>12.8</v>
      </c>
      <c r="AV31" s="35">
        <v>113000000</v>
      </c>
      <c r="AW31" s="35">
        <v>8.2799999999999994</v>
      </c>
      <c r="AX31" s="35">
        <v>86300000</v>
      </c>
      <c r="AY31" s="35">
        <v>9.9</v>
      </c>
      <c r="AZ31" s="3"/>
      <c r="BA31" s="35">
        <v>72200000</v>
      </c>
      <c r="BB31" s="35">
        <v>7.99</v>
      </c>
      <c r="BC31" s="35">
        <v>172000000</v>
      </c>
      <c r="BD31" s="35">
        <v>9.76</v>
      </c>
      <c r="BE31" s="35">
        <v>246000000</v>
      </c>
      <c r="BF31" s="35">
        <v>9.5399999999999991</v>
      </c>
      <c r="BG31" s="35">
        <v>238000000</v>
      </c>
      <c r="BH31" s="35">
        <v>7.13</v>
      </c>
      <c r="BI31" s="35">
        <v>255000000</v>
      </c>
      <c r="BJ31" s="35">
        <v>6.74</v>
      </c>
      <c r="BK31" s="3"/>
      <c r="BL31" s="35">
        <v>75300000</v>
      </c>
      <c r="BM31" s="35">
        <v>6.26</v>
      </c>
      <c r="BN31" s="35">
        <v>102000000</v>
      </c>
      <c r="BO31" s="35">
        <v>13.9</v>
      </c>
      <c r="BP31" s="35">
        <v>108000000</v>
      </c>
      <c r="BQ31" s="35">
        <v>3.07</v>
      </c>
      <c r="BR31" s="35">
        <v>127000000</v>
      </c>
      <c r="BS31" s="35">
        <v>16.2</v>
      </c>
      <c r="BT31" s="35">
        <v>141000000</v>
      </c>
      <c r="BU31" s="35">
        <v>5.94</v>
      </c>
      <c r="BV31" s="35">
        <v>106000000</v>
      </c>
      <c r="BW31" s="35">
        <v>12.5</v>
      </c>
      <c r="BX31" s="35">
        <v>128000000</v>
      </c>
      <c r="BY31" s="35">
        <v>4.34</v>
      </c>
      <c r="BZ31" s="35">
        <v>114000000</v>
      </c>
      <c r="CA31" s="35">
        <v>2.61</v>
      </c>
      <c r="CB31" s="35">
        <v>147000000</v>
      </c>
      <c r="CC31" s="35">
        <v>3.92</v>
      </c>
      <c r="CD31" s="35">
        <v>123000000</v>
      </c>
      <c r="CE31" s="35">
        <v>8.11</v>
      </c>
      <c r="CF31" s="35">
        <v>90700000</v>
      </c>
      <c r="CG31" s="35">
        <v>16.3</v>
      </c>
      <c r="CH31" s="35">
        <v>99700000</v>
      </c>
      <c r="CI31" s="35">
        <v>6.93</v>
      </c>
      <c r="CJ31" s="35">
        <v>137000000</v>
      </c>
      <c r="CK31" s="35">
        <v>6.52</v>
      </c>
      <c r="CL31" s="35">
        <v>114000000</v>
      </c>
      <c r="CM31" s="35">
        <v>11.4</v>
      </c>
      <c r="CN31" s="35">
        <v>96600000</v>
      </c>
      <c r="CO31" s="35">
        <v>5.9</v>
      </c>
      <c r="CP31" s="3"/>
      <c r="CQ31" s="35">
        <v>114000000</v>
      </c>
      <c r="CR31" s="35">
        <v>19800000</v>
      </c>
      <c r="CS31" s="45">
        <v>17.399999999999999</v>
      </c>
    </row>
    <row r="32" spans="1:97">
      <c r="A32" s="13" t="s">
        <v>133</v>
      </c>
      <c r="B32" s="36">
        <v>57200000</v>
      </c>
      <c r="C32" s="36">
        <v>7.08</v>
      </c>
      <c r="D32" s="36">
        <v>55000000</v>
      </c>
      <c r="E32" s="36">
        <v>8.5500000000000007</v>
      </c>
      <c r="F32" s="36">
        <v>220000000</v>
      </c>
      <c r="G32" s="36">
        <v>11.2</v>
      </c>
      <c r="H32" s="36">
        <v>120000000</v>
      </c>
      <c r="I32" s="36">
        <v>7.03</v>
      </c>
      <c r="J32" s="36">
        <v>108000000</v>
      </c>
      <c r="K32" s="36">
        <v>2.92</v>
      </c>
      <c r="L32" s="36">
        <v>118000000</v>
      </c>
      <c r="M32" s="36">
        <v>8.34</v>
      </c>
      <c r="N32" s="36">
        <v>110000000</v>
      </c>
      <c r="O32" s="36">
        <v>5.04</v>
      </c>
      <c r="P32" s="36">
        <v>97500000</v>
      </c>
      <c r="Q32" s="36">
        <v>9.73</v>
      </c>
      <c r="R32" s="36">
        <v>127000000</v>
      </c>
      <c r="S32" s="36">
        <v>8.64</v>
      </c>
      <c r="T32" s="36">
        <v>37900000</v>
      </c>
      <c r="U32" s="36">
        <v>6.25</v>
      </c>
      <c r="V32" s="36">
        <v>101000000</v>
      </c>
      <c r="W32" s="36">
        <v>9.6999999999999993</v>
      </c>
      <c r="X32" s="36">
        <v>57700000</v>
      </c>
      <c r="Y32" s="36">
        <v>10.6</v>
      </c>
      <c r="Z32" s="36">
        <v>74000000</v>
      </c>
      <c r="AA32" s="36">
        <v>14</v>
      </c>
      <c r="AB32" s="36">
        <v>79300000</v>
      </c>
      <c r="AC32" s="36">
        <v>6.35</v>
      </c>
      <c r="AD32" s="36">
        <v>63600000</v>
      </c>
      <c r="AE32" s="36">
        <v>11.1</v>
      </c>
      <c r="AF32" s="36">
        <v>78400000</v>
      </c>
      <c r="AG32" s="36">
        <v>4.32</v>
      </c>
      <c r="AH32" s="36">
        <v>51700000</v>
      </c>
      <c r="AI32" s="36">
        <v>5.66</v>
      </c>
      <c r="AJ32" s="36">
        <v>81300000</v>
      </c>
      <c r="AK32" s="36">
        <v>11.2</v>
      </c>
      <c r="AL32" s="36">
        <v>95700000</v>
      </c>
      <c r="AM32" s="36">
        <v>15.4</v>
      </c>
      <c r="AN32" s="36">
        <v>50200000</v>
      </c>
      <c r="AO32" s="36">
        <v>16.3</v>
      </c>
      <c r="AP32" s="36">
        <v>55500000</v>
      </c>
      <c r="AQ32" s="36">
        <v>9.2200000000000006</v>
      </c>
      <c r="AR32" s="36">
        <v>135000000</v>
      </c>
      <c r="AS32" s="36">
        <v>7.69</v>
      </c>
      <c r="AT32" s="36">
        <v>64100</v>
      </c>
      <c r="AU32" s="36">
        <v>14.5</v>
      </c>
      <c r="AV32" s="36">
        <v>208000000</v>
      </c>
      <c r="AW32" s="36">
        <v>7.74</v>
      </c>
      <c r="AX32" s="36">
        <v>78200000</v>
      </c>
      <c r="AY32" s="36">
        <v>12.5</v>
      </c>
      <c r="AZ32" s="5"/>
      <c r="BA32" s="36">
        <v>121000000</v>
      </c>
      <c r="BB32" s="36">
        <v>6.92</v>
      </c>
      <c r="BC32" s="36">
        <v>58900000</v>
      </c>
      <c r="BD32" s="36">
        <v>7.46</v>
      </c>
      <c r="BE32" s="36">
        <v>77900000</v>
      </c>
      <c r="BF32" s="36">
        <v>7.22</v>
      </c>
      <c r="BG32" s="36">
        <v>66200000</v>
      </c>
      <c r="BH32" s="36">
        <v>7.86</v>
      </c>
      <c r="BI32" s="36">
        <v>113000000</v>
      </c>
      <c r="BJ32" s="36">
        <v>7.92</v>
      </c>
      <c r="BK32" s="5"/>
      <c r="BL32" s="36">
        <v>103000000</v>
      </c>
      <c r="BM32" s="36">
        <v>3.93</v>
      </c>
      <c r="BN32" s="36">
        <v>68100000</v>
      </c>
      <c r="BO32" s="36">
        <v>2.99</v>
      </c>
      <c r="BP32" s="36">
        <v>97000000</v>
      </c>
      <c r="BQ32" s="36">
        <v>8.7200000000000006</v>
      </c>
      <c r="BR32" s="36">
        <v>88100000</v>
      </c>
      <c r="BS32" s="36">
        <v>4.91</v>
      </c>
      <c r="BT32" s="36">
        <v>79200000</v>
      </c>
      <c r="BU32" s="36">
        <v>8.8699999999999992</v>
      </c>
      <c r="BV32" s="36">
        <v>88000000</v>
      </c>
      <c r="BW32" s="36">
        <v>12.6</v>
      </c>
      <c r="BX32" s="36">
        <v>66900000</v>
      </c>
      <c r="BY32" s="36">
        <v>7.57</v>
      </c>
      <c r="BZ32" s="36">
        <v>134000000</v>
      </c>
      <c r="CA32" s="36">
        <v>10.6</v>
      </c>
      <c r="CB32" s="36">
        <v>104000000</v>
      </c>
      <c r="CC32" s="36">
        <v>9.0500000000000007</v>
      </c>
      <c r="CD32" s="36">
        <v>90100000</v>
      </c>
      <c r="CE32" s="36">
        <v>10.1</v>
      </c>
      <c r="CF32" s="36">
        <v>103000000</v>
      </c>
      <c r="CG32" s="36">
        <v>8.9600000000000009</v>
      </c>
      <c r="CH32" s="36">
        <v>99100000</v>
      </c>
      <c r="CI32" s="36">
        <v>8.6199999999999992</v>
      </c>
      <c r="CJ32" s="36">
        <v>86800000</v>
      </c>
      <c r="CK32" s="36">
        <v>7.1</v>
      </c>
      <c r="CL32" s="36">
        <v>82500000</v>
      </c>
      <c r="CM32" s="36">
        <v>14.2</v>
      </c>
      <c r="CN32" s="36">
        <v>74300000</v>
      </c>
      <c r="CO32" s="36">
        <v>4.3099999999999996</v>
      </c>
      <c r="CP32" s="5"/>
      <c r="CQ32" s="36">
        <v>91000000</v>
      </c>
      <c r="CR32" s="36">
        <v>17000000</v>
      </c>
      <c r="CS32" s="46">
        <v>18.7</v>
      </c>
    </row>
    <row r="33" spans="1:97">
      <c r="A33" s="13" t="s">
        <v>134</v>
      </c>
      <c r="B33" s="35">
        <v>63600000</v>
      </c>
      <c r="C33" s="35">
        <v>10.3</v>
      </c>
      <c r="D33" s="35">
        <v>72700000</v>
      </c>
      <c r="E33" s="35">
        <v>3.6</v>
      </c>
      <c r="F33" s="35">
        <v>226000000</v>
      </c>
      <c r="G33" s="35">
        <v>10.9</v>
      </c>
      <c r="H33" s="35">
        <v>117000000</v>
      </c>
      <c r="I33" s="35">
        <v>8.0399999999999991</v>
      </c>
      <c r="J33" s="35">
        <v>117000000</v>
      </c>
      <c r="K33" s="35">
        <v>5.6</v>
      </c>
      <c r="L33" s="35">
        <v>118000000</v>
      </c>
      <c r="M33" s="35">
        <v>9.06</v>
      </c>
      <c r="N33" s="35">
        <v>118000000</v>
      </c>
      <c r="O33" s="35">
        <v>8.01</v>
      </c>
      <c r="P33" s="35">
        <v>110000000</v>
      </c>
      <c r="Q33" s="35">
        <v>5.72</v>
      </c>
      <c r="R33" s="35">
        <v>127000000</v>
      </c>
      <c r="S33" s="35">
        <v>7.18</v>
      </c>
      <c r="T33" s="35">
        <v>40800000</v>
      </c>
      <c r="U33" s="35">
        <v>6.18</v>
      </c>
      <c r="V33" s="35">
        <v>126000000</v>
      </c>
      <c r="W33" s="35">
        <v>1.67</v>
      </c>
      <c r="X33" s="35">
        <v>74300000</v>
      </c>
      <c r="Y33" s="35">
        <v>14</v>
      </c>
      <c r="Z33" s="35">
        <v>85900000</v>
      </c>
      <c r="AA33" s="35">
        <v>19.399999999999999</v>
      </c>
      <c r="AB33" s="35">
        <v>77500000</v>
      </c>
      <c r="AC33" s="35">
        <v>11.9</v>
      </c>
      <c r="AD33" s="35">
        <v>66700000</v>
      </c>
      <c r="AE33" s="35">
        <v>11.1</v>
      </c>
      <c r="AF33" s="35">
        <v>84400000</v>
      </c>
      <c r="AG33" s="35">
        <v>8.2899999999999991</v>
      </c>
      <c r="AH33" s="35">
        <v>52300000</v>
      </c>
      <c r="AI33" s="35">
        <v>11.1</v>
      </c>
      <c r="AJ33" s="35">
        <v>102000000</v>
      </c>
      <c r="AK33" s="35">
        <v>11.9</v>
      </c>
      <c r="AL33" s="35">
        <v>118000000</v>
      </c>
      <c r="AM33" s="35">
        <v>7.35</v>
      </c>
      <c r="AN33" s="35">
        <v>68600000</v>
      </c>
      <c r="AO33" s="35">
        <v>8.98</v>
      </c>
      <c r="AP33" s="35">
        <v>57800000</v>
      </c>
      <c r="AQ33" s="35">
        <v>6.18</v>
      </c>
      <c r="AR33" s="35">
        <v>157000000</v>
      </c>
      <c r="AS33" s="35">
        <v>7.87</v>
      </c>
      <c r="AT33" s="35">
        <v>58600000</v>
      </c>
      <c r="AU33" s="35">
        <v>11.5</v>
      </c>
      <c r="AV33" s="35">
        <v>190000</v>
      </c>
      <c r="AW33" s="35">
        <v>10.8</v>
      </c>
      <c r="AX33" s="35">
        <v>76000000</v>
      </c>
      <c r="AY33" s="35">
        <v>8.33</v>
      </c>
      <c r="AZ33" s="3"/>
      <c r="BA33" s="35">
        <v>144000000</v>
      </c>
      <c r="BB33" s="35">
        <v>5.17</v>
      </c>
      <c r="BC33" s="35">
        <v>61200000</v>
      </c>
      <c r="BD33" s="35">
        <v>11.4</v>
      </c>
      <c r="BE33" s="35">
        <v>80400000</v>
      </c>
      <c r="BF33" s="35">
        <v>10.199999999999999</v>
      </c>
      <c r="BG33" s="35">
        <v>74400000</v>
      </c>
      <c r="BH33" s="35">
        <v>5.5</v>
      </c>
      <c r="BI33" s="35">
        <v>115000000</v>
      </c>
      <c r="BJ33" s="35">
        <v>5.03</v>
      </c>
      <c r="BK33" s="3"/>
      <c r="BL33" s="35">
        <v>95200000</v>
      </c>
      <c r="BM33" s="35">
        <v>7.57</v>
      </c>
      <c r="BN33" s="35">
        <v>60700000</v>
      </c>
      <c r="BO33" s="35">
        <v>14</v>
      </c>
      <c r="BP33" s="35">
        <v>148000000</v>
      </c>
      <c r="BQ33" s="35">
        <v>1.36</v>
      </c>
      <c r="BR33" s="35">
        <v>107000000</v>
      </c>
      <c r="BS33" s="35">
        <v>13.6</v>
      </c>
      <c r="BT33" s="35">
        <v>88500000</v>
      </c>
      <c r="BU33" s="35">
        <v>3.47</v>
      </c>
      <c r="BV33" s="35">
        <v>81200000</v>
      </c>
      <c r="BW33" s="35">
        <v>14.9</v>
      </c>
      <c r="BX33" s="35">
        <v>69300000</v>
      </c>
      <c r="BY33" s="35">
        <v>5.55</v>
      </c>
      <c r="BZ33" s="35">
        <v>130000000</v>
      </c>
      <c r="CA33" s="35">
        <v>4.2300000000000004</v>
      </c>
      <c r="CB33" s="35">
        <v>96200000</v>
      </c>
      <c r="CC33" s="35">
        <v>6.29</v>
      </c>
      <c r="CD33" s="35">
        <v>104000000</v>
      </c>
      <c r="CE33" s="35">
        <v>6.52</v>
      </c>
      <c r="CF33" s="35">
        <v>117000000</v>
      </c>
      <c r="CG33" s="35">
        <v>4.12</v>
      </c>
      <c r="CH33" s="35">
        <v>146000000</v>
      </c>
      <c r="CI33" s="35">
        <v>8.89</v>
      </c>
      <c r="CJ33" s="35">
        <v>130000000</v>
      </c>
      <c r="CK33" s="35">
        <v>4.2300000000000004</v>
      </c>
      <c r="CL33" s="35">
        <v>98100000</v>
      </c>
      <c r="CM33" s="35">
        <v>17.7</v>
      </c>
      <c r="CN33" s="35">
        <v>88100000</v>
      </c>
      <c r="CO33" s="35">
        <v>4.5199999999999996</v>
      </c>
      <c r="CP33" s="3"/>
      <c r="CQ33" s="35">
        <v>104000000</v>
      </c>
      <c r="CR33" s="35">
        <v>26000000</v>
      </c>
      <c r="CS33" s="45">
        <v>25</v>
      </c>
    </row>
    <row r="34" spans="1:97">
      <c r="A34" s="13" t="s">
        <v>135</v>
      </c>
      <c r="B34" s="36">
        <v>136000000</v>
      </c>
      <c r="C34" s="36">
        <v>8.36</v>
      </c>
      <c r="D34" s="36">
        <v>117000000</v>
      </c>
      <c r="E34" s="36">
        <v>11.1</v>
      </c>
      <c r="F34" s="36">
        <v>178000000</v>
      </c>
      <c r="G34" s="36">
        <v>12.2</v>
      </c>
      <c r="H34" s="36">
        <v>236000000</v>
      </c>
      <c r="I34" s="36">
        <v>8.09</v>
      </c>
      <c r="J34" s="36">
        <v>224000000</v>
      </c>
      <c r="K34" s="36">
        <v>3.19</v>
      </c>
      <c r="L34" s="36">
        <v>132000000</v>
      </c>
      <c r="M34" s="36">
        <v>9.66</v>
      </c>
      <c r="N34" s="36">
        <v>128000000</v>
      </c>
      <c r="O34" s="36">
        <v>14</v>
      </c>
      <c r="P34" s="36">
        <v>112000000</v>
      </c>
      <c r="Q34" s="36">
        <v>7.74</v>
      </c>
      <c r="R34" s="36">
        <v>116000000</v>
      </c>
      <c r="S34" s="36">
        <v>13.8</v>
      </c>
      <c r="T34" s="36">
        <v>151000000</v>
      </c>
      <c r="U34" s="36">
        <v>10.6</v>
      </c>
      <c r="V34" s="36">
        <v>196000000</v>
      </c>
      <c r="W34" s="36">
        <v>9.92</v>
      </c>
      <c r="X34" s="36">
        <v>141000000</v>
      </c>
      <c r="Y34" s="36">
        <v>13.9</v>
      </c>
      <c r="Z34" s="36">
        <v>150000000</v>
      </c>
      <c r="AA34" s="36">
        <v>19.3</v>
      </c>
      <c r="AB34" s="36">
        <v>136000000</v>
      </c>
      <c r="AC34" s="36">
        <v>7.02</v>
      </c>
      <c r="AD34" s="36">
        <v>140000000</v>
      </c>
      <c r="AE34" s="36">
        <v>12.5</v>
      </c>
      <c r="AF34" s="36">
        <v>138000000</v>
      </c>
      <c r="AG34" s="36">
        <v>9.0299999999999994</v>
      </c>
      <c r="AH34" s="36">
        <v>239000000</v>
      </c>
      <c r="AI34" s="36">
        <v>10.8</v>
      </c>
      <c r="AJ34" s="36">
        <v>144000000</v>
      </c>
      <c r="AK34" s="36">
        <v>12.3</v>
      </c>
      <c r="AL34" s="36">
        <v>85400000</v>
      </c>
      <c r="AM34" s="36">
        <v>16.2</v>
      </c>
      <c r="AN34" s="36">
        <v>115000000</v>
      </c>
      <c r="AO34" s="36">
        <v>14.2</v>
      </c>
      <c r="AP34" s="36">
        <v>161000000</v>
      </c>
      <c r="AQ34" s="36">
        <v>11</v>
      </c>
      <c r="AR34" s="36">
        <v>113000000</v>
      </c>
      <c r="AS34" s="36">
        <v>10</v>
      </c>
      <c r="AT34" s="36">
        <v>151000000</v>
      </c>
      <c r="AU34" s="36">
        <v>9.64</v>
      </c>
      <c r="AV34" s="36">
        <v>149000000</v>
      </c>
      <c r="AW34" s="36">
        <v>6.29</v>
      </c>
      <c r="AX34" s="36">
        <v>45500</v>
      </c>
      <c r="AY34" s="36">
        <v>19.100000000000001</v>
      </c>
      <c r="AZ34" s="5"/>
      <c r="BA34" s="36">
        <v>107000000</v>
      </c>
      <c r="BB34" s="36">
        <v>3.53</v>
      </c>
      <c r="BC34" s="36">
        <v>253000000</v>
      </c>
      <c r="BD34" s="36">
        <v>7.77</v>
      </c>
      <c r="BE34" s="36">
        <v>311000000</v>
      </c>
      <c r="BF34" s="36">
        <v>6.95</v>
      </c>
      <c r="BG34" s="36">
        <v>356000000</v>
      </c>
      <c r="BH34" s="36">
        <v>7.61</v>
      </c>
      <c r="BI34" s="36">
        <v>443000000</v>
      </c>
      <c r="BJ34" s="36">
        <v>9.91</v>
      </c>
      <c r="BK34" s="5"/>
      <c r="BL34" s="36">
        <v>134000000</v>
      </c>
      <c r="BM34" s="36">
        <v>0.51200000000000001</v>
      </c>
      <c r="BN34" s="36">
        <v>145000000</v>
      </c>
      <c r="BO34" s="36">
        <v>4.2</v>
      </c>
      <c r="BP34" s="36">
        <v>155000000</v>
      </c>
      <c r="BQ34" s="36">
        <v>9.3699999999999992</v>
      </c>
      <c r="BR34" s="36">
        <v>180000000</v>
      </c>
      <c r="BS34" s="36">
        <v>6.49</v>
      </c>
      <c r="BT34" s="36">
        <v>214000000</v>
      </c>
      <c r="BU34" s="36">
        <v>16.7</v>
      </c>
      <c r="BV34" s="36">
        <v>201000000</v>
      </c>
      <c r="BW34" s="36">
        <v>14.9</v>
      </c>
      <c r="BX34" s="36">
        <v>155000000</v>
      </c>
      <c r="BY34" s="36">
        <v>9.4600000000000009</v>
      </c>
      <c r="BZ34" s="36">
        <v>184000000</v>
      </c>
      <c r="CA34" s="36">
        <v>9.7100000000000009</v>
      </c>
      <c r="CB34" s="36">
        <v>140000000</v>
      </c>
      <c r="CC34" s="36">
        <v>6.82</v>
      </c>
      <c r="CD34" s="36">
        <v>128000000</v>
      </c>
      <c r="CE34" s="36">
        <v>6.65</v>
      </c>
      <c r="CF34" s="36">
        <v>122000000</v>
      </c>
      <c r="CG34" s="36">
        <v>11.7</v>
      </c>
      <c r="CH34" s="36">
        <v>176000000</v>
      </c>
      <c r="CI34" s="36">
        <v>8.51</v>
      </c>
      <c r="CJ34" s="36">
        <v>191000000</v>
      </c>
      <c r="CK34" s="36">
        <v>8.24</v>
      </c>
      <c r="CL34" s="36">
        <v>116000000</v>
      </c>
      <c r="CM34" s="36">
        <v>20.7</v>
      </c>
      <c r="CN34" s="36">
        <v>106000000</v>
      </c>
      <c r="CO34" s="36">
        <v>6.39</v>
      </c>
      <c r="CP34" s="5"/>
      <c r="CQ34" s="36">
        <v>157000000</v>
      </c>
      <c r="CR34" s="36">
        <v>33100000</v>
      </c>
      <c r="CS34" s="46">
        <v>21.1</v>
      </c>
    </row>
    <row r="35" spans="1:97">
      <c r="A35" s="13" t="s">
        <v>156</v>
      </c>
      <c r="B35" s="35">
        <v>32700000</v>
      </c>
      <c r="C35" s="35">
        <v>9.5</v>
      </c>
      <c r="D35" s="35">
        <v>23600000</v>
      </c>
      <c r="E35" s="35">
        <v>7.34</v>
      </c>
      <c r="F35" s="35">
        <v>24500000</v>
      </c>
      <c r="G35" s="35">
        <v>15.8</v>
      </c>
      <c r="H35" s="35">
        <v>43300000</v>
      </c>
      <c r="I35" s="35">
        <v>15.7</v>
      </c>
      <c r="J35" s="35">
        <v>39900000</v>
      </c>
      <c r="K35" s="35">
        <v>13.5</v>
      </c>
      <c r="L35" s="35">
        <v>32900000</v>
      </c>
      <c r="M35" s="35">
        <v>11</v>
      </c>
      <c r="N35" s="35">
        <v>25400000</v>
      </c>
      <c r="O35" s="35">
        <v>14.7</v>
      </c>
      <c r="P35" s="35">
        <v>21900000</v>
      </c>
      <c r="Q35" s="35">
        <v>11.1</v>
      </c>
      <c r="R35" s="35">
        <v>30100000</v>
      </c>
      <c r="S35" s="35">
        <v>8.3800000000000008</v>
      </c>
      <c r="T35" s="35">
        <v>33700000</v>
      </c>
      <c r="U35" s="35">
        <v>5.86</v>
      </c>
      <c r="V35" s="35">
        <v>35500000</v>
      </c>
      <c r="W35" s="35">
        <v>12.1</v>
      </c>
      <c r="X35" s="35">
        <v>31300000</v>
      </c>
      <c r="Y35" s="35">
        <v>10.1</v>
      </c>
      <c r="Z35" s="35">
        <v>28300000</v>
      </c>
      <c r="AA35" s="35">
        <v>14.2</v>
      </c>
      <c r="AB35" s="35">
        <v>29500000</v>
      </c>
      <c r="AC35" s="35">
        <v>10.5</v>
      </c>
      <c r="AD35" s="35">
        <v>32200000</v>
      </c>
      <c r="AE35" s="35">
        <v>2.2799999999999998</v>
      </c>
      <c r="AF35" s="35">
        <v>39900000</v>
      </c>
      <c r="AG35" s="35">
        <v>17.100000000000001</v>
      </c>
      <c r="AH35" s="35">
        <v>51000000</v>
      </c>
      <c r="AI35" s="35">
        <v>6.46</v>
      </c>
      <c r="AJ35" s="35">
        <v>37000000</v>
      </c>
      <c r="AK35" s="35">
        <v>6.92</v>
      </c>
      <c r="AL35" s="35">
        <v>11000000</v>
      </c>
      <c r="AM35" s="35">
        <v>5.38</v>
      </c>
      <c r="AN35" s="35">
        <v>37300000</v>
      </c>
      <c r="AO35" s="35">
        <v>5.31</v>
      </c>
      <c r="AP35" s="35">
        <v>30400000</v>
      </c>
      <c r="AQ35" s="35">
        <v>11</v>
      </c>
      <c r="AR35" s="35">
        <v>25900000</v>
      </c>
      <c r="AS35" s="35">
        <v>6.13</v>
      </c>
      <c r="AT35" s="35">
        <v>32000000</v>
      </c>
      <c r="AU35" s="35">
        <v>9.6199999999999992</v>
      </c>
      <c r="AV35" s="35">
        <v>27900000</v>
      </c>
      <c r="AW35" s="35">
        <v>11.6</v>
      </c>
      <c r="AX35" s="35">
        <v>27100000</v>
      </c>
      <c r="AY35" s="35">
        <v>9.14</v>
      </c>
      <c r="AZ35" s="3"/>
      <c r="BA35" s="35">
        <v>23300000</v>
      </c>
      <c r="BB35" s="35">
        <v>12.1</v>
      </c>
      <c r="BC35" s="35">
        <v>34800000</v>
      </c>
      <c r="BD35" s="35">
        <v>4.42</v>
      </c>
      <c r="BE35" s="35">
        <v>60000000</v>
      </c>
      <c r="BF35" s="35">
        <v>13</v>
      </c>
      <c r="BG35" s="35">
        <v>72200000</v>
      </c>
      <c r="BH35" s="35">
        <v>7.61</v>
      </c>
      <c r="BI35" s="35">
        <v>60800000</v>
      </c>
      <c r="BJ35" s="35">
        <v>9.73</v>
      </c>
      <c r="BK35" s="3"/>
      <c r="BL35" s="35">
        <v>32700000</v>
      </c>
      <c r="BM35" s="35">
        <v>12.1</v>
      </c>
      <c r="BN35" s="35">
        <v>49200000</v>
      </c>
      <c r="BO35" s="35">
        <v>10.7</v>
      </c>
      <c r="BP35" s="35">
        <v>27900000</v>
      </c>
      <c r="BQ35" s="35">
        <v>6.71</v>
      </c>
      <c r="BR35" s="35">
        <v>45800000</v>
      </c>
      <c r="BS35" s="35">
        <v>2.96</v>
      </c>
      <c r="BT35" s="35">
        <v>53900000</v>
      </c>
      <c r="BU35" s="35">
        <v>13.9</v>
      </c>
      <c r="BV35" s="35">
        <v>37600000</v>
      </c>
      <c r="BW35" s="35">
        <v>20.3</v>
      </c>
      <c r="BX35" s="35">
        <v>36800000</v>
      </c>
      <c r="BY35" s="35">
        <v>18.8</v>
      </c>
      <c r="BZ35" s="35">
        <v>22900000</v>
      </c>
      <c r="CA35" s="35">
        <v>10.8</v>
      </c>
      <c r="CB35" s="35">
        <v>29000000</v>
      </c>
      <c r="CC35" s="35">
        <v>6.62</v>
      </c>
      <c r="CD35" s="35">
        <v>38700000</v>
      </c>
      <c r="CE35" s="35">
        <v>11</v>
      </c>
      <c r="CF35" s="35">
        <v>35900000</v>
      </c>
      <c r="CG35" s="35">
        <v>21.7</v>
      </c>
      <c r="CH35" s="35">
        <v>34900000</v>
      </c>
      <c r="CI35" s="35">
        <v>9.66</v>
      </c>
      <c r="CJ35" s="35">
        <v>52600000</v>
      </c>
      <c r="CK35" s="35">
        <v>6.11</v>
      </c>
      <c r="CL35" s="35">
        <v>35000000</v>
      </c>
      <c r="CM35" s="35">
        <v>12.3</v>
      </c>
      <c r="CN35" s="35">
        <v>39200000</v>
      </c>
      <c r="CO35" s="35">
        <v>17.3</v>
      </c>
      <c r="CP35" s="3"/>
      <c r="CQ35" s="35">
        <v>38100000</v>
      </c>
      <c r="CR35" s="35">
        <v>8930000</v>
      </c>
      <c r="CS35" s="45">
        <v>23.4</v>
      </c>
    </row>
    <row r="36" spans="1:97">
      <c r="A36" s="13" t="s">
        <v>157</v>
      </c>
      <c r="B36" s="36">
        <v>1110000</v>
      </c>
      <c r="C36" s="36">
        <v>15.1</v>
      </c>
      <c r="D36" s="36">
        <v>842000</v>
      </c>
      <c r="E36" s="36">
        <v>6.93</v>
      </c>
      <c r="F36" s="36">
        <v>869000</v>
      </c>
      <c r="G36" s="36">
        <v>21.5</v>
      </c>
      <c r="H36" s="36">
        <v>3070000</v>
      </c>
      <c r="I36" s="36">
        <v>16.399999999999999</v>
      </c>
      <c r="J36" s="36">
        <v>2560000</v>
      </c>
      <c r="K36" s="36">
        <v>8.9499999999999993</v>
      </c>
      <c r="L36" s="36">
        <v>1520000</v>
      </c>
      <c r="M36" s="36">
        <v>11.6</v>
      </c>
      <c r="N36" s="36">
        <v>691000</v>
      </c>
      <c r="O36" s="36">
        <v>9.31</v>
      </c>
      <c r="P36" s="36">
        <v>758000</v>
      </c>
      <c r="Q36" s="36">
        <v>8.19</v>
      </c>
      <c r="R36" s="36">
        <v>965000</v>
      </c>
      <c r="S36" s="36">
        <v>9.5299999999999994</v>
      </c>
      <c r="T36" s="36">
        <v>1310000</v>
      </c>
      <c r="U36" s="36">
        <v>8.31</v>
      </c>
      <c r="V36" s="36">
        <v>779000</v>
      </c>
      <c r="W36" s="36">
        <v>13.3</v>
      </c>
      <c r="X36" s="36">
        <v>816000</v>
      </c>
      <c r="Y36" s="36">
        <v>12.2</v>
      </c>
      <c r="Z36" s="36">
        <v>812000</v>
      </c>
      <c r="AA36" s="36">
        <v>14.2</v>
      </c>
      <c r="AB36" s="36">
        <v>914000</v>
      </c>
      <c r="AC36" s="36">
        <v>8.84</v>
      </c>
      <c r="AD36" s="36">
        <v>976000</v>
      </c>
      <c r="AE36" s="36">
        <v>3.47</v>
      </c>
      <c r="AF36" s="36">
        <v>2890000</v>
      </c>
      <c r="AG36" s="36">
        <v>11.6</v>
      </c>
      <c r="AH36" s="36">
        <v>6940000</v>
      </c>
      <c r="AI36" s="36">
        <v>6.14</v>
      </c>
      <c r="AJ36" s="36">
        <v>4460000</v>
      </c>
      <c r="AK36" s="36">
        <v>9.6199999999999992</v>
      </c>
      <c r="AL36" s="36">
        <v>359000</v>
      </c>
      <c r="AM36" s="36">
        <v>14.6</v>
      </c>
      <c r="AN36" s="36">
        <v>1180000</v>
      </c>
      <c r="AO36" s="36">
        <v>8.07</v>
      </c>
      <c r="AP36" s="36">
        <v>993000</v>
      </c>
      <c r="AQ36" s="36">
        <v>7.28</v>
      </c>
      <c r="AR36" s="36">
        <v>506000</v>
      </c>
      <c r="AS36" s="36">
        <v>7.9</v>
      </c>
      <c r="AT36" s="36">
        <v>1050000</v>
      </c>
      <c r="AU36" s="36">
        <v>20.2</v>
      </c>
      <c r="AV36" s="36">
        <v>874000</v>
      </c>
      <c r="AW36" s="36">
        <v>7.71</v>
      </c>
      <c r="AX36" s="36">
        <v>927000</v>
      </c>
      <c r="AY36" s="36">
        <v>14.5</v>
      </c>
      <c r="AZ36" s="5"/>
      <c r="BA36" s="36">
        <v>593000</v>
      </c>
      <c r="BB36" s="36">
        <v>12.9</v>
      </c>
      <c r="BC36" s="36">
        <v>1390000</v>
      </c>
      <c r="BD36" s="36">
        <v>9.27</v>
      </c>
      <c r="BE36" s="36">
        <v>3030000</v>
      </c>
      <c r="BF36" s="36">
        <v>8.3699999999999992</v>
      </c>
      <c r="BG36" s="36">
        <v>3520000</v>
      </c>
      <c r="BH36" s="36">
        <v>8.56</v>
      </c>
      <c r="BI36" s="36">
        <v>3760000</v>
      </c>
      <c r="BJ36" s="36">
        <v>10</v>
      </c>
      <c r="BK36" s="5"/>
      <c r="BL36" s="36">
        <v>1010000</v>
      </c>
      <c r="BM36" s="36">
        <v>10.7</v>
      </c>
      <c r="BN36" s="36">
        <v>1650000</v>
      </c>
      <c r="BO36" s="36">
        <v>7.31</v>
      </c>
      <c r="BP36" s="36">
        <v>1080000</v>
      </c>
      <c r="BQ36" s="36">
        <v>13</v>
      </c>
      <c r="BR36" s="36">
        <v>1790000</v>
      </c>
      <c r="BS36" s="36">
        <v>6.87</v>
      </c>
      <c r="BT36" s="36">
        <v>2260000</v>
      </c>
      <c r="BU36" s="36">
        <v>11.2</v>
      </c>
      <c r="BV36" s="36">
        <v>1500000</v>
      </c>
      <c r="BW36" s="36">
        <v>18.3</v>
      </c>
      <c r="BX36" s="36">
        <v>1620000</v>
      </c>
      <c r="BY36" s="36">
        <v>7.74</v>
      </c>
      <c r="BZ36" s="36">
        <v>919000</v>
      </c>
      <c r="CA36" s="36">
        <v>15.6</v>
      </c>
      <c r="CB36" s="36">
        <v>1380000</v>
      </c>
      <c r="CC36" s="36">
        <v>8.73</v>
      </c>
      <c r="CD36" s="36">
        <v>1510000</v>
      </c>
      <c r="CE36" s="36">
        <v>9.59</v>
      </c>
      <c r="CF36" s="36">
        <v>1190000</v>
      </c>
      <c r="CG36" s="36">
        <v>21.8</v>
      </c>
      <c r="CH36" s="36">
        <v>1130000</v>
      </c>
      <c r="CI36" s="36">
        <v>11.5</v>
      </c>
      <c r="CJ36" s="36">
        <v>1860000</v>
      </c>
      <c r="CK36" s="36">
        <v>6.93</v>
      </c>
      <c r="CL36" s="36">
        <v>1690000</v>
      </c>
      <c r="CM36" s="36">
        <v>10.3</v>
      </c>
      <c r="CN36" s="36">
        <v>1710000</v>
      </c>
      <c r="CO36" s="36">
        <v>11.5</v>
      </c>
      <c r="CP36" s="5"/>
      <c r="CQ36" s="36">
        <v>1490000</v>
      </c>
      <c r="CR36" s="36">
        <v>368000</v>
      </c>
      <c r="CS36" s="46">
        <v>24.8</v>
      </c>
    </row>
    <row r="37" spans="1:97">
      <c r="A37" s="13" t="s">
        <v>158</v>
      </c>
      <c r="B37" s="35">
        <v>3120000</v>
      </c>
      <c r="C37" s="35">
        <v>13.4</v>
      </c>
      <c r="D37" s="35">
        <v>2760000</v>
      </c>
      <c r="E37" s="35">
        <v>5.49</v>
      </c>
      <c r="F37" s="35">
        <v>2700000</v>
      </c>
      <c r="G37" s="35">
        <v>10.1</v>
      </c>
      <c r="H37" s="35">
        <v>1600000</v>
      </c>
      <c r="I37" s="35">
        <v>13</v>
      </c>
      <c r="J37" s="35">
        <v>2190000</v>
      </c>
      <c r="K37" s="35">
        <v>6.9</v>
      </c>
      <c r="L37" s="35">
        <v>3470000</v>
      </c>
      <c r="M37" s="35">
        <v>8.02</v>
      </c>
      <c r="N37" s="35">
        <v>2870000</v>
      </c>
      <c r="O37" s="35">
        <v>12.8</v>
      </c>
      <c r="P37" s="35">
        <v>2450000</v>
      </c>
      <c r="Q37" s="35">
        <v>10.6</v>
      </c>
      <c r="R37" s="35">
        <v>2570000</v>
      </c>
      <c r="S37" s="35">
        <v>8.6300000000000008</v>
      </c>
      <c r="T37" s="35">
        <v>2660000</v>
      </c>
      <c r="U37" s="35">
        <v>6.63</v>
      </c>
      <c r="V37" s="35">
        <v>3060000</v>
      </c>
      <c r="W37" s="35">
        <v>11.5</v>
      </c>
      <c r="X37" s="35">
        <v>2830000</v>
      </c>
      <c r="Y37" s="35">
        <v>15</v>
      </c>
      <c r="Z37" s="35">
        <v>2590000</v>
      </c>
      <c r="AA37" s="35">
        <v>19.7</v>
      </c>
      <c r="AB37" s="35">
        <v>2490000</v>
      </c>
      <c r="AC37" s="35">
        <v>14.7</v>
      </c>
      <c r="AD37" s="35">
        <v>2790000</v>
      </c>
      <c r="AE37" s="35">
        <v>5.69</v>
      </c>
      <c r="AF37" s="35">
        <v>3160000</v>
      </c>
      <c r="AG37" s="35">
        <v>9.24</v>
      </c>
      <c r="AH37" s="35">
        <v>2540000</v>
      </c>
      <c r="AI37" s="35">
        <v>16.600000000000001</v>
      </c>
      <c r="AJ37" s="35">
        <v>2590000</v>
      </c>
      <c r="AK37" s="35">
        <v>6.8</v>
      </c>
      <c r="AL37" s="35">
        <v>6630000</v>
      </c>
      <c r="AM37" s="35">
        <v>4.59</v>
      </c>
      <c r="AN37" s="35">
        <v>3390000</v>
      </c>
      <c r="AO37" s="35">
        <v>9.39</v>
      </c>
      <c r="AP37" s="35">
        <v>2770000</v>
      </c>
      <c r="AQ37" s="35">
        <v>10.199999999999999</v>
      </c>
      <c r="AR37" s="35">
        <v>2540000</v>
      </c>
      <c r="AS37" s="35">
        <v>8.98</v>
      </c>
      <c r="AT37" s="35">
        <v>2650000</v>
      </c>
      <c r="AU37" s="35">
        <v>3.76</v>
      </c>
      <c r="AV37" s="35">
        <v>2710000</v>
      </c>
      <c r="AW37" s="35">
        <v>7.35</v>
      </c>
      <c r="AX37" s="35">
        <v>2700000</v>
      </c>
      <c r="AY37" s="35">
        <v>9.11</v>
      </c>
      <c r="AZ37" s="3"/>
      <c r="BA37" s="35">
        <v>3740000</v>
      </c>
      <c r="BB37" s="35">
        <v>6.27</v>
      </c>
      <c r="BC37" s="35">
        <v>2250000</v>
      </c>
      <c r="BD37" s="35">
        <v>11.1</v>
      </c>
      <c r="BE37" s="35">
        <v>2070000</v>
      </c>
      <c r="BF37" s="35">
        <v>4.62</v>
      </c>
      <c r="BG37" s="35">
        <v>1680000</v>
      </c>
      <c r="BH37" s="35">
        <v>11</v>
      </c>
      <c r="BI37" s="35">
        <v>1880000</v>
      </c>
      <c r="BJ37" s="35">
        <v>4.08</v>
      </c>
      <c r="BK37" s="3"/>
      <c r="BL37" s="35">
        <v>2940000</v>
      </c>
      <c r="BM37" s="35">
        <v>8.6300000000000008</v>
      </c>
      <c r="BN37" s="35">
        <v>3200000</v>
      </c>
      <c r="BO37" s="35">
        <v>7.14</v>
      </c>
      <c r="BP37" s="35">
        <v>3350000</v>
      </c>
      <c r="BQ37" s="35">
        <v>3.22</v>
      </c>
      <c r="BR37" s="35">
        <v>3380000</v>
      </c>
      <c r="BS37" s="35">
        <v>13.1</v>
      </c>
      <c r="BT37" s="35">
        <v>3380000</v>
      </c>
      <c r="BU37" s="35">
        <v>4.3600000000000003</v>
      </c>
      <c r="BV37" s="35">
        <v>2940000</v>
      </c>
      <c r="BW37" s="35">
        <v>12.5</v>
      </c>
      <c r="BX37" s="35">
        <v>2530000</v>
      </c>
      <c r="BY37" s="35">
        <v>5.99</v>
      </c>
      <c r="BZ37" s="35">
        <v>2620000</v>
      </c>
      <c r="CA37" s="35">
        <v>5.5</v>
      </c>
      <c r="CB37" s="35">
        <v>2500000</v>
      </c>
      <c r="CC37" s="35">
        <v>5.83</v>
      </c>
      <c r="CD37" s="35">
        <v>2200000</v>
      </c>
      <c r="CE37" s="35">
        <v>7.27</v>
      </c>
      <c r="CF37" s="35">
        <v>2830000</v>
      </c>
      <c r="CG37" s="35">
        <v>9.51</v>
      </c>
      <c r="CH37" s="35">
        <v>3110000</v>
      </c>
      <c r="CI37" s="35">
        <v>6.56</v>
      </c>
      <c r="CJ37" s="35">
        <v>4070000</v>
      </c>
      <c r="CK37" s="35">
        <v>3.2</v>
      </c>
      <c r="CL37" s="35">
        <v>2580000</v>
      </c>
      <c r="CM37" s="35">
        <v>18.3</v>
      </c>
      <c r="CN37" s="35">
        <v>2810000</v>
      </c>
      <c r="CO37" s="35">
        <v>6.82</v>
      </c>
      <c r="CP37" s="3"/>
      <c r="CQ37" s="35">
        <v>2960000</v>
      </c>
      <c r="CR37" s="35">
        <v>470000</v>
      </c>
      <c r="CS37" s="45">
        <v>15.9</v>
      </c>
    </row>
    <row r="38" spans="1:97">
      <c r="A38" s="13" t="s">
        <v>159</v>
      </c>
      <c r="B38" s="36">
        <v>223000000</v>
      </c>
      <c r="C38" s="36">
        <v>8.67</v>
      </c>
      <c r="D38" s="36">
        <v>229000000</v>
      </c>
      <c r="E38" s="36">
        <v>3.53</v>
      </c>
      <c r="F38" s="36">
        <v>226000000</v>
      </c>
      <c r="G38" s="36">
        <v>13.7</v>
      </c>
      <c r="H38" s="36">
        <v>149000000</v>
      </c>
      <c r="I38" s="36">
        <v>6.74</v>
      </c>
      <c r="J38" s="36">
        <v>184000000</v>
      </c>
      <c r="K38" s="36">
        <v>6.17</v>
      </c>
      <c r="L38" s="36">
        <v>172000000</v>
      </c>
      <c r="M38" s="36">
        <v>10.4</v>
      </c>
      <c r="N38" s="36">
        <v>224000000</v>
      </c>
      <c r="O38" s="36">
        <v>13.3</v>
      </c>
      <c r="P38" s="36">
        <v>264000000</v>
      </c>
      <c r="Q38" s="36">
        <v>7.7</v>
      </c>
      <c r="R38" s="36">
        <v>200000000</v>
      </c>
      <c r="S38" s="36">
        <v>8.0500000000000007</v>
      </c>
      <c r="T38" s="36">
        <v>195000000</v>
      </c>
      <c r="U38" s="36">
        <v>7.82</v>
      </c>
      <c r="V38" s="36">
        <v>246000000</v>
      </c>
      <c r="W38" s="36">
        <v>5.41</v>
      </c>
      <c r="X38" s="36">
        <v>215000000</v>
      </c>
      <c r="Y38" s="36">
        <v>15.3</v>
      </c>
      <c r="Z38" s="36">
        <v>209000000</v>
      </c>
      <c r="AA38" s="36">
        <v>19.5</v>
      </c>
      <c r="AB38" s="36">
        <v>223000000</v>
      </c>
      <c r="AC38" s="36">
        <v>11.1</v>
      </c>
      <c r="AD38" s="36">
        <v>221000000</v>
      </c>
      <c r="AE38" s="36">
        <v>6.27</v>
      </c>
      <c r="AF38" s="36">
        <v>212000000</v>
      </c>
      <c r="AG38" s="36">
        <v>12.6</v>
      </c>
      <c r="AH38" s="36">
        <v>209000000</v>
      </c>
      <c r="AI38" s="36">
        <v>20.2</v>
      </c>
      <c r="AJ38" s="36">
        <v>181000000</v>
      </c>
      <c r="AK38" s="36">
        <v>6.36</v>
      </c>
      <c r="AL38" s="36">
        <v>85900000</v>
      </c>
      <c r="AM38" s="36">
        <v>10.4</v>
      </c>
      <c r="AN38" s="36">
        <v>146000000</v>
      </c>
      <c r="AO38" s="36">
        <v>15.3</v>
      </c>
      <c r="AP38" s="36">
        <v>228000000</v>
      </c>
      <c r="AQ38" s="36">
        <v>10.4</v>
      </c>
      <c r="AR38" s="36">
        <v>152000000</v>
      </c>
      <c r="AS38" s="36">
        <v>14.4</v>
      </c>
      <c r="AT38" s="36">
        <v>207000000</v>
      </c>
      <c r="AU38" s="36">
        <v>8.61</v>
      </c>
      <c r="AV38" s="36">
        <v>224000000</v>
      </c>
      <c r="AW38" s="36">
        <v>7.39</v>
      </c>
      <c r="AX38" s="36">
        <v>242000000</v>
      </c>
      <c r="AY38" s="36">
        <v>13.3</v>
      </c>
      <c r="AZ38" s="5"/>
      <c r="BA38" s="36">
        <v>183000000</v>
      </c>
      <c r="BB38" s="36">
        <v>9.5</v>
      </c>
      <c r="BC38" s="36">
        <v>307000000</v>
      </c>
      <c r="BD38" s="36">
        <v>11.4</v>
      </c>
      <c r="BE38" s="36">
        <v>513000000</v>
      </c>
      <c r="BF38" s="36">
        <v>6.48</v>
      </c>
      <c r="BG38" s="36">
        <v>617000000</v>
      </c>
      <c r="BH38" s="36">
        <v>7.65</v>
      </c>
      <c r="BI38" s="36">
        <v>615000000</v>
      </c>
      <c r="BJ38" s="36">
        <v>9.25</v>
      </c>
      <c r="BK38" s="5"/>
      <c r="BL38" s="36">
        <v>212000000</v>
      </c>
      <c r="BM38" s="36">
        <v>6.7</v>
      </c>
      <c r="BN38" s="36">
        <v>215000000</v>
      </c>
      <c r="BO38" s="36">
        <v>3.74</v>
      </c>
      <c r="BP38" s="36">
        <v>190000000</v>
      </c>
      <c r="BQ38" s="36">
        <v>8.3000000000000007</v>
      </c>
      <c r="BR38" s="36">
        <v>209000000</v>
      </c>
      <c r="BS38" s="36">
        <v>12</v>
      </c>
      <c r="BT38" s="36">
        <v>265000000</v>
      </c>
      <c r="BU38" s="36">
        <v>13.6</v>
      </c>
      <c r="BV38" s="36">
        <v>320000000</v>
      </c>
      <c r="BW38" s="36">
        <v>14.9</v>
      </c>
      <c r="BX38" s="36">
        <v>216000000</v>
      </c>
      <c r="BY38" s="36">
        <v>12.2</v>
      </c>
      <c r="BZ38" s="36">
        <v>275000000</v>
      </c>
      <c r="CA38" s="36">
        <v>6.24</v>
      </c>
      <c r="CB38" s="36">
        <v>234000000</v>
      </c>
      <c r="CC38" s="36">
        <v>6.82</v>
      </c>
      <c r="CD38" s="36">
        <v>279000000</v>
      </c>
      <c r="CE38" s="36">
        <v>6.94</v>
      </c>
      <c r="CF38" s="36">
        <v>275000000</v>
      </c>
      <c r="CG38" s="36">
        <v>9.07</v>
      </c>
      <c r="CH38" s="36">
        <v>181000000</v>
      </c>
      <c r="CI38" s="36">
        <v>5.15</v>
      </c>
      <c r="CJ38" s="36">
        <v>180000000</v>
      </c>
      <c r="CK38" s="36">
        <v>10.1</v>
      </c>
      <c r="CL38" s="36">
        <v>197000000</v>
      </c>
      <c r="CM38" s="36">
        <v>19.8</v>
      </c>
      <c r="CN38" s="36">
        <v>200000000</v>
      </c>
      <c r="CO38" s="36">
        <v>4.55</v>
      </c>
      <c r="CP38" s="5"/>
      <c r="CQ38" s="36">
        <v>230000000</v>
      </c>
      <c r="CR38" s="36">
        <v>42700000</v>
      </c>
      <c r="CS38" s="46">
        <v>18.600000000000001</v>
      </c>
    </row>
    <row r="39" spans="1:97">
      <c r="A39" s="13" t="s">
        <v>160</v>
      </c>
      <c r="B39" s="35">
        <v>118000000</v>
      </c>
      <c r="C39" s="35">
        <v>12</v>
      </c>
      <c r="D39" s="35">
        <v>134000000</v>
      </c>
      <c r="E39" s="35">
        <v>2.61</v>
      </c>
      <c r="F39" s="35">
        <v>103000000</v>
      </c>
      <c r="G39" s="35">
        <v>7.04</v>
      </c>
      <c r="H39" s="35">
        <v>64100000</v>
      </c>
      <c r="I39" s="35">
        <v>9.23</v>
      </c>
      <c r="J39" s="35">
        <v>91500000</v>
      </c>
      <c r="K39" s="35">
        <v>6.26</v>
      </c>
      <c r="L39" s="35">
        <v>86100000</v>
      </c>
      <c r="M39" s="35">
        <v>8.3000000000000007</v>
      </c>
      <c r="N39" s="35">
        <v>120000000</v>
      </c>
      <c r="O39" s="35">
        <v>6.99</v>
      </c>
      <c r="P39" s="35">
        <v>104000000</v>
      </c>
      <c r="Q39" s="35">
        <v>5.15</v>
      </c>
      <c r="R39" s="35">
        <v>97800000</v>
      </c>
      <c r="S39" s="35">
        <v>8.6300000000000008</v>
      </c>
      <c r="T39" s="35">
        <v>107000000</v>
      </c>
      <c r="U39" s="35">
        <v>8.93</v>
      </c>
      <c r="V39" s="35">
        <v>133000000</v>
      </c>
      <c r="W39" s="35">
        <v>2.68</v>
      </c>
      <c r="X39" s="35">
        <v>96600000</v>
      </c>
      <c r="Y39" s="35">
        <v>12.6</v>
      </c>
      <c r="Z39" s="35">
        <v>93500000</v>
      </c>
      <c r="AA39" s="35">
        <v>17.100000000000001</v>
      </c>
      <c r="AB39" s="35">
        <v>97300000</v>
      </c>
      <c r="AC39" s="35">
        <v>15.6</v>
      </c>
      <c r="AD39" s="35">
        <v>117000000</v>
      </c>
      <c r="AE39" s="35">
        <v>5.83</v>
      </c>
      <c r="AF39" s="35">
        <v>113000000</v>
      </c>
      <c r="AG39" s="35">
        <v>8.8800000000000008</v>
      </c>
      <c r="AH39" s="35">
        <v>103000000</v>
      </c>
      <c r="AI39" s="35">
        <v>10.6</v>
      </c>
      <c r="AJ39" s="35">
        <v>90900000</v>
      </c>
      <c r="AK39" s="35">
        <v>7.26</v>
      </c>
      <c r="AL39" s="35">
        <v>62400000</v>
      </c>
      <c r="AM39" s="35">
        <v>10.3</v>
      </c>
      <c r="AN39" s="35">
        <v>93100000</v>
      </c>
      <c r="AO39" s="35">
        <v>8.98</v>
      </c>
      <c r="AP39" s="35">
        <v>94600000</v>
      </c>
      <c r="AQ39" s="35">
        <v>16.100000000000001</v>
      </c>
      <c r="AR39" s="35">
        <v>99700000</v>
      </c>
      <c r="AS39" s="35">
        <v>7.64</v>
      </c>
      <c r="AT39" s="35">
        <v>97000000</v>
      </c>
      <c r="AU39" s="35">
        <v>6.64</v>
      </c>
      <c r="AV39" s="35">
        <v>98800000</v>
      </c>
      <c r="AW39" s="35">
        <v>5.95</v>
      </c>
      <c r="AX39" s="35">
        <v>125000000</v>
      </c>
      <c r="AY39" s="35">
        <v>6.26</v>
      </c>
      <c r="AZ39" s="3"/>
      <c r="BA39" s="35">
        <v>96100000</v>
      </c>
      <c r="BB39" s="35">
        <v>3.4</v>
      </c>
      <c r="BC39" s="35">
        <v>111000000</v>
      </c>
      <c r="BD39" s="35">
        <v>9.8000000000000007</v>
      </c>
      <c r="BE39" s="35">
        <v>193000000</v>
      </c>
      <c r="BF39" s="35">
        <v>10.1</v>
      </c>
      <c r="BG39" s="35">
        <v>205000000</v>
      </c>
      <c r="BH39" s="35">
        <v>5.6</v>
      </c>
      <c r="BI39" s="35">
        <v>201000000</v>
      </c>
      <c r="BJ39" s="35">
        <v>9.3000000000000007</v>
      </c>
      <c r="BK39" s="3"/>
      <c r="BL39" s="35">
        <v>118000000</v>
      </c>
      <c r="BM39" s="35">
        <v>9.74</v>
      </c>
      <c r="BN39" s="35">
        <v>96100000</v>
      </c>
      <c r="BO39" s="35">
        <v>8.83</v>
      </c>
      <c r="BP39" s="35">
        <v>137000000</v>
      </c>
      <c r="BQ39" s="35">
        <v>9.5</v>
      </c>
      <c r="BR39" s="35">
        <v>128000000</v>
      </c>
      <c r="BS39" s="35">
        <v>14.6</v>
      </c>
      <c r="BT39" s="35">
        <v>119000000</v>
      </c>
      <c r="BU39" s="35">
        <v>14.3</v>
      </c>
      <c r="BV39" s="35">
        <v>121000000</v>
      </c>
      <c r="BW39" s="35">
        <v>18</v>
      </c>
      <c r="BX39" s="35">
        <v>120000000</v>
      </c>
      <c r="BY39" s="35">
        <v>5.37</v>
      </c>
      <c r="BZ39" s="35">
        <v>150000000</v>
      </c>
      <c r="CA39" s="35">
        <v>5.14</v>
      </c>
      <c r="CB39" s="35">
        <v>133000000</v>
      </c>
      <c r="CC39" s="35">
        <v>6.72</v>
      </c>
      <c r="CD39" s="35">
        <v>86800000</v>
      </c>
      <c r="CE39" s="35">
        <v>8.41</v>
      </c>
      <c r="CF39" s="35">
        <v>137000000</v>
      </c>
      <c r="CG39" s="35">
        <v>7.54</v>
      </c>
      <c r="CH39" s="35">
        <v>138000000</v>
      </c>
      <c r="CI39" s="35">
        <v>16.100000000000001</v>
      </c>
      <c r="CJ39" s="35">
        <v>136000000</v>
      </c>
      <c r="CK39" s="35">
        <v>7.58</v>
      </c>
      <c r="CL39" s="35">
        <v>101000000</v>
      </c>
      <c r="CM39" s="35">
        <v>14.1</v>
      </c>
      <c r="CN39" s="35">
        <v>134000000</v>
      </c>
      <c r="CO39" s="35">
        <v>2.64</v>
      </c>
      <c r="CP39" s="3"/>
      <c r="CQ39" s="35">
        <v>124000000</v>
      </c>
      <c r="CR39" s="35">
        <v>17600000</v>
      </c>
      <c r="CS39" s="45">
        <v>14.2</v>
      </c>
    </row>
    <row r="40" spans="1:97">
      <c r="A40" s="13" t="s">
        <v>161</v>
      </c>
      <c r="B40" s="36">
        <v>339000000</v>
      </c>
      <c r="C40" s="36">
        <v>10.8</v>
      </c>
      <c r="D40" s="36">
        <v>407000000</v>
      </c>
      <c r="E40" s="36">
        <v>12.4</v>
      </c>
      <c r="F40" s="36">
        <v>266000000</v>
      </c>
      <c r="G40" s="36">
        <v>9.1</v>
      </c>
      <c r="H40" s="36">
        <v>348000000</v>
      </c>
      <c r="I40" s="36">
        <v>11.4</v>
      </c>
      <c r="J40" s="36">
        <v>373000000</v>
      </c>
      <c r="K40" s="36">
        <v>8.34</v>
      </c>
      <c r="L40" s="36">
        <v>241000000</v>
      </c>
      <c r="M40" s="36">
        <v>10.6</v>
      </c>
      <c r="N40" s="36">
        <v>369000000</v>
      </c>
      <c r="O40" s="36">
        <v>15.4</v>
      </c>
      <c r="P40" s="36">
        <v>344000000</v>
      </c>
      <c r="Q40" s="36">
        <v>12.2</v>
      </c>
      <c r="R40" s="36">
        <v>232000000</v>
      </c>
      <c r="S40" s="36">
        <v>13.3</v>
      </c>
      <c r="T40" s="36">
        <v>384000000</v>
      </c>
      <c r="U40" s="36">
        <v>3.16</v>
      </c>
      <c r="V40" s="36">
        <v>331000000</v>
      </c>
      <c r="W40" s="36">
        <v>6.9</v>
      </c>
      <c r="X40" s="36">
        <v>408000000</v>
      </c>
      <c r="Y40" s="36">
        <v>15.8</v>
      </c>
      <c r="Z40" s="36">
        <v>396000000</v>
      </c>
      <c r="AA40" s="36">
        <v>18.899999999999999</v>
      </c>
      <c r="AB40" s="36">
        <v>380000000</v>
      </c>
      <c r="AC40" s="36">
        <v>14.2</v>
      </c>
      <c r="AD40" s="36">
        <v>361000000</v>
      </c>
      <c r="AE40" s="36">
        <v>11.2</v>
      </c>
      <c r="AF40" s="36">
        <v>372000000</v>
      </c>
      <c r="AG40" s="36">
        <v>9.43</v>
      </c>
      <c r="AH40" s="36">
        <v>444000000</v>
      </c>
      <c r="AI40" s="36">
        <v>3.34</v>
      </c>
      <c r="AJ40" s="36">
        <v>267000000</v>
      </c>
      <c r="AK40" s="36">
        <v>10.199999999999999</v>
      </c>
      <c r="AL40" s="36">
        <v>230000000</v>
      </c>
      <c r="AM40" s="36">
        <v>9.18</v>
      </c>
      <c r="AN40" s="36">
        <v>415000000</v>
      </c>
      <c r="AO40" s="36">
        <v>9.15</v>
      </c>
      <c r="AP40" s="36">
        <v>394000000</v>
      </c>
      <c r="AQ40" s="36">
        <v>16.3</v>
      </c>
      <c r="AR40" s="36">
        <v>214000000</v>
      </c>
      <c r="AS40" s="36">
        <v>8.5399999999999991</v>
      </c>
      <c r="AT40" s="36">
        <v>351000000</v>
      </c>
      <c r="AU40" s="36">
        <v>13.8</v>
      </c>
      <c r="AV40" s="36">
        <v>364000000</v>
      </c>
      <c r="AW40" s="36">
        <v>7</v>
      </c>
      <c r="AX40" s="36">
        <v>384000000</v>
      </c>
      <c r="AY40" s="36">
        <v>14.6</v>
      </c>
      <c r="AZ40" s="5"/>
      <c r="BA40" s="36">
        <v>273000000</v>
      </c>
      <c r="BB40" s="36">
        <v>5.77</v>
      </c>
      <c r="BC40" s="36">
        <v>519000000</v>
      </c>
      <c r="BD40" s="36">
        <v>6.81</v>
      </c>
      <c r="BE40" s="36">
        <v>459000000</v>
      </c>
      <c r="BF40" s="36">
        <v>4.33</v>
      </c>
      <c r="BG40" s="36">
        <v>613000000</v>
      </c>
      <c r="BH40" s="36">
        <v>7.11</v>
      </c>
      <c r="BI40" s="36">
        <v>450000000</v>
      </c>
      <c r="BJ40" s="36">
        <v>3.18</v>
      </c>
      <c r="BK40" s="5"/>
      <c r="BL40" s="36">
        <v>254000000</v>
      </c>
      <c r="BM40" s="36">
        <v>8.4600000000000009</v>
      </c>
      <c r="BN40" s="36">
        <v>338000000</v>
      </c>
      <c r="BO40" s="36">
        <v>6.76</v>
      </c>
      <c r="BP40" s="36">
        <v>413000000</v>
      </c>
      <c r="BQ40" s="36">
        <v>12.7</v>
      </c>
      <c r="BR40" s="36">
        <v>514000000</v>
      </c>
      <c r="BS40" s="36">
        <v>10.7</v>
      </c>
      <c r="BT40" s="36">
        <v>628000000</v>
      </c>
      <c r="BU40" s="36">
        <v>3.09</v>
      </c>
      <c r="BV40" s="36">
        <v>405000000</v>
      </c>
      <c r="BW40" s="36">
        <v>13.8</v>
      </c>
      <c r="BX40" s="36">
        <v>456000000</v>
      </c>
      <c r="BY40" s="36">
        <v>6.03</v>
      </c>
      <c r="BZ40" s="36">
        <v>427000000</v>
      </c>
      <c r="CA40" s="36">
        <v>7.11</v>
      </c>
      <c r="CB40" s="36">
        <v>508000000</v>
      </c>
      <c r="CC40" s="36">
        <v>8.15</v>
      </c>
      <c r="CD40" s="36">
        <v>351000000</v>
      </c>
      <c r="CE40" s="36">
        <v>9.57</v>
      </c>
      <c r="CF40" s="36">
        <v>281000000</v>
      </c>
      <c r="CG40" s="36">
        <v>18.2</v>
      </c>
      <c r="CH40" s="36">
        <v>361000000</v>
      </c>
      <c r="CI40" s="36">
        <v>3.16</v>
      </c>
      <c r="CJ40" s="36">
        <v>444000000</v>
      </c>
      <c r="CK40" s="36">
        <v>6.43</v>
      </c>
      <c r="CL40" s="36">
        <v>395000000</v>
      </c>
      <c r="CM40" s="36">
        <v>18.399999999999999</v>
      </c>
      <c r="CN40" s="36">
        <v>373000000</v>
      </c>
      <c r="CO40" s="36">
        <v>5.28</v>
      </c>
      <c r="CP40" s="5"/>
      <c r="CQ40" s="36">
        <v>410000000</v>
      </c>
      <c r="CR40" s="36">
        <v>94600000</v>
      </c>
      <c r="CS40" s="46">
        <v>23.1</v>
      </c>
    </row>
    <row r="41" spans="1:97">
      <c r="A41" s="13" t="s">
        <v>162</v>
      </c>
      <c r="B41" s="35">
        <v>366000000</v>
      </c>
      <c r="C41" s="35">
        <v>11.2</v>
      </c>
      <c r="D41" s="35">
        <v>326000000</v>
      </c>
      <c r="E41" s="35">
        <v>11.3</v>
      </c>
      <c r="F41" s="35">
        <v>207000000</v>
      </c>
      <c r="G41" s="35">
        <v>9.11</v>
      </c>
      <c r="H41" s="35">
        <v>76400000</v>
      </c>
      <c r="I41" s="35">
        <v>5.44</v>
      </c>
      <c r="J41" s="35">
        <v>96700000</v>
      </c>
      <c r="K41" s="35">
        <v>4.74</v>
      </c>
      <c r="L41" s="35">
        <v>240000000</v>
      </c>
      <c r="M41" s="35">
        <v>12.7</v>
      </c>
      <c r="N41" s="35">
        <v>336000000</v>
      </c>
      <c r="O41" s="35">
        <v>8.11</v>
      </c>
      <c r="P41" s="35">
        <v>356000000</v>
      </c>
      <c r="Q41" s="35">
        <v>9.81</v>
      </c>
      <c r="R41" s="35">
        <v>310000000</v>
      </c>
      <c r="S41" s="35">
        <v>12.4</v>
      </c>
      <c r="T41" s="35">
        <v>377000000</v>
      </c>
      <c r="U41" s="35">
        <v>12.3</v>
      </c>
      <c r="V41" s="35">
        <v>283000000</v>
      </c>
      <c r="W41" s="35">
        <v>7.04</v>
      </c>
      <c r="X41" s="35">
        <v>330000000</v>
      </c>
      <c r="Y41" s="35">
        <v>15.8</v>
      </c>
      <c r="Z41" s="35">
        <v>301000000</v>
      </c>
      <c r="AA41" s="35">
        <v>16.399999999999999</v>
      </c>
      <c r="AB41" s="35">
        <v>303000000</v>
      </c>
      <c r="AC41" s="35">
        <v>11.4</v>
      </c>
      <c r="AD41" s="35">
        <v>325000000</v>
      </c>
      <c r="AE41" s="35">
        <v>11.4</v>
      </c>
      <c r="AF41" s="35">
        <v>327000000</v>
      </c>
      <c r="AG41" s="35">
        <v>8.19</v>
      </c>
      <c r="AH41" s="35">
        <v>306000000</v>
      </c>
      <c r="AI41" s="35">
        <v>8.02</v>
      </c>
      <c r="AJ41" s="35">
        <v>287000000</v>
      </c>
      <c r="AK41" s="35">
        <v>12.6</v>
      </c>
      <c r="AL41" s="35">
        <v>301000000</v>
      </c>
      <c r="AM41" s="35">
        <v>15.4</v>
      </c>
      <c r="AN41" s="35">
        <v>259000000</v>
      </c>
      <c r="AO41" s="35">
        <v>10.4</v>
      </c>
      <c r="AP41" s="35">
        <v>332000000</v>
      </c>
      <c r="AQ41" s="35">
        <v>12.9</v>
      </c>
      <c r="AR41" s="35">
        <v>354000000</v>
      </c>
      <c r="AS41" s="35">
        <v>11.1</v>
      </c>
      <c r="AT41" s="35">
        <v>298000000</v>
      </c>
      <c r="AU41" s="35">
        <v>8.02</v>
      </c>
      <c r="AV41" s="35">
        <v>352000000</v>
      </c>
      <c r="AW41" s="35">
        <v>10.4</v>
      </c>
      <c r="AX41" s="35">
        <v>381000000</v>
      </c>
      <c r="AY41" s="35">
        <v>10.5</v>
      </c>
      <c r="AZ41" s="3"/>
      <c r="BA41" s="35">
        <v>252000000</v>
      </c>
      <c r="BB41" s="35">
        <v>9.4499999999999993</v>
      </c>
      <c r="BC41" s="35">
        <v>264000000</v>
      </c>
      <c r="BD41" s="35">
        <v>18</v>
      </c>
      <c r="BE41" s="35">
        <v>148000000</v>
      </c>
      <c r="BF41" s="35">
        <v>8.6999999999999993</v>
      </c>
      <c r="BG41" s="35">
        <v>38400000</v>
      </c>
      <c r="BH41" s="35">
        <v>8.9499999999999993</v>
      </c>
      <c r="BI41" s="35">
        <v>38500000</v>
      </c>
      <c r="BJ41" s="35">
        <v>6.94</v>
      </c>
      <c r="BK41" s="3"/>
      <c r="BL41" s="35">
        <v>455000000</v>
      </c>
      <c r="BM41" s="35">
        <v>6.51</v>
      </c>
      <c r="BN41" s="35">
        <v>440000000</v>
      </c>
      <c r="BO41" s="35">
        <v>5.76</v>
      </c>
      <c r="BP41" s="35">
        <v>392000000</v>
      </c>
      <c r="BQ41" s="35">
        <v>6.96</v>
      </c>
      <c r="BR41" s="35">
        <v>375000000</v>
      </c>
      <c r="BS41" s="35">
        <v>6.93</v>
      </c>
      <c r="BT41" s="35">
        <v>424000000</v>
      </c>
      <c r="BU41" s="35">
        <v>1.66</v>
      </c>
      <c r="BV41" s="35">
        <v>396000000</v>
      </c>
      <c r="BW41" s="35">
        <v>11.5</v>
      </c>
      <c r="BX41" s="35">
        <v>389000000</v>
      </c>
      <c r="BY41" s="35">
        <v>5.18</v>
      </c>
      <c r="BZ41" s="35">
        <v>338000000</v>
      </c>
      <c r="CA41" s="35">
        <v>5.96</v>
      </c>
      <c r="CB41" s="35">
        <v>363000000</v>
      </c>
      <c r="CC41" s="35">
        <v>7.73</v>
      </c>
      <c r="CD41" s="35">
        <v>352000000</v>
      </c>
      <c r="CE41" s="35">
        <v>6.4</v>
      </c>
      <c r="CF41" s="35">
        <v>462000000</v>
      </c>
      <c r="CG41" s="35">
        <v>8.1300000000000008</v>
      </c>
      <c r="CH41" s="35">
        <v>352000000</v>
      </c>
      <c r="CI41" s="35">
        <v>5.28</v>
      </c>
      <c r="CJ41" s="35">
        <v>454000000</v>
      </c>
      <c r="CK41" s="35">
        <v>10.7</v>
      </c>
      <c r="CL41" s="35">
        <v>352000000</v>
      </c>
      <c r="CM41" s="35">
        <v>10.9</v>
      </c>
      <c r="CN41" s="35">
        <v>349000000</v>
      </c>
      <c r="CO41" s="35">
        <v>5.86</v>
      </c>
      <c r="CP41" s="3"/>
      <c r="CQ41" s="35">
        <v>393000000</v>
      </c>
      <c r="CR41" s="35">
        <v>43600000</v>
      </c>
      <c r="CS41" s="45">
        <v>11.1</v>
      </c>
    </row>
    <row r="42" spans="1:97">
      <c r="A42" s="13" t="s">
        <v>163</v>
      </c>
      <c r="B42" s="36">
        <v>83800000</v>
      </c>
      <c r="C42" s="36">
        <v>12.4</v>
      </c>
      <c r="D42" s="36">
        <v>47400000</v>
      </c>
      <c r="E42" s="36">
        <v>8.92</v>
      </c>
      <c r="F42" s="36">
        <v>74600000</v>
      </c>
      <c r="G42" s="36">
        <v>9.85</v>
      </c>
      <c r="H42" s="36">
        <v>161000000</v>
      </c>
      <c r="I42" s="36">
        <v>12.5</v>
      </c>
      <c r="J42" s="36">
        <v>150000000</v>
      </c>
      <c r="K42" s="36">
        <v>11.9</v>
      </c>
      <c r="L42" s="36">
        <v>77400000</v>
      </c>
      <c r="M42" s="36">
        <v>11</v>
      </c>
      <c r="N42" s="36">
        <v>60200000</v>
      </c>
      <c r="O42" s="36">
        <v>7.6</v>
      </c>
      <c r="P42" s="36">
        <v>50400000</v>
      </c>
      <c r="Q42" s="36">
        <v>9.6199999999999992</v>
      </c>
      <c r="R42" s="36">
        <v>56900000</v>
      </c>
      <c r="S42" s="36">
        <v>6.72</v>
      </c>
      <c r="T42" s="36">
        <v>76900000</v>
      </c>
      <c r="U42" s="36">
        <v>9.3699999999999992</v>
      </c>
      <c r="V42" s="36">
        <v>64000000</v>
      </c>
      <c r="W42" s="36">
        <v>6.99</v>
      </c>
      <c r="X42" s="36">
        <v>82100000</v>
      </c>
      <c r="Y42" s="36">
        <v>16.8</v>
      </c>
      <c r="Z42" s="36">
        <v>87900000</v>
      </c>
      <c r="AA42" s="36">
        <v>15.2</v>
      </c>
      <c r="AB42" s="36">
        <v>70800000</v>
      </c>
      <c r="AC42" s="36">
        <v>5.17</v>
      </c>
      <c r="AD42" s="36">
        <v>88700000</v>
      </c>
      <c r="AE42" s="36">
        <v>7.2</v>
      </c>
      <c r="AF42" s="36">
        <v>85200000</v>
      </c>
      <c r="AG42" s="36">
        <v>9.39</v>
      </c>
      <c r="AH42" s="36">
        <v>90900000</v>
      </c>
      <c r="AI42" s="36">
        <v>5.65</v>
      </c>
      <c r="AJ42" s="36">
        <v>74700000</v>
      </c>
      <c r="AK42" s="36">
        <v>10.9</v>
      </c>
      <c r="AL42" s="36">
        <v>41000000</v>
      </c>
      <c r="AM42" s="36">
        <v>9.09</v>
      </c>
      <c r="AN42" s="36">
        <v>87100000</v>
      </c>
      <c r="AO42" s="36">
        <v>0.41399999999999998</v>
      </c>
      <c r="AP42" s="36">
        <v>79600000</v>
      </c>
      <c r="AQ42" s="36">
        <v>4.8600000000000003</v>
      </c>
      <c r="AR42" s="36">
        <v>39600000</v>
      </c>
      <c r="AS42" s="36">
        <v>11.4</v>
      </c>
      <c r="AT42" s="36">
        <v>88100000</v>
      </c>
      <c r="AU42" s="36">
        <v>8.0299999999999994</v>
      </c>
      <c r="AV42" s="36">
        <v>79200000</v>
      </c>
      <c r="AW42" s="36">
        <v>9.56</v>
      </c>
      <c r="AX42" s="36">
        <v>49800000</v>
      </c>
      <c r="AY42" s="36">
        <v>5.72</v>
      </c>
      <c r="AZ42" s="5"/>
      <c r="BA42" s="36">
        <v>46200000</v>
      </c>
      <c r="BB42" s="36">
        <v>5.1100000000000003</v>
      </c>
      <c r="BC42" s="36">
        <v>89500000</v>
      </c>
      <c r="BD42" s="36">
        <v>11.6</v>
      </c>
      <c r="BE42" s="36">
        <v>208000000</v>
      </c>
      <c r="BF42" s="36">
        <v>8.67</v>
      </c>
      <c r="BG42" s="36">
        <v>330000000</v>
      </c>
      <c r="BH42" s="36">
        <v>2.75</v>
      </c>
      <c r="BI42" s="36">
        <v>327000000</v>
      </c>
      <c r="BJ42" s="36">
        <v>7.36</v>
      </c>
      <c r="BK42" s="5"/>
      <c r="BL42" s="36">
        <v>53900000</v>
      </c>
      <c r="BM42" s="36">
        <v>10.199999999999999</v>
      </c>
      <c r="BN42" s="36">
        <v>103000000</v>
      </c>
      <c r="BO42" s="36">
        <v>1.75</v>
      </c>
      <c r="BP42" s="36">
        <v>48800000</v>
      </c>
      <c r="BQ42" s="36">
        <v>1.83</v>
      </c>
      <c r="BR42" s="36">
        <v>70000000</v>
      </c>
      <c r="BS42" s="36">
        <v>10.7</v>
      </c>
      <c r="BT42" s="36">
        <v>79800000</v>
      </c>
      <c r="BU42" s="36">
        <v>18.5</v>
      </c>
      <c r="BV42" s="36">
        <v>72600000</v>
      </c>
      <c r="BW42" s="36">
        <v>11.3</v>
      </c>
      <c r="BX42" s="36">
        <v>72300000</v>
      </c>
      <c r="BY42" s="36">
        <v>3.54</v>
      </c>
      <c r="BZ42" s="36">
        <v>34800000</v>
      </c>
      <c r="CA42" s="36">
        <v>5.35</v>
      </c>
      <c r="CB42" s="36">
        <v>70900000</v>
      </c>
      <c r="CC42" s="36">
        <v>8.59</v>
      </c>
      <c r="CD42" s="36">
        <v>106000000</v>
      </c>
      <c r="CE42" s="36">
        <v>7.82</v>
      </c>
      <c r="CF42" s="36">
        <v>44800000</v>
      </c>
      <c r="CG42" s="36">
        <v>18.100000000000001</v>
      </c>
      <c r="CH42" s="36">
        <v>61400000</v>
      </c>
      <c r="CI42" s="36">
        <v>7.19</v>
      </c>
      <c r="CJ42" s="36">
        <v>96400000</v>
      </c>
      <c r="CK42" s="36">
        <v>11.3</v>
      </c>
      <c r="CL42" s="36">
        <v>81400000</v>
      </c>
      <c r="CM42" s="36">
        <v>20.5</v>
      </c>
      <c r="CN42" s="36">
        <v>58500000</v>
      </c>
      <c r="CO42" s="36">
        <v>6.75</v>
      </c>
      <c r="CP42" s="5"/>
      <c r="CQ42" s="36">
        <v>70300000</v>
      </c>
      <c r="CR42" s="36">
        <v>20900000</v>
      </c>
      <c r="CS42" s="46">
        <v>29.7</v>
      </c>
    </row>
    <row r="43" spans="1:97">
      <c r="A43" s="13" t="s">
        <v>164</v>
      </c>
      <c r="B43" s="35">
        <v>295000000</v>
      </c>
      <c r="C43" s="35">
        <v>12.3</v>
      </c>
      <c r="D43" s="35">
        <v>326000000</v>
      </c>
      <c r="E43" s="35">
        <v>3.78</v>
      </c>
      <c r="F43" s="35">
        <v>250000000</v>
      </c>
      <c r="G43" s="35">
        <v>24</v>
      </c>
      <c r="H43" s="35">
        <v>139000000</v>
      </c>
      <c r="I43" s="35">
        <v>18.600000000000001</v>
      </c>
      <c r="J43" s="35">
        <v>130000000</v>
      </c>
      <c r="K43" s="35">
        <v>12.4</v>
      </c>
      <c r="L43" s="35">
        <v>167000000</v>
      </c>
      <c r="M43" s="35">
        <v>11.5</v>
      </c>
      <c r="N43" s="35">
        <v>261000000</v>
      </c>
      <c r="O43" s="35">
        <v>8.14</v>
      </c>
      <c r="P43" s="35">
        <v>335000000</v>
      </c>
      <c r="Q43" s="35">
        <v>10.6</v>
      </c>
      <c r="R43" s="35">
        <v>255000000</v>
      </c>
      <c r="S43" s="35">
        <v>13.8</v>
      </c>
      <c r="T43" s="35">
        <v>360000000</v>
      </c>
      <c r="U43" s="35">
        <v>9.74</v>
      </c>
      <c r="V43" s="35">
        <v>257000000</v>
      </c>
      <c r="W43" s="35">
        <v>8.25</v>
      </c>
      <c r="X43" s="35">
        <v>332000000</v>
      </c>
      <c r="Y43" s="35">
        <v>11.6</v>
      </c>
      <c r="Z43" s="35">
        <v>285000000</v>
      </c>
      <c r="AA43" s="35">
        <v>15.5</v>
      </c>
      <c r="AB43" s="35">
        <v>280000000</v>
      </c>
      <c r="AC43" s="35">
        <v>13.2</v>
      </c>
      <c r="AD43" s="35">
        <v>276000000</v>
      </c>
      <c r="AE43" s="35">
        <v>3.35</v>
      </c>
      <c r="AF43" s="35">
        <v>282000000</v>
      </c>
      <c r="AG43" s="35">
        <v>6.26</v>
      </c>
      <c r="AH43" s="35">
        <v>241000000</v>
      </c>
      <c r="AI43" s="35">
        <v>10.3</v>
      </c>
      <c r="AJ43" s="35">
        <v>299000000</v>
      </c>
      <c r="AK43" s="35">
        <v>12.5</v>
      </c>
      <c r="AL43" s="35">
        <v>195000000</v>
      </c>
      <c r="AM43" s="35">
        <v>12.7</v>
      </c>
      <c r="AN43" s="35">
        <v>253000000</v>
      </c>
      <c r="AO43" s="35">
        <v>11.6</v>
      </c>
      <c r="AP43" s="35">
        <v>335000000</v>
      </c>
      <c r="AQ43" s="35">
        <v>11.9</v>
      </c>
      <c r="AR43" s="35">
        <v>216000000</v>
      </c>
      <c r="AS43" s="35">
        <v>7.45</v>
      </c>
      <c r="AT43" s="35">
        <v>273000000</v>
      </c>
      <c r="AU43" s="35">
        <v>9.57</v>
      </c>
      <c r="AV43" s="35">
        <v>203000000</v>
      </c>
      <c r="AW43" s="35">
        <v>4.57</v>
      </c>
      <c r="AX43" s="35">
        <v>310000000</v>
      </c>
      <c r="AY43" s="35">
        <v>6.3</v>
      </c>
      <c r="AZ43" s="3"/>
      <c r="BA43" s="35">
        <v>281000000</v>
      </c>
      <c r="BB43" s="35">
        <v>7.65</v>
      </c>
      <c r="BC43" s="35">
        <v>247000000</v>
      </c>
      <c r="BD43" s="35">
        <v>13.2</v>
      </c>
      <c r="BE43" s="35">
        <v>189000000</v>
      </c>
      <c r="BF43" s="35">
        <v>4.53</v>
      </c>
      <c r="BG43" s="35">
        <v>122000000</v>
      </c>
      <c r="BH43" s="35">
        <v>7.28</v>
      </c>
      <c r="BI43" s="35">
        <v>138000000</v>
      </c>
      <c r="BJ43" s="35">
        <v>6.88</v>
      </c>
      <c r="BK43" s="3"/>
      <c r="BL43" s="35">
        <v>329000000</v>
      </c>
      <c r="BM43" s="35">
        <v>3.17</v>
      </c>
      <c r="BN43" s="35">
        <v>368000000</v>
      </c>
      <c r="BO43" s="35">
        <v>2.59</v>
      </c>
      <c r="BP43" s="35">
        <v>330000000</v>
      </c>
      <c r="BQ43" s="35">
        <v>3.98</v>
      </c>
      <c r="BR43" s="35">
        <v>323000000</v>
      </c>
      <c r="BS43" s="35">
        <v>14.9</v>
      </c>
      <c r="BT43" s="35">
        <v>332000000</v>
      </c>
      <c r="BU43" s="35">
        <v>2.59</v>
      </c>
      <c r="BV43" s="35">
        <v>369000000</v>
      </c>
      <c r="BW43" s="35">
        <v>11.8</v>
      </c>
      <c r="BX43" s="35">
        <v>333000000</v>
      </c>
      <c r="BY43" s="35">
        <v>10.7</v>
      </c>
      <c r="BZ43" s="35">
        <v>344000000</v>
      </c>
      <c r="CA43" s="35">
        <v>8.51</v>
      </c>
      <c r="CB43" s="35">
        <v>349000000</v>
      </c>
      <c r="CC43" s="35">
        <v>13</v>
      </c>
      <c r="CD43" s="35">
        <v>340000000</v>
      </c>
      <c r="CE43" s="35">
        <v>6.35</v>
      </c>
      <c r="CF43" s="35">
        <v>345000000</v>
      </c>
      <c r="CG43" s="35">
        <v>19.2</v>
      </c>
      <c r="CH43" s="35">
        <v>235000000</v>
      </c>
      <c r="CI43" s="35">
        <v>12.2</v>
      </c>
      <c r="CJ43" s="35">
        <v>267000000</v>
      </c>
      <c r="CK43" s="35">
        <v>8.65</v>
      </c>
      <c r="CL43" s="35">
        <v>318000000</v>
      </c>
      <c r="CM43" s="35">
        <v>16.8</v>
      </c>
      <c r="CN43" s="35">
        <v>271000000</v>
      </c>
      <c r="CO43" s="35">
        <v>8.64</v>
      </c>
      <c r="CP43" s="3"/>
      <c r="CQ43" s="35">
        <v>323000000</v>
      </c>
      <c r="CR43" s="35">
        <v>37600000</v>
      </c>
      <c r="CS43" s="45">
        <v>11.6</v>
      </c>
    </row>
    <row r="44" spans="1:97">
      <c r="A44" s="13" t="s">
        <v>165</v>
      </c>
      <c r="B44" s="36">
        <v>98500000</v>
      </c>
      <c r="C44" s="36">
        <v>12</v>
      </c>
      <c r="D44" s="36">
        <v>94600000</v>
      </c>
      <c r="E44" s="36">
        <v>7.23</v>
      </c>
      <c r="F44" s="36">
        <v>146000000</v>
      </c>
      <c r="G44" s="36">
        <v>11.8</v>
      </c>
      <c r="H44" s="36">
        <v>101000000</v>
      </c>
      <c r="I44" s="36">
        <v>8.1</v>
      </c>
      <c r="J44" s="36">
        <v>102000000</v>
      </c>
      <c r="K44" s="36">
        <v>5.0999999999999996</v>
      </c>
      <c r="L44" s="36">
        <v>68500000</v>
      </c>
      <c r="M44" s="36">
        <v>10</v>
      </c>
      <c r="N44" s="36">
        <v>101000000</v>
      </c>
      <c r="O44" s="36">
        <v>5.16</v>
      </c>
      <c r="P44" s="36">
        <v>109000000</v>
      </c>
      <c r="Q44" s="36">
        <v>8.5399999999999991</v>
      </c>
      <c r="R44" s="36">
        <v>112000000</v>
      </c>
      <c r="S44" s="36">
        <v>8.94</v>
      </c>
      <c r="T44" s="36">
        <v>106000000</v>
      </c>
      <c r="U44" s="36">
        <v>7.78</v>
      </c>
      <c r="V44" s="36">
        <v>111000000</v>
      </c>
      <c r="W44" s="36">
        <v>7.34</v>
      </c>
      <c r="X44" s="36">
        <v>124000000</v>
      </c>
      <c r="Y44" s="36">
        <v>13.5</v>
      </c>
      <c r="Z44" s="36">
        <v>116000000</v>
      </c>
      <c r="AA44" s="36">
        <v>13.5</v>
      </c>
      <c r="AB44" s="36">
        <v>114000000</v>
      </c>
      <c r="AC44" s="36">
        <v>12.4</v>
      </c>
      <c r="AD44" s="36">
        <v>88500000</v>
      </c>
      <c r="AE44" s="36">
        <v>6.16</v>
      </c>
      <c r="AF44" s="36">
        <v>99000000</v>
      </c>
      <c r="AG44" s="36">
        <v>8.56</v>
      </c>
      <c r="AH44" s="36">
        <v>103000000</v>
      </c>
      <c r="AI44" s="36">
        <v>7.49</v>
      </c>
      <c r="AJ44" s="36">
        <v>104000000</v>
      </c>
      <c r="AK44" s="36">
        <v>8.16</v>
      </c>
      <c r="AL44" s="36">
        <v>64800000</v>
      </c>
      <c r="AM44" s="36">
        <v>15.9</v>
      </c>
      <c r="AN44" s="36">
        <v>120000000</v>
      </c>
      <c r="AO44" s="36">
        <v>10.8</v>
      </c>
      <c r="AP44" s="36">
        <v>119000000</v>
      </c>
      <c r="AQ44" s="36">
        <v>12.1</v>
      </c>
      <c r="AR44" s="36">
        <v>57700000</v>
      </c>
      <c r="AS44" s="36">
        <v>9.19</v>
      </c>
      <c r="AT44" s="36">
        <v>103000000</v>
      </c>
      <c r="AU44" s="36">
        <v>8.61</v>
      </c>
      <c r="AV44" s="36">
        <v>104000000</v>
      </c>
      <c r="AW44" s="36">
        <v>3.52</v>
      </c>
      <c r="AX44" s="36">
        <v>102000000</v>
      </c>
      <c r="AY44" s="36">
        <v>7.36</v>
      </c>
      <c r="AZ44" s="5"/>
      <c r="BA44" s="36">
        <v>92900000</v>
      </c>
      <c r="BB44" s="36">
        <v>7.36</v>
      </c>
      <c r="BC44" s="36">
        <v>116000000</v>
      </c>
      <c r="BD44" s="36">
        <v>8.4</v>
      </c>
      <c r="BE44" s="36">
        <v>147000000</v>
      </c>
      <c r="BF44" s="36">
        <v>6.67</v>
      </c>
      <c r="BG44" s="36">
        <v>151000000</v>
      </c>
      <c r="BH44" s="36">
        <v>8.17</v>
      </c>
      <c r="BI44" s="36">
        <v>158000000</v>
      </c>
      <c r="BJ44" s="36">
        <v>7.7</v>
      </c>
      <c r="BK44" s="5"/>
      <c r="BL44" s="36">
        <v>185000000</v>
      </c>
      <c r="BM44" s="36">
        <v>3.57</v>
      </c>
      <c r="BN44" s="36">
        <v>175000000</v>
      </c>
      <c r="BO44" s="36">
        <v>1.79</v>
      </c>
      <c r="BP44" s="36">
        <v>107000000</v>
      </c>
      <c r="BQ44" s="36">
        <v>3.63</v>
      </c>
      <c r="BR44" s="36">
        <v>107000000</v>
      </c>
      <c r="BS44" s="36">
        <v>18</v>
      </c>
      <c r="BT44" s="36">
        <v>111000000</v>
      </c>
      <c r="BU44" s="36">
        <v>3.14</v>
      </c>
      <c r="BV44" s="36">
        <v>126000000</v>
      </c>
      <c r="BW44" s="36">
        <v>10.1</v>
      </c>
      <c r="BX44" s="36">
        <v>115000000</v>
      </c>
      <c r="BY44" s="36">
        <v>6.73</v>
      </c>
      <c r="BZ44" s="36">
        <v>111000000</v>
      </c>
      <c r="CA44" s="36">
        <v>4.6399999999999997</v>
      </c>
      <c r="CB44" s="36">
        <v>115000000</v>
      </c>
      <c r="CC44" s="36">
        <v>8.82</v>
      </c>
      <c r="CD44" s="36">
        <v>130000000</v>
      </c>
      <c r="CE44" s="36">
        <v>10.8</v>
      </c>
      <c r="CF44" s="36">
        <v>119000000</v>
      </c>
      <c r="CG44" s="36">
        <v>5.33</v>
      </c>
      <c r="CH44" s="36">
        <v>107000000</v>
      </c>
      <c r="CI44" s="36">
        <v>11.2</v>
      </c>
      <c r="CJ44" s="36">
        <v>111000000</v>
      </c>
      <c r="CK44" s="36">
        <v>5.57</v>
      </c>
      <c r="CL44" s="36">
        <v>116000000</v>
      </c>
      <c r="CM44" s="36">
        <v>6.4</v>
      </c>
      <c r="CN44" s="36">
        <v>121000000</v>
      </c>
      <c r="CO44" s="36">
        <v>13.1</v>
      </c>
      <c r="CP44" s="5"/>
      <c r="CQ44" s="36">
        <v>124000000</v>
      </c>
      <c r="CR44" s="36">
        <v>23900000</v>
      </c>
      <c r="CS44" s="46">
        <v>19.3</v>
      </c>
    </row>
    <row r="45" spans="1:97">
      <c r="A45" s="13" t="s">
        <v>166</v>
      </c>
      <c r="B45" s="35">
        <v>1250000000</v>
      </c>
      <c r="C45" s="35">
        <v>10.9</v>
      </c>
      <c r="D45" s="35">
        <v>1270000000</v>
      </c>
      <c r="E45" s="35">
        <v>6.22</v>
      </c>
      <c r="F45" s="35">
        <v>785000000</v>
      </c>
      <c r="G45" s="35">
        <v>16.2</v>
      </c>
      <c r="H45" s="35">
        <v>1450000000</v>
      </c>
      <c r="I45" s="35">
        <v>7.5</v>
      </c>
      <c r="J45" s="35">
        <v>1430000000</v>
      </c>
      <c r="K45" s="35">
        <v>11</v>
      </c>
      <c r="L45" s="35">
        <v>519000000</v>
      </c>
      <c r="M45" s="35">
        <v>12.2</v>
      </c>
      <c r="N45" s="35">
        <v>1180000000</v>
      </c>
      <c r="O45" s="35">
        <v>3.15</v>
      </c>
      <c r="P45" s="35">
        <v>923000000</v>
      </c>
      <c r="Q45" s="35">
        <v>9.27</v>
      </c>
      <c r="R45" s="35">
        <v>991000000</v>
      </c>
      <c r="S45" s="35">
        <v>13.3</v>
      </c>
      <c r="T45" s="35">
        <v>1140000000</v>
      </c>
      <c r="U45" s="35">
        <v>5.83</v>
      </c>
      <c r="V45" s="35">
        <v>1030000000</v>
      </c>
      <c r="W45" s="35">
        <v>4.57</v>
      </c>
      <c r="X45" s="35">
        <v>1050000000</v>
      </c>
      <c r="Y45" s="35">
        <v>8.77</v>
      </c>
      <c r="Z45" s="35">
        <v>1160000000</v>
      </c>
      <c r="AA45" s="35">
        <v>12.8</v>
      </c>
      <c r="AB45" s="35">
        <v>1260000000</v>
      </c>
      <c r="AC45" s="35">
        <v>9.33</v>
      </c>
      <c r="AD45" s="35">
        <v>1160000000</v>
      </c>
      <c r="AE45" s="35">
        <v>7.62</v>
      </c>
      <c r="AF45" s="35">
        <v>1220000000</v>
      </c>
      <c r="AG45" s="35">
        <v>7.21</v>
      </c>
      <c r="AH45" s="35">
        <v>1220000000</v>
      </c>
      <c r="AI45" s="35">
        <v>4.79</v>
      </c>
      <c r="AJ45" s="35">
        <v>1200000000</v>
      </c>
      <c r="AK45" s="35">
        <v>11.3</v>
      </c>
      <c r="AL45" s="35">
        <v>613000000</v>
      </c>
      <c r="AM45" s="35">
        <v>11.8</v>
      </c>
      <c r="AN45" s="35">
        <v>1080000000</v>
      </c>
      <c r="AO45" s="35">
        <v>9.33</v>
      </c>
      <c r="AP45" s="35">
        <v>1350000000</v>
      </c>
      <c r="AQ45" s="35">
        <v>9.7200000000000006</v>
      </c>
      <c r="AR45" s="35">
        <v>746000000</v>
      </c>
      <c r="AS45" s="35">
        <v>10.1</v>
      </c>
      <c r="AT45" s="35">
        <v>1330000000</v>
      </c>
      <c r="AU45" s="35">
        <v>2.1800000000000002</v>
      </c>
      <c r="AV45" s="35">
        <v>1290000000</v>
      </c>
      <c r="AW45" s="35">
        <v>8.16</v>
      </c>
      <c r="AX45" s="35">
        <v>1250000000</v>
      </c>
      <c r="AY45" s="35">
        <v>6.51</v>
      </c>
      <c r="AZ45" s="3"/>
      <c r="BA45" s="35">
        <v>1030000000</v>
      </c>
      <c r="BB45" s="35">
        <v>9.66</v>
      </c>
      <c r="BC45" s="35">
        <v>1080000000</v>
      </c>
      <c r="BD45" s="35">
        <v>8.73</v>
      </c>
      <c r="BE45" s="35">
        <v>743000000</v>
      </c>
      <c r="BF45" s="35">
        <v>8.7200000000000006</v>
      </c>
      <c r="BG45" s="35">
        <v>752000000</v>
      </c>
      <c r="BH45" s="35">
        <v>7.19</v>
      </c>
      <c r="BI45" s="35">
        <v>661000000</v>
      </c>
      <c r="BJ45" s="35">
        <v>9.65</v>
      </c>
      <c r="BK45" s="3"/>
      <c r="BL45" s="35">
        <v>887000000</v>
      </c>
      <c r="BM45" s="35">
        <v>3.59</v>
      </c>
      <c r="BN45" s="35">
        <v>1090000000</v>
      </c>
      <c r="BO45" s="35">
        <v>2.84</v>
      </c>
      <c r="BP45" s="35">
        <v>816000000</v>
      </c>
      <c r="BQ45" s="35">
        <v>0.72799999999999998</v>
      </c>
      <c r="BR45" s="35">
        <v>1160000000</v>
      </c>
      <c r="BS45" s="35">
        <v>13.8</v>
      </c>
      <c r="BT45" s="35">
        <v>1660000000</v>
      </c>
      <c r="BU45" s="35">
        <v>5.91</v>
      </c>
      <c r="BV45" s="35">
        <v>1110000000</v>
      </c>
      <c r="BW45" s="35">
        <v>12.3</v>
      </c>
      <c r="BX45" s="35">
        <v>1380000000</v>
      </c>
      <c r="BY45" s="35">
        <v>7.91</v>
      </c>
      <c r="BZ45" s="35">
        <v>1150000000</v>
      </c>
      <c r="CA45" s="35">
        <v>5.74</v>
      </c>
      <c r="CB45" s="35">
        <v>1570000000</v>
      </c>
      <c r="CC45" s="35">
        <v>5.55</v>
      </c>
      <c r="CD45" s="35">
        <v>1210000000</v>
      </c>
      <c r="CE45" s="35">
        <v>9.94</v>
      </c>
      <c r="CF45" s="35">
        <v>857000000</v>
      </c>
      <c r="CG45" s="35">
        <v>7.95</v>
      </c>
      <c r="CH45" s="35">
        <v>909000000</v>
      </c>
      <c r="CI45" s="35">
        <v>5.57</v>
      </c>
      <c r="CJ45" s="35">
        <v>1160000000</v>
      </c>
      <c r="CK45" s="35">
        <v>11</v>
      </c>
      <c r="CL45" s="35">
        <v>1430000000</v>
      </c>
      <c r="CM45" s="35">
        <v>19.5</v>
      </c>
      <c r="CN45" s="35">
        <v>1180000000</v>
      </c>
      <c r="CO45" s="35">
        <v>5.32</v>
      </c>
      <c r="CP45" s="3"/>
      <c r="CQ45" s="35">
        <v>1170000000</v>
      </c>
      <c r="CR45" s="35">
        <v>252000000</v>
      </c>
      <c r="CS45" s="45">
        <v>21.5</v>
      </c>
    </row>
    <row r="46" spans="1:97">
      <c r="A46" s="13" t="s">
        <v>167</v>
      </c>
      <c r="B46" s="36">
        <v>187000000</v>
      </c>
      <c r="C46" s="36">
        <v>10.7</v>
      </c>
      <c r="D46" s="36">
        <v>204000000</v>
      </c>
      <c r="E46" s="36">
        <v>3.56</v>
      </c>
      <c r="F46" s="36">
        <v>295000000</v>
      </c>
      <c r="G46" s="36">
        <v>22.2</v>
      </c>
      <c r="H46" s="36">
        <v>152000000</v>
      </c>
      <c r="I46" s="36">
        <v>9.25</v>
      </c>
      <c r="J46" s="36">
        <v>152000000</v>
      </c>
      <c r="K46" s="36">
        <v>7.27</v>
      </c>
      <c r="L46" s="36">
        <v>160000000</v>
      </c>
      <c r="M46" s="36">
        <v>10.1</v>
      </c>
      <c r="N46" s="36">
        <v>266000000</v>
      </c>
      <c r="O46" s="36">
        <v>4.9800000000000004</v>
      </c>
      <c r="P46" s="36">
        <v>262000000</v>
      </c>
      <c r="Q46" s="36">
        <v>7.37</v>
      </c>
      <c r="R46" s="36">
        <v>235000000</v>
      </c>
      <c r="S46" s="36">
        <v>8.39</v>
      </c>
      <c r="T46" s="36">
        <v>124000000</v>
      </c>
      <c r="U46" s="36">
        <v>4.6500000000000004</v>
      </c>
      <c r="V46" s="36">
        <v>281000000</v>
      </c>
      <c r="W46" s="36">
        <v>8.06</v>
      </c>
      <c r="X46" s="36">
        <v>195000000</v>
      </c>
      <c r="Y46" s="36">
        <v>14.7</v>
      </c>
      <c r="Z46" s="36">
        <v>204000000</v>
      </c>
      <c r="AA46" s="36">
        <v>16.399999999999999</v>
      </c>
      <c r="AB46" s="36">
        <v>167000000</v>
      </c>
      <c r="AC46" s="36">
        <v>14.4</v>
      </c>
      <c r="AD46" s="36">
        <v>173000000</v>
      </c>
      <c r="AE46" s="36">
        <v>4.5999999999999996</v>
      </c>
      <c r="AF46" s="36">
        <v>190000000</v>
      </c>
      <c r="AG46" s="36">
        <v>11.3</v>
      </c>
      <c r="AH46" s="36">
        <v>123000000</v>
      </c>
      <c r="AI46" s="36">
        <v>8.7799999999999994</v>
      </c>
      <c r="AJ46" s="36">
        <v>236000000</v>
      </c>
      <c r="AK46" s="36">
        <v>7.05</v>
      </c>
      <c r="AL46" s="36">
        <v>403000000</v>
      </c>
      <c r="AM46" s="36">
        <v>14.5</v>
      </c>
      <c r="AN46" s="36">
        <v>137000000</v>
      </c>
      <c r="AO46" s="36">
        <v>9.39</v>
      </c>
      <c r="AP46" s="36">
        <v>164000000</v>
      </c>
      <c r="AQ46" s="36">
        <v>11.3</v>
      </c>
      <c r="AR46" s="36">
        <v>220000000</v>
      </c>
      <c r="AS46" s="36">
        <v>10.1</v>
      </c>
      <c r="AT46" s="36">
        <v>158000000</v>
      </c>
      <c r="AU46" s="36">
        <v>11.5</v>
      </c>
      <c r="AV46" s="36">
        <v>157000000</v>
      </c>
      <c r="AW46" s="36">
        <v>10.3</v>
      </c>
      <c r="AX46" s="36">
        <v>228000000</v>
      </c>
      <c r="AY46" s="36">
        <v>10.7</v>
      </c>
      <c r="AZ46" s="5"/>
      <c r="BA46" s="36">
        <v>228000000</v>
      </c>
      <c r="BB46" s="36">
        <v>7.12</v>
      </c>
      <c r="BC46" s="36">
        <v>159000000</v>
      </c>
      <c r="BD46" s="36">
        <v>8.52</v>
      </c>
      <c r="BE46" s="36">
        <v>108000000</v>
      </c>
      <c r="BF46" s="36">
        <v>4.3</v>
      </c>
      <c r="BG46" s="36">
        <v>75200000</v>
      </c>
      <c r="BH46" s="36">
        <v>7.71</v>
      </c>
      <c r="BI46" s="36">
        <v>89300000</v>
      </c>
      <c r="BJ46" s="36">
        <v>10.3</v>
      </c>
      <c r="BK46" s="5"/>
      <c r="BL46" s="36">
        <v>465000000</v>
      </c>
      <c r="BM46" s="36">
        <v>5.66</v>
      </c>
      <c r="BN46" s="36">
        <v>303000000</v>
      </c>
      <c r="BO46" s="36">
        <v>2.29</v>
      </c>
      <c r="BP46" s="36">
        <v>339000000</v>
      </c>
      <c r="BQ46" s="36">
        <v>2.97</v>
      </c>
      <c r="BR46" s="36">
        <v>228000000</v>
      </c>
      <c r="BS46" s="36">
        <v>14.3</v>
      </c>
      <c r="BT46" s="36">
        <v>201000000</v>
      </c>
      <c r="BU46" s="36">
        <v>3.57</v>
      </c>
      <c r="BV46" s="36">
        <v>163000000</v>
      </c>
      <c r="BW46" s="36">
        <v>10.7</v>
      </c>
      <c r="BX46" s="36">
        <v>183000000</v>
      </c>
      <c r="BY46" s="36">
        <v>5.0599999999999996</v>
      </c>
      <c r="BZ46" s="36">
        <v>369000000</v>
      </c>
      <c r="CA46" s="36">
        <v>8.48</v>
      </c>
      <c r="CB46" s="36">
        <v>307000000</v>
      </c>
      <c r="CC46" s="36">
        <v>4.24</v>
      </c>
      <c r="CD46" s="36">
        <v>256000000</v>
      </c>
      <c r="CE46" s="36">
        <v>6.34</v>
      </c>
      <c r="CF46" s="36">
        <v>231000000</v>
      </c>
      <c r="CG46" s="36">
        <v>10.7</v>
      </c>
      <c r="CH46" s="36">
        <v>373000000</v>
      </c>
      <c r="CI46" s="36">
        <v>4.59</v>
      </c>
      <c r="CJ46" s="36">
        <v>256000000</v>
      </c>
      <c r="CK46" s="36">
        <v>6.96</v>
      </c>
      <c r="CL46" s="36">
        <v>319000000</v>
      </c>
      <c r="CM46" s="36">
        <v>12.5</v>
      </c>
      <c r="CN46" s="36">
        <v>260000000</v>
      </c>
      <c r="CO46" s="36">
        <v>4.3</v>
      </c>
      <c r="CP46" s="5"/>
      <c r="CQ46" s="36">
        <v>284000000</v>
      </c>
      <c r="CR46" s="36">
        <v>81500000</v>
      </c>
      <c r="CS46" s="46">
        <v>28.7</v>
      </c>
    </row>
    <row r="47" spans="1:97">
      <c r="A47" s="13" t="s">
        <v>168</v>
      </c>
      <c r="B47" s="35">
        <v>702000000</v>
      </c>
      <c r="C47" s="35">
        <v>10.4</v>
      </c>
      <c r="D47" s="35">
        <v>615000000</v>
      </c>
      <c r="E47" s="35">
        <v>9.9499999999999993</v>
      </c>
      <c r="F47" s="35">
        <v>500000000</v>
      </c>
      <c r="G47" s="35">
        <v>16.8</v>
      </c>
      <c r="H47" s="35">
        <v>694000000</v>
      </c>
      <c r="I47" s="35">
        <v>9.49</v>
      </c>
      <c r="J47" s="35">
        <v>520000000</v>
      </c>
      <c r="K47" s="35">
        <v>10.5</v>
      </c>
      <c r="L47" s="35">
        <v>283000000</v>
      </c>
      <c r="M47" s="35">
        <v>12.6</v>
      </c>
      <c r="N47" s="35">
        <v>547000000</v>
      </c>
      <c r="O47" s="35">
        <v>6.81</v>
      </c>
      <c r="P47" s="35">
        <v>639000000</v>
      </c>
      <c r="Q47" s="35">
        <v>8.93</v>
      </c>
      <c r="R47" s="35">
        <v>410000000</v>
      </c>
      <c r="S47" s="35">
        <v>13.8</v>
      </c>
      <c r="T47" s="35">
        <v>693000000</v>
      </c>
      <c r="U47" s="35">
        <v>4.5199999999999996</v>
      </c>
      <c r="V47" s="35">
        <v>557000000</v>
      </c>
      <c r="W47" s="35">
        <v>7.91</v>
      </c>
      <c r="X47" s="35">
        <v>584000000</v>
      </c>
      <c r="Y47" s="35">
        <v>10.7</v>
      </c>
      <c r="Z47" s="35">
        <v>641000000</v>
      </c>
      <c r="AA47" s="35">
        <v>14.9</v>
      </c>
      <c r="AB47" s="35">
        <v>644000000</v>
      </c>
      <c r="AC47" s="35">
        <v>10.1</v>
      </c>
      <c r="AD47" s="35">
        <v>664000000</v>
      </c>
      <c r="AE47" s="35">
        <v>8.3699999999999992</v>
      </c>
      <c r="AF47" s="35">
        <v>476000000</v>
      </c>
      <c r="AG47" s="35">
        <v>5.79</v>
      </c>
      <c r="AH47" s="35">
        <v>501000000</v>
      </c>
      <c r="AI47" s="35">
        <v>2.04</v>
      </c>
      <c r="AJ47" s="35">
        <v>560000000</v>
      </c>
      <c r="AK47" s="35">
        <v>8.64</v>
      </c>
      <c r="AL47" s="35">
        <v>219000000</v>
      </c>
      <c r="AM47" s="35">
        <v>14.2</v>
      </c>
      <c r="AN47" s="35">
        <v>498000000</v>
      </c>
      <c r="AO47" s="35">
        <v>10.7</v>
      </c>
      <c r="AP47" s="35">
        <v>691000000</v>
      </c>
      <c r="AQ47" s="35">
        <v>12.1</v>
      </c>
      <c r="AR47" s="35">
        <v>600000000</v>
      </c>
      <c r="AS47" s="35">
        <v>5.35</v>
      </c>
      <c r="AT47" s="35">
        <v>590000000</v>
      </c>
      <c r="AU47" s="35">
        <v>6.23</v>
      </c>
      <c r="AV47" s="35">
        <v>647000000</v>
      </c>
      <c r="AW47" s="35">
        <v>9.6199999999999992</v>
      </c>
      <c r="AX47" s="35">
        <v>718000000</v>
      </c>
      <c r="AY47" s="35">
        <v>13.2</v>
      </c>
      <c r="AZ47" s="3"/>
      <c r="BA47" s="35">
        <v>528000000</v>
      </c>
      <c r="BB47" s="35">
        <v>4.83</v>
      </c>
      <c r="BC47" s="35">
        <v>594000000</v>
      </c>
      <c r="BD47" s="35">
        <v>9.77</v>
      </c>
      <c r="BE47" s="35">
        <v>398000000</v>
      </c>
      <c r="BF47" s="35">
        <v>7.7</v>
      </c>
      <c r="BG47" s="35">
        <v>423000000</v>
      </c>
      <c r="BH47" s="35">
        <v>6.82</v>
      </c>
      <c r="BI47" s="35">
        <v>371000000</v>
      </c>
      <c r="BJ47" s="35">
        <v>14.8</v>
      </c>
      <c r="BK47" s="3"/>
      <c r="BL47" s="35">
        <v>800000000</v>
      </c>
      <c r="BM47" s="35">
        <v>2.54</v>
      </c>
      <c r="BN47" s="35">
        <v>869000000</v>
      </c>
      <c r="BO47" s="35">
        <v>2.2200000000000002</v>
      </c>
      <c r="BP47" s="35">
        <v>499000000</v>
      </c>
      <c r="BQ47" s="35">
        <v>1.8</v>
      </c>
      <c r="BR47" s="35">
        <v>719000000</v>
      </c>
      <c r="BS47" s="35">
        <v>9.19</v>
      </c>
      <c r="BT47" s="35">
        <v>750000000</v>
      </c>
      <c r="BU47" s="35">
        <v>7.78</v>
      </c>
      <c r="BV47" s="35">
        <v>633000000</v>
      </c>
      <c r="BW47" s="35">
        <v>9.44</v>
      </c>
      <c r="BX47" s="35">
        <v>640000000</v>
      </c>
      <c r="BY47" s="35">
        <v>7.84</v>
      </c>
      <c r="BZ47" s="35">
        <v>819000000</v>
      </c>
      <c r="CA47" s="35">
        <v>13.4</v>
      </c>
      <c r="CB47" s="35">
        <v>875000000</v>
      </c>
      <c r="CC47" s="35">
        <v>9.4</v>
      </c>
      <c r="CD47" s="35">
        <v>668000000</v>
      </c>
      <c r="CE47" s="35">
        <v>7.11</v>
      </c>
      <c r="CF47" s="35">
        <v>519000000</v>
      </c>
      <c r="CG47" s="35">
        <v>16.899999999999999</v>
      </c>
      <c r="CH47" s="35">
        <v>614000000</v>
      </c>
      <c r="CI47" s="35">
        <v>6.61</v>
      </c>
      <c r="CJ47" s="35">
        <v>826000000</v>
      </c>
      <c r="CK47" s="35">
        <v>7.67</v>
      </c>
      <c r="CL47" s="35">
        <v>649000000</v>
      </c>
      <c r="CM47" s="35">
        <v>15.6</v>
      </c>
      <c r="CN47" s="35">
        <v>638000000</v>
      </c>
      <c r="CO47" s="35">
        <v>5.93</v>
      </c>
      <c r="CP47" s="3"/>
      <c r="CQ47" s="35">
        <v>701000000</v>
      </c>
      <c r="CR47" s="35">
        <v>119000000</v>
      </c>
      <c r="CS47" s="45">
        <v>17</v>
      </c>
    </row>
    <row r="48" spans="1:97">
      <c r="A48" s="13" t="s">
        <v>169</v>
      </c>
      <c r="B48" s="36">
        <v>772000000</v>
      </c>
      <c r="C48" s="36">
        <v>13.2</v>
      </c>
      <c r="D48" s="36">
        <v>1010000000</v>
      </c>
      <c r="E48" s="36">
        <v>8</v>
      </c>
      <c r="F48" s="36">
        <v>614000000</v>
      </c>
      <c r="G48" s="36">
        <v>13.1</v>
      </c>
      <c r="H48" s="36">
        <v>1070000000</v>
      </c>
      <c r="I48" s="36">
        <v>6.13</v>
      </c>
      <c r="J48" s="36">
        <v>1030000000</v>
      </c>
      <c r="K48" s="36">
        <v>6.45</v>
      </c>
      <c r="L48" s="36">
        <v>502000000</v>
      </c>
      <c r="M48" s="36">
        <v>8.83</v>
      </c>
      <c r="N48" s="36">
        <v>782000000</v>
      </c>
      <c r="O48" s="36">
        <v>9.76</v>
      </c>
      <c r="P48" s="36">
        <v>957000000</v>
      </c>
      <c r="Q48" s="36">
        <v>9.7799999999999994</v>
      </c>
      <c r="R48" s="36">
        <v>660000000</v>
      </c>
      <c r="S48" s="36">
        <v>7.04</v>
      </c>
      <c r="T48" s="36">
        <v>1090000000</v>
      </c>
      <c r="U48" s="36">
        <v>6.77</v>
      </c>
      <c r="V48" s="36">
        <v>880000000</v>
      </c>
      <c r="W48" s="36">
        <v>5.72</v>
      </c>
      <c r="X48" s="36">
        <v>793000000</v>
      </c>
      <c r="Y48" s="36">
        <v>13</v>
      </c>
      <c r="Z48" s="36">
        <v>831000000</v>
      </c>
      <c r="AA48" s="36">
        <v>13</v>
      </c>
      <c r="AB48" s="36">
        <v>742000000</v>
      </c>
      <c r="AC48" s="36">
        <v>11.2</v>
      </c>
      <c r="AD48" s="36">
        <v>781000000</v>
      </c>
      <c r="AE48" s="36">
        <v>6.92</v>
      </c>
      <c r="AF48" s="36">
        <v>619000000</v>
      </c>
      <c r="AG48" s="36">
        <v>10.6</v>
      </c>
      <c r="AH48" s="36">
        <v>856000000</v>
      </c>
      <c r="AI48" s="36">
        <v>8.6199999999999992</v>
      </c>
      <c r="AJ48" s="36">
        <v>835000000</v>
      </c>
      <c r="AK48" s="36">
        <v>14.3</v>
      </c>
      <c r="AL48" s="36">
        <v>424000000</v>
      </c>
      <c r="AM48" s="36">
        <v>3.68</v>
      </c>
      <c r="AN48" s="36">
        <v>802000000</v>
      </c>
      <c r="AO48" s="36">
        <v>7.04</v>
      </c>
      <c r="AP48" s="36">
        <v>860000000</v>
      </c>
      <c r="AQ48" s="36">
        <v>19.3</v>
      </c>
      <c r="AR48" s="36">
        <v>522000000</v>
      </c>
      <c r="AS48" s="36">
        <v>11.7</v>
      </c>
      <c r="AT48" s="36">
        <v>793000000</v>
      </c>
      <c r="AU48" s="36">
        <v>12.4</v>
      </c>
      <c r="AV48" s="36">
        <v>690000000</v>
      </c>
      <c r="AW48" s="36">
        <v>10.1</v>
      </c>
      <c r="AX48" s="36">
        <v>769000000</v>
      </c>
      <c r="AY48" s="36">
        <v>12.7</v>
      </c>
      <c r="AZ48" s="5"/>
      <c r="BA48" s="36">
        <v>614000000</v>
      </c>
      <c r="BB48" s="36">
        <v>7.2</v>
      </c>
      <c r="BC48" s="36">
        <v>965000000</v>
      </c>
      <c r="BD48" s="36">
        <v>7.03</v>
      </c>
      <c r="BE48" s="36">
        <v>772000000</v>
      </c>
      <c r="BF48" s="36">
        <v>11.1</v>
      </c>
      <c r="BG48" s="36">
        <v>993000000</v>
      </c>
      <c r="BH48" s="36">
        <v>6.6</v>
      </c>
      <c r="BI48" s="36">
        <v>891000000</v>
      </c>
      <c r="BJ48" s="36">
        <v>8.24</v>
      </c>
      <c r="BK48" s="5"/>
      <c r="BL48" s="36">
        <v>817000000</v>
      </c>
      <c r="BM48" s="36">
        <v>5.37</v>
      </c>
      <c r="BN48" s="36">
        <v>837000000</v>
      </c>
      <c r="BO48" s="36">
        <v>18</v>
      </c>
      <c r="BP48" s="36">
        <v>1260000000</v>
      </c>
      <c r="BQ48" s="36">
        <v>3.01</v>
      </c>
      <c r="BR48" s="36">
        <v>1340000000</v>
      </c>
      <c r="BS48" s="36">
        <v>17</v>
      </c>
      <c r="BT48" s="36">
        <v>1090000000</v>
      </c>
      <c r="BU48" s="36">
        <v>6.24</v>
      </c>
      <c r="BV48" s="36">
        <v>1230000000</v>
      </c>
      <c r="BW48" s="36">
        <v>16.3</v>
      </c>
      <c r="BX48" s="36">
        <v>1090000000</v>
      </c>
      <c r="BY48" s="36">
        <v>6.84</v>
      </c>
      <c r="BZ48" s="36">
        <v>1120000000</v>
      </c>
      <c r="CA48" s="36">
        <v>9.2899999999999991</v>
      </c>
      <c r="CB48" s="36">
        <v>1060000000</v>
      </c>
      <c r="CC48" s="36">
        <v>7.13</v>
      </c>
      <c r="CD48" s="36">
        <v>901000000</v>
      </c>
      <c r="CE48" s="36">
        <v>5.34</v>
      </c>
      <c r="CF48" s="36">
        <v>838000000</v>
      </c>
      <c r="CG48" s="36">
        <v>7.2</v>
      </c>
      <c r="CH48" s="36">
        <v>1090000000</v>
      </c>
      <c r="CI48" s="36">
        <v>7.2</v>
      </c>
      <c r="CJ48" s="36">
        <v>1000000000</v>
      </c>
      <c r="CK48" s="36">
        <v>5.12</v>
      </c>
      <c r="CL48" s="36">
        <v>964000000</v>
      </c>
      <c r="CM48" s="36">
        <v>16</v>
      </c>
      <c r="CN48" s="36">
        <v>979000000</v>
      </c>
      <c r="CO48" s="36">
        <v>5.32</v>
      </c>
      <c r="CP48" s="5"/>
      <c r="CQ48" s="36">
        <v>1040000000</v>
      </c>
      <c r="CR48" s="36">
        <v>158000000</v>
      </c>
      <c r="CS48" s="46">
        <v>15.2</v>
      </c>
    </row>
    <row r="49" spans="1:97">
      <c r="A49" s="13" t="s">
        <v>170</v>
      </c>
      <c r="B49" s="35">
        <v>522000000</v>
      </c>
      <c r="C49" s="35">
        <v>10.4</v>
      </c>
      <c r="D49" s="35">
        <v>501000000</v>
      </c>
      <c r="E49" s="35">
        <v>8.18</v>
      </c>
      <c r="F49" s="35">
        <v>437000000</v>
      </c>
      <c r="G49" s="35">
        <v>5.61</v>
      </c>
      <c r="H49" s="35">
        <v>533000000</v>
      </c>
      <c r="I49" s="35">
        <v>12.9</v>
      </c>
      <c r="J49" s="35">
        <v>551000000</v>
      </c>
      <c r="K49" s="35">
        <v>9.5299999999999994</v>
      </c>
      <c r="L49" s="35">
        <v>183000000</v>
      </c>
      <c r="M49" s="35">
        <v>10.5</v>
      </c>
      <c r="N49" s="35">
        <v>458000000</v>
      </c>
      <c r="O49" s="35">
        <v>6.69</v>
      </c>
      <c r="P49" s="35">
        <v>449000000</v>
      </c>
      <c r="Q49" s="35">
        <v>8.6199999999999992</v>
      </c>
      <c r="R49" s="35">
        <v>373000000</v>
      </c>
      <c r="S49" s="35">
        <v>10.4</v>
      </c>
      <c r="T49" s="35">
        <v>486000000</v>
      </c>
      <c r="U49" s="35">
        <v>3.57</v>
      </c>
      <c r="V49" s="35">
        <v>490000000</v>
      </c>
      <c r="W49" s="35">
        <v>3.7</v>
      </c>
      <c r="X49" s="35">
        <v>582000000</v>
      </c>
      <c r="Y49" s="35">
        <v>15.4</v>
      </c>
      <c r="Z49" s="35">
        <v>521000000</v>
      </c>
      <c r="AA49" s="35">
        <v>14.5</v>
      </c>
      <c r="AB49" s="35">
        <v>450000000</v>
      </c>
      <c r="AC49" s="35">
        <v>5.51</v>
      </c>
      <c r="AD49" s="35">
        <v>504000000</v>
      </c>
      <c r="AE49" s="35">
        <v>8.68</v>
      </c>
      <c r="AF49" s="35">
        <v>353000000</v>
      </c>
      <c r="AG49" s="35">
        <v>11.8</v>
      </c>
      <c r="AH49" s="35">
        <v>415000000</v>
      </c>
      <c r="AI49" s="35">
        <v>5.38</v>
      </c>
      <c r="AJ49" s="35">
        <v>496000000</v>
      </c>
      <c r="AK49" s="35">
        <v>13.9</v>
      </c>
      <c r="AL49" s="35">
        <v>499000000</v>
      </c>
      <c r="AM49" s="35">
        <v>9.57</v>
      </c>
      <c r="AN49" s="35">
        <v>371000000</v>
      </c>
      <c r="AO49" s="35">
        <v>11.5</v>
      </c>
      <c r="AP49" s="35">
        <v>456000000</v>
      </c>
      <c r="AQ49" s="35">
        <v>5.0599999999999996</v>
      </c>
      <c r="AR49" s="35">
        <v>468000000</v>
      </c>
      <c r="AS49" s="35">
        <v>6.08</v>
      </c>
      <c r="AT49" s="35">
        <v>496000000</v>
      </c>
      <c r="AU49" s="35">
        <v>8.64</v>
      </c>
      <c r="AV49" s="35">
        <v>589000000</v>
      </c>
      <c r="AW49" s="35">
        <v>10.6</v>
      </c>
      <c r="AX49" s="35">
        <v>610000000</v>
      </c>
      <c r="AY49" s="35">
        <v>12.1</v>
      </c>
      <c r="AZ49" s="3"/>
      <c r="BA49" s="35">
        <v>394000000</v>
      </c>
      <c r="BB49" s="35">
        <v>8.4</v>
      </c>
      <c r="BC49" s="35">
        <v>436000000</v>
      </c>
      <c r="BD49" s="35">
        <v>7.73</v>
      </c>
      <c r="BE49" s="35">
        <v>341000000</v>
      </c>
      <c r="BF49" s="35">
        <v>7.73</v>
      </c>
      <c r="BG49" s="35">
        <v>505000000</v>
      </c>
      <c r="BH49" s="35">
        <v>6.64</v>
      </c>
      <c r="BI49" s="35">
        <v>403000000</v>
      </c>
      <c r="BJ49" s="35">
        <v>8.7200000000000006</v>
      </c>
      <c r="BK49" s="3"/>
      <c r="BL49" s="35">
        <v>541000000</v>
      </c>
      <c r="BM49" s="35">
        <v>1.95</v>
      </c>
      <c r="BN49" s="35">
        <v>455000000</v>
      </c>
      <c r="BO49" s="35">
        <v>3.3</v>
      </c>
      <c r="BP49" s="35">
        <v>345000000</v>
      </c>
      <c r="BQ49" s="35">
        <v>12.6</v>
      </c>
      <c r="BR49" s="35">
        <v>344000000</v>
      </c>
      <c r="BS49" s="35">
        <v>5.94</v>
      </c>
      <c r="BT49" s="35">
        <v>463000000</v>
      </c>
      <c r="BU49" s="35">
        <v>12</v>
      </c>
      <c r="BV49" s="35">
        <v>403000000</v>
      </c>
      <c r="BW49" s="35">
        <v>9.91</v>
      </c>
      <c r="BX49" s="35">
        <v>488000000</v>
      </c>
      <c r="BY49" s="35">
        <v>9.9499999999999993</v>
      </c>
      <c r="BZ49" s="35">
        <v>601000000</v>
      </c>
      <c r="CA49" s="35">
        <v>6.48</v>
      </c>
      <c r="CB49" s="35">
        <v>576000000</v>
      </c>
      <c r="CC49" s="35">
        <v>12.4</v>
      </c>
      <c r="CD49" s="35">
        <v>519000000</v>
      </c>
      <c r="CE49" s="35">
        <v>12.5</v>
      </c>
      <c r="CF49" s="35">
        <v>402000000</v>
      </c>
      <c r="CG49" s="35">
        <v>3.71</v>
      </c>
      <c r="CH49" s="35">
        <v>525000000</v>
      </c>
      <c r="CI49" s="35">
        <v>8.5</v>
      </c>
      <c r="CJ49" s="35">
        <v>498000000</v>
      </c>
      <c r="CK49" s="35">
        <v>12.5</v>
      </c>
      <c r="CL49" s="35">
        <v>531000000</v>
      </c>
      <c r="CM49" s="35">
        <v>11.6</v>
      </c>
      <c r="CN49" s="35">
        <v>461000000</v>
      </c>
      <c r="CO49" s="35">
        <v>5.09</v>
      </c>
      <c r="CP49" s="3"/>
      <c r="CQ49" s="35">
        <v>477000000</v>
      </c>
      <c r="CR49" s="35">
        <v>77500000</v>
      </c>
      <c r="CS49" s="45">
        <v>16.3</v>
      </c>
    </row>
    <row r="50" spans="1:97">
      <c r="A50" s="13" t="s">
        <v>171</v>
      </c>
      <c r="B50" s="36">
        <v>347000000</v>
      </c>
      <c r="C50" s="36">
        <v>13</v>
      </c>
      <c r="D50" s="36">
        <v>393000000</v>
      </c>
      <c r="E50" s="36">
        <v>9.8800000000000008</v>
      </c>
      <c r="F50" s="36">
        <v>361000000</v>
      </c>
      <c r="G50" s="36">
        <v>12.9</v>
      </c>
      <c r="H50" s="36">
        <v>407000000</v>
      </c>
      <c r="I50" s="36">
        <v>10.7</v>
      </c>
      <c r="J50" s="36">
        <v>411000000</v>
      </c>
      <c r="K50" s="36">
        <v>14</v>
      </c>
      <c r="L50" s="36">
        <v>141000000</v>
      </c>
      <c r="M50" s="36">
        <v>7.55</v>
      </c>
      <c r="N50" s="36">
        <v>356000000</v>
      </c>
      <c r="O50" s="36">
        <v>7.33</v>
      </c>
      <c r="P50" s="36">
        <v>378000000</v>
      </c>
      <c r="Q50" s="36">
        <v>8.17</v>
      </c>
      <c r="R50" s="36">
        <v>267000000</v>
      </c>
      <c r="S50" s="36">
        <v>10.8</v>
      </c>
      <c r="T50" s="36">
        <v>442000000</v>
      </c>
      <c r="U50" s="36">
        <v>7.11</v>
      </c>
      <c r="V50" s="36">
        <v>358000000</v>
      </c>
      <c r="W50" s="36">
        <v>10.1</v>
      </c>
      <c r="X50" s="36">
        <v>391000000</v>
      </c>
      <c r="Y50" s="36">
        <v>12.7</v>
      </c>
      <c r="Z50" s="36">
        <v>382000000</v>
      </c>
      <c r="AA50" s="36">
        <v>14.9</v>
      </c>
      <c r="AB50" s="36">
        <v>330000000</v>
      </c>
      <c r="AC50" s="36">
        <v>13.1</v>
      </c>
      <c r="AD50" s="36">
        <v>305000000</v>
      </c>
      <c r="AE50" s="36">
        <v>3.08</v>
      </c>
      <c r="AF50" s="36">
        <v>252000000</v>
      </c>
      <c r="AG50" s="36">
        <v>8.34</v>
      </c>
      <c r="AH50" s="36">
        <v>346000000</v>
      </c>
      <c r="AI50" s="36">
        <v>7.16</v>
      </c>
      <c r="AJ50" s="36">
        <v>365000000</v>
      </c>
      <c r="AK50" s="36">
        <v>9.86</v>
      </c>
      <c r="AL50" s="36">
        <v>391000000</v>
      </c>
      <c r="AM50" s="36">
        <v>9.0299999999999994</v>
      </c>
      <c r="AN50" s="36">
        <v>345000000</v>
      </c>
      <c r="AO50" s="36">
        <v>6.95</v>
      </c>
      <c r="AP50" s="36">
        <v>331000000</v>
      </c>
      <c r="AQ50" s="36">
        <v>13.4</v>
      </c>
      <c r="AR50" s="36">
        <v>297000000</v>
      </c>
      <c r="AS50" s="36">
        <v>13.8</v>
      </c>
      <c r="AT50" s="36">
        <v>344000000</v>
      </c>
      <c r="AU50" s="36">
        <v>9.36</v>
      </c>
      <c r="AV50" s="36">
        <v>347000000</v>
      </c>
      <c r="AW50" s="36">
        <v>6.94</v>
      </c>
      <c r="AX50" s="36">
        <v>316000000</v>
      </c>
      <c r="AY50" s="36">
        <v>9.02</v>
      </c>
      <c r="AZ50" s="5"/>
      <c r="BA50" s="36">
        <v>301000000</v>
      </c>
      <c r="BB50" s="36">
        <v>5.13</v>
      </c>
      <c r="BC50" s="36">
        <v>449000000</v>
      </c>
      <c r="BD50" s="36">
        <v>7.63</v>
      </c>
      <c r="BE50" s="36">
        <v>392000000</v>
      </c>
      <c r="BF50" s="36">
        <v>8.61</v>
      </c>
      <c r="BG50" s="36">
        <v>555000000</v>
      </c>
      <c r="BH50" s="36">
        <v>3.7</v>
      </c>
      <c r="BI50" s="36">
        <v>408000000</v>
      </c>
      <c r="BJ50" s="36">
        <v>7.21</v>
      </c>
      <c r="BK50" s="5"/>
      <c r="BL50" s="36">
        <v>320000000</v>
      </c>
      <c r="BM50" s="36">
        <v>0.91900000000000004</v>
      </c>
      <c r="BN50" s="36">
        <v>289000000</v>
      </c>
      <c r="BO50" s="36">
        <v>2.62</v>
      </c>
      <c r="BP50" s="36">
        <v>494000000</v>
      </c>
      <c r="BQ50" s="36">
        <v>2.5299999999999998</v>
      </c>
      <c r="BR50" s="36">
        <v>443000000</v>
      </c>
      <c r="BS50" s="36">
        <v>15.3</v>
      </c>
      <c r="BT50" s="36">
        <v>448000000</v>
      </c>
      <c r="BU50" s="36">
        <v>5.43</v>
      </c>
      <c r="BV50" s="36">
        <v>411000000</v>
      </c>
      <c r="BW50" s="36">
        <v>16.3</v>
      </c>
      <c r="BX50" s="36">
        <v>426000000</v>
      </c>
      <c r="BY50" s="36">
        <v>6.27</v>
      </c>
      <c r="BZ50" s="36">
        <v>467000000</v>
      </c>
      <c r="CA50" s="36">
        <v>7.68</v>
      </c>
      <c r="CB50" s="36">
        <v>467000000</v>
      </c>
      <c r="CC50" s="36">
        <v>8.59</v>
      </c>
      <c r="CD50" s="36">
        <v>401000000</v>
      </c>
      <c r="CE50" s="36">
        <v>8.83</v>
      </c>
      <c r="CF50" s="36">
        <v>370000000</v>
      </c>
      <c r="CG50" s="36">
        <v>11.4</v>
      </c>
      <c r="CH50" s="36">
        <v>417000000</v>
      </c>
      <c r="CI50" s="36">
        <v>6.83</v>
      </c>
      <c r="CJ50" s="36">
        <v>400000000</v>
      </c>
      <c r="CK50" s="36">
        <v>4.79</v>
      </c>
      <c r="CL50" s="36">
        <v>398000000</v>
      </c>
      <c r="CM50" s="36">
        <v>9.2200000000000006</v>
      </c>
      <c r="CN50" s="36">
        <v>370000000</v>
      </c>
      <c r="CO50" s="36">
        <v>3.58</v>
      </c>
      <c r="CP50" s="5"/>
      <c r="CQ50" s="36">
        <v>408000000</v>
      </c>
      <c r="CR50" s="36">
        <v>55000000</v>
      </c>
      <c r="CS50" s="46">
        <v>13.5</v>
      </c>
    </row>
    <row r="51" spans="1:97">
      <c r="A51" s="13" t="s">
        <v>172</v>
      </c>
      <c r="B51" s="35">
        <v>666000000</v>
      </c>
      <c r="C51" s="35">
        <v>12</v>
      </c>
      <c r="D51" s="35">
        <v>552000000</v>
      </c>
      <c r="E51" s="35">
        <v>6.49</v>
      </c>
      <c r="F51" s="35">
        <v>520000000</v>
      </c>
      <c r="G51" s="35">
        <v>14.7</v>
      </c>
      <c r="H51" s="35">
        <v>580000000</v>
      </c>
      <c r="I51" s="35">
        <v>8.7899999999999991</v>
      </c>
      <c r="J51" s="35">
        <v>631000000</v>
      </c>
      <c r="K51" s="35">
        <v>7</v>
      </c>
      <c r="L51" s="35">
        <v>258000000</v>
      </c>
      <c r="M51" s="35">
        <v>10.199999999999999</v>
      </c>
      <c r="N51" s="35">
        <v>553000000</v>
      </c>
      <c r="O51" s="35">
        <v>8.84</v>
      </c>
      <c r="P51" s="35">
        <v>594000000</v>
      </c>
      <c r="Q51" s="35">
        <v>7.51</v>
      </c>
      <c r="R51" s="35">
        <v>462000000</v>
      </c>
      <c r="S51" s="35">
        <v>9.66</v>
      </c>
      <c r="T51" s="35">
        <v>865000000</v>
      </c>
      <c r="U51" s="35">
        <v>8.23</v>
      </c>
      <c r="V51" s="35">
        <v>705000000</v>
      </c>
      <c r="W51" s="35">
        <v>5.84</v>
      </c>
      <c r="X51" s="35">
        <v>740000000</v>
      </c>
      <c r="Y51" s="35">
        <v>16.5</v>
      </c>
      <c r="Z51" s="35">
        <v>703000000</v>
      </c>
      <c r="AA51" s="35">
        <v>16</v>
      </c>
      <c r="AB51" s="35">
        <v>611000000</v>
      </c>
      <c r="AC51" s="35">
        <v>8.3699999999999992</v>
      </c>
      <c r="AD51" s="35">
        <v>617000000</v>
      </c>
      <c r="AE51" s="35">
        <v>7</v>
      </c>
      <c r="AF51" s="35">
        <v>506000000</v>
      </c>
      <c r="AG51" s="35">
        <v>13.4</v>
      </c>
      <c r="AH51" s="35">
        <v>581000000</v>
      </c>
      <c r="AI51" s="35">
        <v>5.33</v>
      </c>
      <c r="AJ51" s="35">
        <v>605000000</v>
      </c>
      <c r="AK51" s="35">
        <v>11.4</v>
      </c>
      <c r="AL51" s="35">
        <v>389000000</v>
      </c>
      <c r="AM51" s="35">
        <v>10.3</v>
      </c>
      <c r="AN51" s="35">
        <v>421000000</v>
      </c>
      <c r="AO51" s="35">
        <v>14.3</v>
      </c>
      <c r="AP51" s="35">
        <v>655000000</v>
      </c>
      <c r="AQ51" s="35">
        <v>10.7</v>
      </c>
      <c r="AR51" s="35">
        <v>626000000</v>
      </c>
      <c r="AS51" s="35">
        <v>10.5</v>
      </c>
      <c r="AT51" s="35">
        <v>555000000</v>
      </c>
      <c r="AU51" s="35">
        <v>7.37</v>
      </c>
      <c r="AV51" s="35">
        <v>671000000</v>
      </c>
      <c r="AW51" s="35">
        <v>7.9</v>
      </c>
      <c r="AX51" s="35">
        <v>730000000</v>
      </c>
      <c r="AY51" s="35">
        <v>10.3</v>
      </c>
      <c r="AZ51" s="3"/>
      <c r="BA51" s="35">
        <v>539000000</v>
      </c>
      <c r="BB51" s="35">
        <v>9.43</v>
      </c>
      <c r="BC51" s="35">
        <v>723000000</v>
      </c>
      <c r="BD51" s="35">
        <v>8.6</v>
      </c>
      <c r="BE51" s="35">
        <v>570000000</v>
      </c>
      <c r="BF51" s="35">
        <v>6.31</v>
      </c>
      <c r="BG51" s="35">
        <v>581000000</v>
      </c>
      <c r="BH51" s="35">
        <v>5.73</v>
      </c>
      <c r="BI51" s="35">
        <v>512000000</v>
      </c>
      <c r="BJ51" s="35">
        <v>9.3800000000000008</v>
      </c>
      <c r="BK51" s="3"/>
      <c r="BL51" s="35">
        <v>765000000</v>
      </c>
      <c r="BM51" s="35">
        <v>2.16</v>
      </c>
      <c r="BN51" s="35">
        <v>724000000</v>
      </c>
      <c r="BO51" s="35">
        <v>0.72599999999999998</v>
      </c>
      <c r="BP51" s="35">
        <v>592000000</v>
      </c>
      <c r="BQ51" s="35">
        <v>5.03</v>
      </c>
      <c r="BR51" s="35">
        <v>638000000</v>
      </c>
      <c r="BS51" s="35">
        <v>11.3</v>
      </c>
      <c r="BT51" s="35">
        <v>701000000</v>
      </c>
      <c r="BU51" s="35">
        <v>11.7</v>
      </c>
      <c r="BV51" s="35">
        <v>691000000</v>
      </c>
      <c r="BW51" s="35">
        <v>14.4</v>
      </c>
      <c r="BX51" s="35">
        <v>678000000</v>
      </c>
      <c r="BY51" s="35">
        <v>6.75</v>
      </c>
      <c r="BZ51" s="35">
        <v>615000000</v>
      </c>
      <c r="CA51" s="35">
        <v>9.9499999999999993</v>
      </c>
      <c r="CB51" s="35">
        <v>711000000</v>
      </c>
      <c r="CC51" s="35">
        <v>14</v>
      </c>
      <c r="CD51" s="35">
        <v>623000000</v>
      </c>
      <c r="CE51" s="35">
        <v>13.1</v>
      </c>
      <c r="CF51" s="35">
        <v>599000000</v>
      </c>
      <c r="CG51" s="35">
        <v>18.5</v>
      </c>
      <c r="CH51" s="35">
        <v>696000000</v>
      </c>
      <c r="CI51" s="35">
        <v>7.36</v>
      </c>
      <c r="CJ51" s="35">
        <v>655000000</v>
      </c>
      <c r="CK51" s="35">
        <v>11.7</v>
      </c>
      <c r="CL51" s="35">
        <v>648000000</v>
      </c>
      <c r="CM51" s="35">
        <v>9.67</v>
      </c>
      <c r="CN51" s="35">
        <v>685000000</v>
      </c>
      <c r="CO51" s="35">
        <v>3.5</v>
      </c>
      <c r="CP51" s="3"/>
      <c r="CQ51" s="35">
        <v>668000000</v>
      </c>
      <c r="CR51" s="35">
        <v>49300000</v>
      </c>
      <c r="CS51" s="45">
        <v>7.38</v>
      </c>
    </row>
    <row r="52" spans="1:97">
      <c r="A52" s="13" t="s">
        <v>173</v>
      </c>
      <c r="B52" s="36">
        <v>240000000</v>
      </c>
      <c r="C52" s="36">
        <v>11.2</v>
      </c>
      <c r="D52" s="36">
        <v>383000000</v>
      </c>
      <c r="E52" s="36">
        <v>6.79</v>
      </c>
      <c r="F52" s="36">
        <v>233000000</v>
      </c>
      <c r="G52" s="36">
        <v>13</v>
      </c>
      <c r="H52" s="36">
        <v>236000000</v>
      </c>
      <c r="I52" s="36">
        <v>13.4</v>
      </c>
      <c r="J52" s="36">
        <v>232000000</v>
      </c>
      <c r="K52" s="36">
        <v>4.51</v>
      </c>
      <c r="L52" s="36">
        <v>95200000</v>
      </c>
      <c r="M52" s="36">
        <v>7.33</v>
      </c>
      <c r="N52" s="36">
        <v>337000000</v>
      </c>
      <c r="O52" s="36">
        <v>10.4</v>
      </c>
      <c r="P52" s="36">
        <v>298000000</v>
      </c>
      <c r="Q52" s="36">
        <v>8.52</v>
      </c>
      <c r="R52" s="36">
        <v>211000000</v>
      </c>
      <c r="S52" s="36">
        <v>10.3</v>
      </c>
      <c r="T52" s="36">
        <v>285000000</v>
      </c>
      <c r="U52" s="36">
        <v>5.0999999999999996</v>
      </c>
      <c r="V52" s="36">
        <v>299000000</v>
      </c>
      <c r="W52" s="36">
        <v>4.53</v>
      </c>
      <c r="X52" s="36">
        <v>304000000</v>
      </c>
      <c r="Y52" s="36">
        <v>15.3</v>
      </c>
      <c r="Z52" s="36">
        <v>271000000</v>
      </c>
      <c r="AA52" s="36">
        <v>20</v>
      </c>
      <c r="AB52" s="36">
        <v>221000000</v>
      </c>
      <c r="AC52" s="36">
        <v>11.6</v>
      </c>
      <c r="AD52" s="36">
        <v>214000000</v>
      </c>
      <c r="AE52" s="36">
        <v>3.84</v>
      </c>
      <c r="AF52" s="36">
        <v>190000000</v>
      </c>
      <c r="AG52" s="36">
        <v>9.06</v>
      </c>
      <c r="AH52" s="36">
        <v>251000000</v>
      </c>
      <c r="AI52" s="36">
        <v>12.3</v>
      </c>
      <c r="AJ52" s="36">
        <v>246000000</v>
      </c>
      <c r="AK52" s="36">
        <v>12.4</v>
      </c>
      <c r="AL52" s="36">
        <v>157000000</v>
      </c>
      <c r="AM52" s="36">
        <v>17.399999999999999</v>
      </c>
      <c r="AN52" s="36">
        <v>223000000</v>
      </c>
      <c r="AO52" s="36">
        <v>10.199999999999999</v>
      </c>
      <c r="AP52" s="36">
        <v>262000000</v>
      </c>
      <c r="AQ52" s="36">
        <v>11.1</v>
      </c>
      <c r="AR52" s="36">
        <v>226000000</v>
      </c>
      <c r="AS52" s="36">
        <v>11.9</v>
      </c>
      <c r="AT52" s="36">
        <v>246000000</v>
      </c>
      <c r="AU52" s="36">
        <v>12.2</v>
      </c>
      <c r="AV52" s="36">
        <v>241000000</v>
      </c>
      <c r="AW52" s="36">
        <v>11.5</v>
      </c>
      <c r="AX52" s="36">
        <v>275000000</v>
      </c>
      <c r="AY52" s="36">
        <v>9.2200000000000006</v>
      </c>
      <c r="AZ52" s="5"/>
      <c r="BA52" s="36">
        <v>207000000</v>
      </c>
      <c r="BB52" s="36">
        <v>5.28</v>
      </c>
      <c r="BC52" s="36">
        <v>266000000</v>
      </c>
      <c r="BD52" s="36">
        <v>7.28</v>
      </c>
      <c r="BE52" s="36">
        <v>209000000</v>
      </c>
      <c r="BF52" s="36">
        <v>8.58</v>
      </c>
      <c r="BG52" s="36">
        <v>158000000</v>
      </c>
      <c r="BH52" s="36">
        <v>6.34</v>
      </c>
      <c r="BI52" s="36">
        <v>158000000</v>
      </c>
      <c r="BJ52" s="36">
        <v>8.9</v>
      </c>
      <c r="BK52" s="5"/>
      <c r="BL52" s="36">
        <v>357000000</v>
      </c>
      <c r="BM52" s="36">
        <v>8.0500000000000007</v>
      </c>
      <c r="BN52" s="36">
        <v>333000000</v>
      </c>
      <c r="BO52" s="36">
        <v>1.93</v>
      </c>
      <c r="BP52" s="36">
        <v>304000000</v>
      </c>
      <c r="BQ52" s="36">
        <v>5.54</v>
      </c>
      <c r="BR52" s="36">
        <v>260000000</v>
      </c>
      <c r="BS52" s="36">
        <v>13.2</v>
      </c>
      <c r="BT52" s="36">
        <v>233000000</v>
      </c>
      <c r="BU52" s="36">
        <v>4.92</v>
      </c>
      <c r="BV52" s="36">
        <v>194000000</v>
      </c>
      <c r="BW52" s="36">
        <v>16.2</v>
      </c>
      <c r="BX52" s="36">
        <v>240000000</v>
      </c>
      <c r="BY52" s="36">
        <v>6.02</v>
      </c>
      <c r="BZ52" s="36">
        <v>331000000</v>
      </c>
      <c r="CA52" s="36">
        <v>6.73</v>
      </c>
      <c r="CB52" s="36">
        <v>358000000</v>
      </c>
      <c r="CC52" s="36">
        <v>6.63</v>
      </c>
      <c r="CD52" s="36">
        <v>446000000</v>
      </c>
      <c r="CE52" s="36">
        <v>8.8800000000000008</v>
      </c>
      <c r="CF52" s="36">
        <v>491000000</v>
      </c>
      <c r="CG52" s="36">
        <v>12.4</v>
      </c>
      <c r="CH52" s="36">
        <v>259000000</v>
      </c>
      <c r="CI52" s="36">
        <v>11.4</v>
      </c>
      <c r="CJ52" s="36">
        <v>258000000</v>
      </c>
      <c r="CK52" s="36">
        <v>11.1</v>
      </c>
      <c r="CL52" s="36">
        <v>308000000</v>
      </c>
      <c r="CM52" s="36">
        <v>12.9</v>
      </c>
      <c r="CN52" s="36">
        <v>259000000</v>
      </c>
      <c r="CO52" s="36">
        <v>4.3499999999999996</v>
      </c>
      <c r="CP52" s="5"/>
      <c r="CQ52" s="36">
        <v>309000000</v>
      </c>
      <c r="CR52" s="36">
        <v>80800000</v>
      </c>
      <c r="CS52" s="46">
        <v>26.2</v>
      </c>
    </row>
    <row r="53" spans="1:97">
      <c r="A53" s="13" t="s">
        <v>174</v>
      </c>
      <c r="B53" s="35">
        <v>1010000</v>
      </c>
      <c r="C53" s="35">
        <v>6.06</v>
      </c>
      <c r="D53" s="35">
        <v>754000</v>
      </c>
      <c r="E53" s="35">
        <v>11.4</v>
      </c>
      <c r="F53" s="35">
        <v>1060000</v>
      </c>
      <c r="G53" s="35">
        <v>11.4</v>
      </c>
      <c r="H53" s="35">
        <v>372000</v>
      </c>
      <c r="I53" s="35">
        <v>12</v>
      </c>
      <c r="J53" s="35">
        <v>408000</v>
      </c>
      <c r="K53" s="35">
        <v>16.7</v>
      </c>
      <c r="L53" s="35">
        <v>837000</v>
      </c>
      <c r="M53" s="35">
        <v>12.7</v>
      </c>
      <c r="N53" s="35">
        <v>740000</v>
      </c>
      <c r="O53" s="35">
        <v>13.2</v>
      </c>
      <c r="P53" s="35">
        <v>634000</v>
      </c>
      <c r="Q53" s="35">
        <v>11</v>
      </c>
      <c r="R53" s="35">
        <v>1000000</v>
      </c>
      <c r="S53" s="35">
        <v>6.14</v>
      </c>
      <c r="T53" s="35">
        <v>639000</v>
      </c>
      <c r="U53" s="35">
        <v>11.7</v>
      </c>
      <c r="V53" s="35">
        <v>663000</v>
      </c>
      <c r="W53" s="35">
        <v>18.8</v>
      </c>
      <c r="X53" s="35">
        <v>653000</v>
      </c>
      <c r="Y53" s="35">
        <v>5.86</v>
      </c>
      <c r="Z53" s="35">
        <v>588000</v>
      </c>
      <c r="AA53" s="35">
        <v>16</v>
      </c>
      <c r="AB53" s="35">
        <v>861000</v>
      </c>
      <c r="AC53" s="35">
        <v>6.01</v>
      </c>
      <c r="AD53" s="35">
        <v>762000</v>
      </c>
      <c r="AE53" s="35">
        <v>8.57</v>
      </c>
      <c r="AF53" s="35">
        <v>978000</v>
      </c>
      <c r="AG53" s="35">
        <v>5.34</v>
      </c>
      <c r="AH53" s="35">
        <v>567000</v>
      </c>
      <c r="AI53" s="35">
        <v>10.6</v>
      </c>
      <c r="AJ53" s="35">
        <v>913000</v>
      </c>
      <c r="AK53" s="35">
        <v>16.899999999999999</v>
      </c>
      <c r="AL53" s="35">
        <v>890000</v>
      </c>
      <c r="AM53" s="35">
        <v>8.67</v>
      </c>
      <c r="AN53" s="35">
        <v>914000</v>
      </c>
      <c r="AO53" s="35">
        <v>8.9700000000000006</v>
      </c>
      <c r="AP53" s="35">
        <v>810000</v>
      </c>
      <c r="AQ53" s="35">
        <v>12.3</v>
      </c>
      <c r="AR53" s="35">
        <v>882000</v>
      </c>
      <c r="AS53" s="35">
        <v>4.25</v>
      </c>
      <c r="AT53" s="35">
        <v>831000</v>
      </c>
      <c r="AU53" s="35">
        <v>8.92</v>
      </c>
      <c r="AV53" s="35">
        <v>826000</v>
      </c>
      <c r="AW53" s="35">
        <v>10.7</v>
      </c>
      <c r="AX53" s="35">
        <v>858000</v>
      </c>
      <c r="AY53" s="35">
        <v>10.3</v>
      </c>
      <c r="AZ53" s="3"/>
      <c r="BA53" s="35">
        <v>919000</v>
      </c>
      <c r="BB53" s="35">
        <v>9.11</v>
      </c>
      <c r="BC53" s="35">
        <v>511000</v>
      </c>
      <c r="BD53" s="35">
        <v>5.7</v>
      </c>
      <c r="BE53" s="35">
        <v>511000</v>
      </c>
      <c r="BF53" s="35">
        <v>7.7</v>
      </c>
      <c r="BG53" s="35">
        <v>288000</v>
      </c>
      <c r="BH53" s="35">
        <v>12.4</v>
      </c>
      <c r="BI53" s="35">
        <v>286000</v>
      </c>
      <c r="BJ53" s="35">
        <v>10.7</v>
      </c>
      <c r="BK53" s="3"/>
      <c r="BL53" s="35">
        <v>290000</v>
      </c>
      <c r="BM53" s="35">
        <v>7.09</v>
      </c>
      <c r="BN53" s="35">
        <v>334000</v>
      </c>
      <c r="BO53" s="35">
        <v>14.2</v>
      </c>
      <c r="BP53" s="35">
        <v>671000</v>
      </c>
      <c r="BQ53" s="35">
        <v>11.2</v>
      </c>
      <c r="BR53" s="35">
        <v>808000</v>
      </c>
      <c r="BS53" s="35">
        <v>4.46</v>
      </c>
      <c r="BT53" s="35">
        <v>997000</v>
      </c>
      <c r="BU53" s="35">
        <v>3.8</v>
      </c>
      <c r="BV53" s="35">
        <v>853000</v>
      </c>
      <c r="BW53" s="35">
        <v>14.4</v>
      </c>
      <c r="BX53" s="35">
        <v>955000</v>
      </c>
      <c r="BY53" s="35">
        <v>11.3</v>
      </c>
      <c r="BZ53" s="35">
        <v>941000</v>
      </c>
      <c r="CA53" s="35">
        <v>6.08</v>
      </c>
      <c r="CB53" s="35">
        <v>919000</v>
      </c>
      <c r="CC53" s="35">
        <v>10.8</v>
      </c>
      <c r="CD53" s="35">
        <v>790000</v>
      </c>
      <c r="CE53" s="35">
        <v>10.8</v>
      </c>
      <c r="CF53" s="35">
        <v>720000</v>
      </c>
      <c r="CG53" s="35">
        <v>10.7</v>
      </c>
      <c r="CH53" s="35">
        <v>769000</v>
      </c>
      <c r="CI53" s="35">
        <v>12.7</v>
      </c>
      <c r="CJ53" s="35">
        <v>850000</v>
      </c>
      <c r="CK53" s="35">
        <v>9.24</v>
      </c>
      <c r="CL53" s="35">
        <v>905000</v>
      </c>
      <c r="CM53" s="35">
        <v>10.4</v>
      </c>
      <c r="CN53" s="35">
        <v>930000</v>
      </c>
      <c r="CO53" s="35">
        <v>9.98</v>
      </c>
      <c r="CP53" s="3"/>
      <c r="CQ53" s="35">
        <v>782000</v>
      </c>
      <c r="CR53" s="35">
        <v>212000</v>
      </c>
      <c r="CS53" s="45">
        <v>27</v>
      </c>
    </row>
    <row r="54" spans="1:97">
      <c r="A54" s="13" t="s">
        <v>175</v>
      </c>
      <c r="B54" s="36">
        <v>410000000</v>
      </c>
      <c r="C54" s="36">
        <v>12.6</v>
      </c>
      <c r="D54" s="36">
        <v>425000000</v>
      </c>
      <c r="E54" s="36">
        <v>5.67</v>
      </c>
      <c r="F54" s="36">
        <v>243000000</v>
      </c>
      <c r="G54" s="36">
        <v>11.9</v>
      </c>
      <c r="H54" s="36">
        <v>301000000</v>
      </c>
      <c r="I54" s="36">
        <v>11.8</v>
      </c>
      <c r="J54" s="36">
        <v>354000000</v>
      </c>
      <c r="K54" s="36">
        <v>8.7200000000000006</v>
      </c>
      <c r="L54" s="36">
        <v>139000000</v>
      </c>
      <c r="M54" s="36">
        <v>8.24</v>
      </c>
      <c r="N54" s="36">
        <v>339000000</v>
      </c>
      <c r="O54" s="36">
        <v>7.82</v>
      </c>
      <c r="P54" s="36">
        <v>403000000</v>
      </c>
      <c r="Q54" s="36">
        <v>7.15</v>
      </c>
      <c r="R54" s="36">
        <v>308000000</v>
      </c>
      <c r="S54" s="36">
        <v>10.1</v>
      </c>
      <c r="T54" s="36">
        <v>505000000</v>
      </c>
      <c r="U54" s="36">
        <v>7.36</v>
      </c>
      <c r="V54" s="36">
        <v>323000000</v>
      </c>
      <c r="W54" s="36">
        <v>15.2</v>
      </c>
      <c r="X54" s="36">
        <v>404000000</v>
      </c>
      <c r="Y54" s="36">
        <v>10.4</v>
      </c>
      <c r="Z54" s="36">
        <v>385000000</v>
      </c>
      <c r="AA54" s="36">
        <v>12.2</v>
      </c>
      <c r="AB54" s="36">
        <v>379000000</v>
      </c>
      <c r="AC54" s="36">
        <v>12.5</v>
      </c>
      <c r="AD54" s="36">
        <v>333000000</v>
      </c>
      <c r="AE54" s="36">
        <v>4.5999999999999996</v>
      </c>
      <c r="AF54" s="36">
        <v>301000000</v>
      </c>
      <c r="AG54" s="36">
        <v>11</v>
      </c>
      <c r="AH54" s="36">
        <v>371000000</v>
      </c>
      <c r="AI54" s="36">
        <v>6.5</v>
      </c>
      <c r="AJ54" s="36">
        <v>395000000</v>
      </c>
      <c r="AK54" s="36">
        <v>10.3</v>
      </c>
      <c r="AL54" s="36">
        <v>194000000</v>
      </c>
      <c r="AM54" s="36">
        <v>13.2</v>
      </c>
      <c r="AN54" s="36">
        <v>302000000</v>
      </c>
      <c r="AO54" s="36">
        <v>12.4</v>
      </c>
      <c r="AP54" s="36">
        <v>447000000</v>
      </c>
      <c r="AQ54" s="36">
        <v>9.69</v>
      </c>
      <c r="AR54" s="36">
        <v>198000000</v>
      </c>
      <c r="AS54" s="36">
        <v>9.9499999999999993</v>
      </c>
      <c r="AT54" s="36">
        <v>376000000</v>
      </c>
      <c r="AU54" s="36">
        <v>8.4600000000000009</v>
      </c>
      <c r="AV54" s="36">
        <v>392000000</v>
      </c>
      <c r="AW54" s="36">
        <v>9.6</v>
      </c>
      <c r="AX54" s="36">
        <v>382000000</v>
      </c>
      <c r="AY54" s="36">
        <v>9.0299999999999994</v>
      </c>
      <c r="AZ54" s="5"/>
      <c r="BA54" s="36">
        <v>320000000</v>
      </c>
      <c r="BB54" s="36">
        <v>8.42</v>
      </c>
      <c r="BC54" s="36">
        <v>382000000</v>
      </c>
      <c r="BD54" s="36">
        <v>5.14</v>
      </c>
      <c r="BE54" s="36">
        <v>308000000</v>
      </c>
      <c r="BF54" s="36">
        <v>5.53</v>
      </c>
      <c r="BG54" s="36">
        <v>335000000</v>
      </c>
      <c r="BH54" s="36">
        <v>4.95</v>
      </c>
      <c r="BI54" s="36">
        <v>236000000</v>
      </c>
      <c r="BJ54" s="36">
        <v>10.199999999999999</v>
      </c>
      <c r="BK54" s="5"/>
      <c r="BL54" s="36">
        <v>357000000</v>
      </c>
      <c r="BM54" s="36">
        <v>5.09</v>
      </c>
      <c r="BN54" s="36">
        <v>401000000</v>
      </c>
      <c r="BO54" s="36">
        <v>2.39</v>
      </c>
      <c r="BP54" s="36">
        <v>423000000</v>
      </c>
      <c r="BQ54" s="36">
        <v>14.5</v>
      </c>
      <c r="BR54" s="36">
        <v>466000000</v>
      </c>
      <c r="BS54" s="36">
        <v>14.4</v>
      </c>
      <c r="BT54" s="36">
        <v>468000000</v>
      </c>
      <c r="BU54" s="36">
        <v>2.93</v>
      </c>
      <c r="BV54" s="36">
        <v>461000000</v>
      </c>
      <c r="BW54" s="36">
        <v>13.9</v>
      </c>
      <c r="BX54" s="36">
        <v>443000000</v>
      </c>
      <c r="BY54" s="36">
        <v>3.65</v>
      </c>
      <c r="BZ54" s="36">
        <v>345000000</v>
      </c>
      <c r="CA54" s="36">
        <v>8.68</v>
      </c>
      <c r="CB54" s="36">
        <v>422000000</v>
      </c>
      <c r="CC54" s="36">
        <v>12.7</v>
      </c>
      <c r="CD54" s="36">
        <v>368000000</v>
      </c>
      <c r="CE54" s="36">
        <v>5.35</v>
      </c>
      <c r="CF54" s="36">
        <v>335000000</v>
      </c>
      <c r="CG54" s="36">
        <v>10.5</v>
      </c>
      <c r="CH54" s="36">
        <v>328000000</v>
      </c>
      <c r="CI54" s="36">
        <v>9.1999999999999993</v>
      </c>
      <c r="CJ54" s="36">
        <v>428000000</v>
      </c>
      <c r="CK54" s="36">
        <v>10.199999999999999</v>
      </c>
      <c r="CL54" s="36">
        <v>392000000</v>
      </c>
      <c r="CM54" s="36">
        <v>12.7</v>
      </c>
      <c r="CN54" s="36">
        <v>378000000</v>
      </c>
      <c r="CO54" s="36">
        <v>4.96</v>
      </c>
      <c r="CP54" s="5"/>
      <c r="CQ54" s="36">
        <v>401000000</v>
      </c>
      <c r="CR54" s="36">
        <v>48000000</v>
      </c>
      <c r="CS54" s="46">
        <v>12</v>
      </c>
    </row>
    <row r="55" spans="1:97">
      <c r="A55" s="13" t="s">
        <v>176</v>
      </c>
      <c r="B55" s="35">
        <v>236000000</v>
      </c>
      <c r="C55" s="35">
        <v>10.5</v>
      </c>
      <c r="D55" s="35">
        <v>321000000</v>
      </c>
      <c r="E55" s="35">
        <v>5.77</v>
      </c>
      <c r="F55" s="35">
        <v>137000000</v>
      </c>
      <c r="G55" s="35">
        <v>16.899999999999999</v>
      </c>
      <c r="H55" s="35">
        <v>187000000</v>
      </c>
      <c r="I55" s="35">
        <v>5.16</v>
      </c>
      <c r="J55" s="35">
        <v>197000000</v>
      </c>
      <c r="K55" s="35">
        <v>8.3800000000000008</v>
      </c>
      <c r="L55" s="35">
        <v>99300000</v>
      </c>
      <c r="M55" s="35">
        <v>9.64</v>
      </c>
      <c r="N55" s="35">
        <v>235000000</v>
      </c>
      <c r="O55" s="35">
        <v>4.1900000000000004</v>
      </c>
      <c r="P55" s="35">
        <v>269000000</v>
      </c>
      <c r="Q55" s="35">
        <v>2.4500000000000002</v>
      </c>
      <c r="R55" s="35">
        <v>203000000</v>
      </c>
      <c r="S55" s="35">
        <v>11.1</v>
      </c>
      <c r="T55" s="35">
        <v>272000000</v>
      </c>
      <c r="U55" s="35">
        <v>6.27</v>
      </c>
      <c r="V55" s="35">
        <v>238000000</v>
      </c>
      <c r="W55" s="35">
        <v>8.74</v>
      </c>
      <c r="X55" s="35">
        <v>232000000</v>
      </c>
      <c r="Y55" s="35">
        <v>13.3</v>
      </c>
      <c r="Z55" s="35">
        <v>203000000</v>
      </c>
      <c r="AA55" s="35">
        <v>12.1</v>
      </c>
      <c r="AB55" s="35">
        <v>213000000</v>
      </c>
      <c r="AC55" s="35">
        <v>10.199999999999999</v>
      </c>
      <c r="AD55" s="35">
        <v>216000000</v>
      </c>
      <c r="AE55" s="35">
        <v>5.93</v>
      </c>
      <c r="AF55" s="35">
        <v>166000000</v>
      </c>
      <c r="AG55" s="35">
        <v>8.19</v>
      </c>
      <c r="AH55" s="35">
        <v>248000000</v>
      </c>
      <c r="AI55" s="35">
        <v>3.98</v>
      </c>
      <c r="AJ55" s="35">
        <v>181000000</v>
      </c>
      <c r="AK55" s="35">
        <v>12.2</v>
      </c>
      <c r="AL55" s="35">
        <v>167000000</v>
      </c>
      <c r="AM55" s="35">
        <v>10.4</v>
      </c>
      <c r="AN55" s="35">
        <v>252000000</v>
      </c>
      <c r="AO55" s="35">
        <v>7.13</v>
      </c>
      <c r="AP55" s="35">
        <v>211000000</v>
      </c>
      <c r="AQ55" s="35">
        <v>5.29</v>
      </c>
      <c r="AR55" s="35">
        <v>210000000</v>
      </c>
      <c r="AS55" s="35">
        <v>9.67</v>
      </c>
      <c r="AT55" s="35">
        <v>228000000</v>
      </c>
      <c r="AU55" s="35">
        <v>11.4</v>
      </c>
      <c r="AV55" s="35">
        <v>241000000</v>
      </c>
      <c r="AW55" s="35">
        <v>10.4</v>
      </c>
      <c r="AX55" s="35">
        <v>281000000</v>
      </c>
      <c r="AY55" s="35">
        <v>15.5</v>
      </c>
      <c r="AZ55" s="3"/>
      <c r="BA55" s="35">
        <v>191000000</v>
      </c>
      <c r="BB55" s="35">
        <v>8.7200000000000006</v>
      </c>
      <c r="BC55" s="35">
        <v>240000000</v>
      </c>
      <c r="BD55" s="35">
        <v>11.4</v>
      </c>
      <c r="BE55" s="35">
        <v>179000000</v>
      </c>
      <c r="BF55" s="35">
        <v>6.72</v>
      </c>
      <c r="BG55" s="35">
        <v>165000000</v>
      </c>
      <c r="BH55" s="35">
        <v>8.75</v>
      </c>
      <c r="BI55" s="35">
        <v>128000000</v>
      </c>
      <c r="BJ55" s="35">
        <v>3.42</v>
      </c>
      <c r="BK55" s="3"/>
      <c r="BL55" s="35">
        <v>265000000</v>
      </c>
      <c r="BM55" s="35">
        <v>5.7</v>
      </c>
      <c r="BN55" s="35">
        <v>258000000</v>
      </c>
      <c r="BO55" s="35">
        <v>8.0299999999999994</v>
      </c>
      <c r="BP55" s="35">
        <v>247000000</v>
      </c>
      <c r="BQ55" s="35">
        <v>9.42</v>
      </c>
      <c r="BR55" s="35">
        <v>257000000</v>
      </c>
      <c r="BS55" s="35">
        <v>8.64</v>
      </c>
      <c r="BT55" s="35">
        <v>249000000</v>
      </c>
      <c r="BU55" s="35">
        <v>12</v>
      </c>
      <c r="BV55" s="35">
        <v>237000000</v>
      </c>
      <c r="BW55" s="35">
        <v>17.899999999999999</v>
      </c>
      <c r="BX55" s="35">
        <v>286000000</v>
      </c>
      <c r="BY55" s="35">
        <v>15.9</v>
      </c>
      <c r="BZ55" s="35">
        <v>332000000</v>
      </c>
      <c r="CA55" s="35">
        <v>2.77</v>
      </c>
      <c r="CB55" s="35">
        <v>340000000</v>
      </c>
      <c r="CC55" s="35">
        <v>12.2</v>
      </c>
      <c r="CD55" s="35">
        <v>256000000</v>
      </c>
      <c r="CE55" s="35">
        <v>7.02</v>
      </c>
      <c r="CF55" s="35">
        <v>287000000</v>
      </c>
      <c r="CG55" s="35">
        <v>9.6</v>
      </c>
      <c r="CH55" s="35">
        <v>301000000</v>
      </c>
      <c r="CI55" s="35">
        <v>10.6</v>
      </c>
      <c r="CJ55" s="35">
        <v>308000000</v>
      </c>
      <c r="CK55" s="35">
        <v>13.7</v>
      </c>
      <c r="CL55" s="35">
        <v>221000000</v>
      </c>
      <c r="CM55" s="35">
        <v>13</v>
      </c>
      <c r="CN55" s="35">
        <v>255000000</v>
      </c>
      <c r="CO55" s="35">
        <v>5.55</v>
      </c>
      <c r="CP55" s="3"/>
      <c r="CQ55" s="35">
        <v>273000000</v>
      </c>
      <c r="CR55" s="35">
        <v>34700000</v>
      </c>
      <c r="CS55" s="45">
        <v>12.7</v>
      </c>
    </row>
    <row r="56" spans="1:97">
      <c r="A56" s="13" t="s">
        <v>177</v>
      </c>
      <c r="B56" s="36">
        <v>475000000</v>
      </c>
      <c r="C56" s="36">
        <v>13.7</v>
      </c>
      <c r="D56" s="36">
        <v>365000000</v>
      </c>
      <c r="E56" s="36">
        <v>9.07</v>
      </c>
      <c r="F56" s="36">
        <v>180000000</v>
      </c>
      <c r="G56" s="36">
        <v>11.5</v>
      </c>
      <c r="H56" s="36">
        <v>306000000</v>
      </c>
      <c r="I56" s="36">
        <v>6.31</v>
      </c>
      <c r="J56" s="36">
        <v>393000000</v>
      </c>
      <c r="K56" s="36">
        <v>4.96</v>
      </c>
      <c r="L56" s="36">
        <v>140000000</v>
      </c>
      <c r="M56" s="36">
        <v>10.7</v>
      </c>
      <c r="N56" s="36">
        <v>295000000</v>
      </c>
      <c r="O56" s="36">
        <v>6.37</v>
      </c>
      <c r="P56" s="36">
        <v>369000000</v>
      </c>
      <c r="Q56" s="36">
        <v>5.67</v>
      </c>
      <c r="R56" s="36">
        <v>338000000</v>
      </c>
      <c r="S56" s="36">
        <v>7.62</v>
      </c>
      <c r="T56" s="36">
        <v>610000000</v>
      </c>
      <c r="U56" s="36">
        <v>9.67</v>
      </c>
      <c r="V56" s="36">
        <v>349000000</v>
      </c>
      <c r="W56" s="36">
        <v>10.4</v>
      </c>
      <c r="X56" s="36">
        <v>491000000</v>
      </c>
      <c r="Y56" s="36">
        <v>12.4</v>
      </c>
      <c r="Z56" s="36">
        <v>426000000</v>
      </c>
      <c r="AA56" s="36">
        <v>13.8</v>
      </c>
      <c r="AB56" s="36">
        <v>402000000</v>
      </c>
      <c r="AC56" s="36">
        <v>13.9</v>
      </c>
      <c r="AD56" s="36">
        <v>415000000</v>
      </c>
      <c r="AE56" s="36">
        <v>5.25</v>
      </c>
      <c r="AF56" s="36">
        <v>363000000</v>
      </c>
      <c r="AG56" s="36">
        <v>11.2</v>
      </c>
      <c r="AH56" s="36">
        <v>438000000</v>
      </c>
      <c r="AI56" s="36">
        <v>7.8</v>
      </c>
      <c r="AJ56" s="36">
        <v>437000000</v>
      </c>
      <c r="AK56" s="36">
        <v>11.5</v>
      </c>
      <c r="AL56" s="36">
        <v>134000000</v>
      </c>
      <c r="AM56" s="36">
        <v>14</v>
      </c>
      <c r="AN56" s="36">
        <v>315000000</v>
      </c>
      <c r="AO56" s="36">
        <v>10.9</v>
      </c>
      <c r="AP56" s="36">
        <v>472000000</v>
      </c>
      <c r="AQ56" s="36">
        <v>13.1</v>
      </c>
      <c r="AR56" s="36">
        <v>241000000</v>
      </c>
      <c r="AS56" s="36">
        <v>10.6</v>
      </c>
      <c r="AT56" s="36">
        <v>448000000</v>
      </c>
      <c r="AU56" s="36">
        <v>8.9499999999999993</v>
      </c>
      <c r="AV56" s="36">
        <v>450000000</v>
      </c>
      <c r="AW56" s="36">
        <v>8.19</v>
      </c>
      <c r="AX56" s="36">
        <v>376000000</v>
      </c>
      <c r="AY56" s="36">
        <v>8.86</v>
      </c>
      <c r="AZ56" s="5"/>
      <c r="BA56" s="36">
        <v>372000000</v>
      </c>
      <c r="BB56" s="36">
        <v>4.1900000000000004</v>
      </c>
      <c r="BC56" s="36">
        <v>409000000</v>
      </c>
      <c r="BD56" s="36">
        <v>6.99</v>
      </c>
      <c r="BE56" s="36">
        <v>356000000</v>
      </c>
      <c r="BF56" s="36">
        <v>7.04</v>
      </c>
      <c r="BG56" s="36">
        <v>356000000</v>
      </c>
      <c r="BH56" s="36">
        <v>6.1</v>
      </c>
      <c r="BI56" s="36">
        <v>249000000</v>
      </c>
      <c r="BJ56" s="36">
        <v>7.53</v>
      </c>
      <c r="BK56" s="5"/>
      <c r="BL56" s="36">
        <v>403000000</v>
      </c>
      <c r="BM56" s="36">
        <v>6.43</v>
      </c>
      <c r="BN56" s="36">
        <v>522000000</v>
      </c>
      <c r="BO56" s="36">
        <v>4.2</v>
      </c>
      <c r="BP56" s="36">
        <v>302000000</v>
      </c>
      <c r="BQ56" s="36">
        <v>3.32</v>
      </c>
      <c r="BR56" s="36">
        <v>363000000</v>
      </c>
      <c r="BS56" s="36">
        <v>16.5</v>
      </c>
      <c r="BT56" s="36">
        <v>407000000</v>
      </c>
      <c r="BU56" s="36">
        <v>2.1</v>
      </c>
      <c r="BV56" s="36">
        <v>572000000</v>
      </c>
      <c r="BW56" s="36">
        <v>13.3</v>
      </c>
      <c r="BX56" s="36">
        <v>556000000</v>
      </c>
      <c r="BY56" s="36">
        <v>6.73</v>
      </c>
      <c r="BZ56" s="36">
        <v>306000000</v>
      </c>
      <c r="CA56" s="36">
        <v>3.55</v>
      </c>
      <c r="CB56" s="36">
        <v>423000000</v>
      </c>
      <c r="CC56" s="36">
        <v>12.7</v>
      </c>
      <c r="CD56" s="36">
        <v>430000000</v>
      </c>
      <c r="CE56" s="36">
        <v>6.78</v>
      </c>
      <c r="CF56" s="36">
        <v>295000000</v>
      </c>
      <c r="CG56" s="36">
        <v>5.03</v>
      </c>
      <c r="CH56" s="36">
        <v>337000000</v>
      </c>
      <c r="CI56" s="36">
        <v>10.9</v>
      </c>
      <c r="CJ56" s="36">
        <v>467000000</v>
      </c>
      <c r="CK56" s="36">
        <v>17</v>
      </c>
      <c r="CL56" s="36">
        <v>424000000</v>
      </c>
      <c r="CM56" s="36">
        <v>11.4</v>
      </c>
      <c r="CN56" s="36">
        <v>405000000</v>
      </c>
      <c r="CO56" s="36">
        <v>5.12</v>
      </c>
      <c r="CP56" s="5"/>
      <c r="CQ56" s="36">
        <v>414000000</v>
      </c>
      <c r="CR56" s="36">
        <v>87400000</v>
      </c>
      <c r="CS56" s="46">
        <v>21.1</v>
      </c>
    </row>
    <row r="57" spans="1:97">
      <c r="A57" s="13" t="s">
        <v>178</v>
      </c>
      <c r="B57" s="35">
        <v>454000000</v>
      </c>
      <c r="C57" s="35">
        <v>10.199999999999999</v>
      </c>
      <c r="D57" s="35">
        <v>445000000</v>
      </c>
      <c r="E57" s="35">
        <v>3.48</v>
      </c>
      <c r="F57" s="35">
        <v>216000000</v>
      </c>
      <c r="G57" s="35">
        <v>16</v>
      </c>
      <c r="H57" s="35">
        <v>283000000</v>
      </c>
      <c r="I57" s="35">
        <v>8.9499999999999993</v>
      </c>
      <c r="J57" s="35">
        <v>333000000</v>
      </c>
      <c r="K57" s="35">
        <v>3.18</v>
      </c>
      <c r="L57" s="35">
        <v>128000000</v>
      </c>
      <c r="M57" s="35">
        <v>11.5</v>
      </c>
      <c r="N57" s="35">
        <v>309000000</v>
      </c>
      <c r="O57" s="35">
        <v>4.7</v>
      </c>
      <c r="P57" s="35">
        <v>343000000</v>
      </c>
      <c r="Q57" s="35">
        <v>7.18</v>
      </c>
      <c r="R57" s="35">
        <v>290000000</v>
      </c>
      <c r="S57" s="35">
        <v>14.1</v>
      </c>
      <c r="T57" s="35">
        <v>520000000</v>
      </c>
      <c r="U57" s="35">
        <v>4.59</v>
      </c>
      <c r="V57" s="35">
        <v>338000000</v>
      </c>
      <c r="W57" s="35">
        <v>6.37</v>
      </c>
      <c r="X57" s="35">
        <v>370000000</v>
      </c>
      <c r="Y57" s="35">
        <v>10.5</v>
      </c>
      <c r="Z57" s="35">
        <v>348000000</v>
      </c>
      <c r="AA57" s="35">
        <v>9.01</v>
      </c>
      <c r="AB57" s="35">
        <v>370000000</v>
      </c>
      <c r="AC57" s="35">
        <v>5.23</v>
      </c>
      <c r="AD57" s="35">
        <v>416000000</v>
      </c>
      <c r="AE57" s="35">
        <v>6.42</v>
      </c>
      <c r="AF57" s="35">
        <v>302000000</v>
      </c>
      <c r="AG57" s="35">
        <v>6.62</v>
      </c>
      <c r="AH57" s="35">
        <v>381000000</v>
      </c>
      <c r="AI57" s="35">
        <v>7.88</v>
      </c>
      <c r="AJ57" s="35">
        <v>379000000</v>
      </c>
      <c r="AK57" s="35">
        <v>10.6</v>
      </c>
      <c r="AL57" s="35">
        <v>192000000</v>
      </c>
      <c r="AM57" s="35">
        <v>5.68</v>
      </c>
      <c r="AN57" s="35">
        <v>353000000</v>
      </c>
      <c r="AO57" s="35">
        <v>1.75</v>
      </c>
      <c r="AP57" s="35">
        <v>367000000</v>
      </c>
      <c r="AQ57" s="35">
        <v>7.83</v>
      </c>
      <c r="AR57" s="35">
        <v>248000000</v>
      </c>
      <c r="AS57" s="35">
        <v>10.9</v>
      </c>
      <c r="AT57" s="35">
        <v>424000000</v>
      </c>
      <c r="AU57" s="35">
        <v>8.8000000000000007</v>
      </c>
      <c r="AV57" s="35">
        <v>438000000</v>
      </c>
      <c r="AW57" s="35">
        <v>8.1199999999999992</v>
      </c>
      <c r="AX57" s="35">
        <v>446000000</v>
      </c>
      <c r="AY57" s="35">
        <v>3.45</v>
      </c>
      <c r="AZ57" s="3"/>
      <c r="BA57" s="35">
        <v>308000000</v>
      </c>
      <c r="BB57" s="35">
        <v>10</v>
      </c>
      <c r="BC57" s="35">
        <v>380000000</v>
      </c>
      <c r="BD57" s="35">
        <v>7.81</v>
      </c>
      <c r="BE57" s="35">
        <v>309000000</v>
      </c>
      <c r="BF57" s="35">
        <v>7.71</v>
      </c>
      <c r="BG57" s="35">
        <v>332000000</v>
      </c>
      <c r="BH57" s="35">
        <v>8.7200000000000006</v>
      </c>
      <c r="BI57" s="35">
        <v>222000000</v>
      </c>
      <c r="BJ57" s="35">
        <v>6.7</v>
      </c>
      <c r="BK57" s="3"/>
      <c r="BL57" s="35">
        <v>399000000</v>
      </c>
      <c r="BM57" s="35">
        <v>4.57</v>
      </c>
      <c r="BN57" s="35">
        <v>454000000</v>
      </c>
      <c r="BO57" s="35">
        <v>6.99</v>
      </c>
      <c r="BP57" s="35">
        <v>269000000</v>
      </c>
      <c r="BQ57" s="35">
        <v>3.41</v>
      </c>
      <c r="BR57" s="35">
        <v>374000000</v>
      </c>
      <c r="BS57" s="35">
        <v>14.3</v>
      </c>
      <c r="BT57" s="35">
        <v>415000000</v>
      </c>
      <c r="BU57" s="35">
        <v>7.96</v>
      </c>
      <c r="BV57" s="35">
        <v>378000000</v>
      </c>
      <c r="BW57" s="35">
        <v>14</v>
      </c>
      <c r="BX57" s="35">
        <v>509000000</v>
      </c>
      <c r="BY57" s="35">
        <v>9.16</v>
      </c>
      <c r="BZ57" s="35">
        <v>360000000</v>
      </c>
      <c r="CA57" s="35">
        <v>4.28</v>
      </c>
      <c r="CB57" s="35">
        <v>417000000</v>
      </c>
      <c r="CC57" s="35">
        <v>6.99</v>
      </c>
      <c r="CD57" s="35">
        <v>387000000</v>
      </c>
      <c r="CE57" s="35">
        <v>8.64</v>
      </c>
      <c r="CF57" s="35">
        <v>332000000</v>
      </c>
      <c r="CG57" s="35">
        <v>14.3</v>
      </c>
      <c r="CH57" s="35">
        <v>315000000</v>
      </c>
      <c r="CI57" s="35">
        <v>10.7</v>
      </c>
      <c r="CJ57" s="35">
        <v>425000000</v>
      </c>
      <c r="CK57" s="35">
        <v>5.92</v>
      </c>
      <c r="CL57" s="35">
        <v>391000000</v>
      </c>
      <c r="CM57" s="35">
        <v>6.67</v>
      </c>
      <c r="CN57" s="35">
        <v>410000000</v>
      </c>
      <c r="CO57" s="35">
        <v>7.27</v>
      </c>
      <c r="CP57" s="3"/>
      <c r="CQ57" s="35">
        <v>389000000</v>
      </c>
      <c r="CR57" s="35">
        <v>57400000</v>
      </c>
      <c r="CS57" s="45">
        <v>14.8</v>
      </c>
    </row>
    <row r="58" spans="1:97">
      <c r="A58" s="13" t="s">
        <v>179</v>
      </c>
      <c r="B58" s="36">
        <v>40000000</v>
      </c>
      <c r="C58" s="36">
        <v>5.75</v>
      </c>
      <c r="D58" s="36">
        <v>37200000</v>
      </c>
      <c r="E58" s="36">
        <v>6.91</v>
      </c>
      <c r="F58" s="36">
        <v>54100000</v>
      </c>
      <c r="G58" s="36">
        <v>20</v>
      </c>
      <c r="H58" s="36">
        <v>15500000</v>
      </c>
      <c r="I58" s="36">
        <v>19.600000000000001</v>
      </c>
      <c r="J58" s="36">
        <v>15900000</v>
      </c>
      <c r="K58" s="36">
        <v>6.64</v>
      </c>
      <c r="L58" s="36">
        <v>34200000</v>
      </c>
      <c r="M58" s="36">
        <v>8.64</v>
      </c>
      <c r="N58" s="36">
        <v>40900000</v>
      </c>
      <c r="O58" s="36">
        <v>6.77</v>
      </c>
      <c r="P58" s="36">
        <v>44300000</v>
      </c>
      <c r="Q58" s="36">
        <v>4.5999999999999996</v>
      </c>
      <c r="R58" s="36">
        <v>45800000</v>
      </c>
      <c r="S58" s="36">
        <v>7.55</v>
      </c>
      <c r="T58" s="36">
        <v>34400000</v>
      </c>
      <c r="U58" s="36">
        <v>3.42</v>
      </c>
      <c r="V58" s="36">
        <v>37700000</v>
      </c>
      <c r="W58" s="36">
        <v>8.2200000000000006</v>
      </c>
      <c r="X58" s="36">
        <v>42900000</v>
      </c>
      <c r="Y58" s="36">
        <v>11.9</v>
      </c>
      <c r="Z58" s="36">
        <v>34700000</v>
      </c>
      <c r="AA58" s="36">
        <v>14.5</v>
      </c>
      <c r="AB58" s="36">
        <v>36300000</v>
      </c>
      <c r="AC58" s="36">
        <v>14.7</v>
      </c>
      <c r="AD58" s="36">
        <v>36900000</v>
      </c>
      <c r="AE58" s="36">
        <v>7.38</v>
      </c>
      <c r="AF58" s="36">
        <v>37500000</v>
      </c>
      <c r="AG58" s="36">
        <v>9.9499999999999993</v>
      </c>
      <c r="AH58" s="36">
        <v>27800000</v>
      </c>
      <c r="AI58" s="36">
        <v>7.53</v>
      </c>
      <c r="AJ58" s="36">
        <v>30200000</v>
      </c>
      <c r="AK58" s="36">
        <v>15.5</v>
      </c>
      <c r="AL58" s="36">
        <v>86300000</v>
      </c>
      <c r="AM58" s="36">
        <v>14.5</v>
      </c>
      <c r="AN58" s="36">
        <v>26400000</v>
      </c>
      <c r="AO58" s="36">
        <v>10.6</v>
      </c>
      <c r="AP58" s="36">
        <v>36500000</v>
      </c>
      <c r="AQ58" s="36">
        <v>10.7</v>
      </c>
      <c r="AR58" s="36">
        <v>56200000</v>
      </c>
      <c r="AS58" s="36">
        <v>10.199999999999999</v>
      </c>
      <c r="AT58" s="36">
        <v>37700000</v>
      </c>
      <c r="AU58" s="36">
        <v>8.81</v>
      </c>
      <c r="AV58" s="36">
        <v>42400000</v>
      </c>
      <c r="AW58" s="36">
        <v>10</v>
      </c>
      <c r="AX58" s="36">
        <v>45400000</v>
      </c>
      <c r="AY58" s="36">
        <v>3.86</v>
      </c>
      <c r="AZ58" s="5"/>
      <c r="BA58" s="36">
        <v>46000000</v>
      </c>
      <c r="BB58" s="36">
        <v>4.59</v>
      </c>
      <c r="BC58" s="36">
        <v>27900000</v>
      </c>
      <c r="BD58" s="36">
        <v>6.47</v>
      </c>
      <c r="BE58" s="36">
        <v>32000000</v>
      </c>
      <c r="BF58" s="36">
        <v>6.35</v>
      </c>
      <c r="BG58" s="36">
        <v>14900000</v>
      </c>
      <c r="BH58" s="36">
        <v>8.41</v>
      </c>
      <c r="BI58" s="36">
        <v>17400000</v>
      </c>
      <c r="BJ58" s="36">
        <v>5.65</v>
      </c>
      <c r="BK58" s="5"/>
      <c r="BL58" s="36">
        <v>62900000</v>
      </c>
      <c r="BM58" s="36">
        <v>9.06</v>
      </c>
      <c r="BN58" s="36">
        <v>55800000</v>
      </c>
      <c r="BO58" s="36">
        <v>1.88</v>
      </c>
      <c r="BP58" s="36">
        <v>41100000</v>
      </c>
      <c r="BQ58" s="36">
        <v>2.72</v>
      </c>
      <c r="BR58" s="36">
        <v>38400000</v>
      </c>
      <c r="BS58" s="36">
        <v>11.7</v>
      </c>
      <c r="BT58" s="36">
        <v>30400000</v>
      </c>
      <c r="BU58" s="36">
        <v>3.74</v>
      </c>
      <c r="BV58" s="36">
        <v>38600000</v>
      </c>
      <c r="BW58" s="36">
        <v>13.7</v>
      </c>
      <c r="BX58" s="36">
        <v>35100000</v>
      </c>
      <c r="BY58" s="36">
        <v>4.83</v>
      </c>
      <c r="BZ58" s="36">
        <v>31300000</v>
      </c>
      <c r="CA58" s="36">
        <v>4.82</v>
      </c>
      <c r="CB58" s="36">
        <v>40300000</v>
      </c>
      <c r="CC58" s="36">
        <v>11.9</v>
      </c>
      <c r="CD58" s="36">
        <v>41100000</v>
      </c>
      <c r="CE58" s="36">
        <v>10.5</v>
      </c>
      <c r="CF58" s="36">
        <v>37700000</v>
      </c>
      <c r="CG58" s="36">
        <v>19</v>
      </c>
      <c r="CH58" s="36">
        <v>43600000</v>
      </c>
      <c r="CI58" s="36">
        <v>11.8</v>
      </c>
      <c r="CJ58" s="36">
        <v>46700000</v>
      </c>
      <c r="CK58" s="36">
        <v>10.6</v>
      </c>
      <c r="CL58" s="36">
        <v>40800000</v>
      </c>
      <c r="CM58" s="36">
        <v>7.21</v>
      </c>
      <c r="CN58" s="36">
        <v>43200000</v>
      </c>
      <c r="CO58" s="36">
        <v>3.52</v>
      </c>
      <c r="CP58" s="5"/>
      <c r="CQ58" s="36">
        <v>41800000</v>
      </c>
      <c r="CR58" s="36">
        <v>8450000</v>
      </c>
      <c r="CS58" s="46">
        <v>20.2</v>
      </c>
    </row>
    <row r="59" spans="1:97">
      <c r="A59" s="13" t="s">
        <v>180</v>
      </c>
      <c r="B59" s="35">
        <v>25800000</v>
      </c>
      <c r="C59" s="35">
        <v>10.8</v>
      </c>
      <c r="D59" s="35">
        <v>21300000</v>
      </c>
      <c r="E59" s="35">
        <v>4.33</v>
      </c>
      <c r="F59" s="35">
        <v>23100000</v>
      </c>
      <c r="G59" s="35">
        <v>16</v>
      </c>
      <c r="H59" s="35">
        <v>9350000</v>
      </c>
      <c r="I59" s="35">
        <v>18.2</v>
      </c>
      <c r="J59" s="35">
        <v>9790000</v>
      </c>
      <c r="K59" s="35">
        <v>7.64</v>
      </c>
      <c r="L59" s="35">
        <v>17200000</v>
      </c>
      <c r="M59" s="35">
        <v>10.199999999999999</v>
      </c>
      <c r="N59" s="35">
        <v>21800000</v>
      </c>
      <c r="O59" s="35">
        <v>5.5</v>
      </c>
      <c r="P59" s="35">
        <v>20900000</v>
      </c>
      <c r="Q59" s="35">
        <v>4.68</v>
      </c>
      <c r="R59" s="35">
        <v>25100000</v>
      </c>
      <c r="S59" s="35">
        <v>7.87</v>
      </c>
      <c r="T59" s="35">
        <v>24300000</v>
      </c>
      <c r="U59" s="35">
        <v>5.5</v>
      </c>
      <c r="V59" s="35">
        <v>21600000</v>
      </c>
      <c r="W59" s="35">
        <v>6.99</v>
      </c>
      <c r="X59" s="35">
        <v>22700000</v>
      </c>
      <c r="Y59" s="35">
        <v>14</v>
      </c>
      <c r="Z59" s="35">
        <v>18200000</v>
      </c>
      <c r="AA59" s="35">
        <v>14.1</v>
      </c>
      <c r="AB59" s="35">
        <v>21100000</v>
      </c>
      <c r="AC59" s="35">
        <v>7.3</v>
      </c>
      <c r="AD59" s="35">
        <v>25600000</v>
      </c>
      <c r="AE59" s="35">
        <v>5.69</v>
      </c>
      <c r="AF59" s="35">
        <v>22400000</v>
      </c>
      <c r="AG59" s="35">
        <v>5.63</v>
      </c>
      <c r="AH59" s="35">
        <v>13700000</v>
      </c>
      <c r="AI59" s="35">
        <v>6.65</v>
      </c>
      <c r="AJ59" s="35">
        <v>23800000</v>
      </c>
      <c r="AK59" s="35">
        <v>14.4</v>
      </c>
      <c r="AL59" s="35">
        <v>56900000</v>
      </c>
      <c r="AM59" s="35">
        <v>9.02</v>
      </c>
      <c r="AN59" s="35">
        <v>22300000</v>
      </c>
      <c r="AO59" s="35">
        <v>11.3</v>
      </c>
      <c r="AP59" s="35">
        <v>21200000</v>
      </c>
      <c r="AQ59" s="35">
        <v>8.98</v>
      </c>
      <c r="AR59" s="35">
        <v>32500000</v>
      </c>
      <c r="AS59" s="35">
        <v>9.5500000000000007</v>
      </c>
      <c r="AT59" s="35">
        <v>24400000</v>
      </c>
      <c r="AU59" s="35">
        <v>9.91</v>
      </c>
      <c r="AV59" s="35">
        <v>21300000</v>
      </c>
      <c r="AW59" s="35">
        <v>9.61</v>
      </c>
      <c r="AX59" s="35">
        <v>25100000</v>
      </c>
      <c r="AY59" s="35">
        <v>5.15</v>
      </c>
      <c r="AZ59" s="3"/>
      <c r="BA59" s="35">
        <v>30400000</v>
      </c>
      <c r="BB59" s="35">
        <v>6.07</v>
      </c>
      <c r="BC59" s="35">
        <v>15700000</v>
      </c>
      <c r="BD59" s="35">
        <v>7.33</v>
      </c>
      <c r="BE59" s="35">
        <v>19400000</v>
      </c>
      <c r="BF59" s="35">
        <v>4.6500000000000004</v>
      </c>
      <c r="BG59" s="35">
        <v>7640000</v>
      </c>
      <c r="BH59" s="35">
        <v>5.53</v>
      </c>
      <c r="BI59" s="35">
        <v>9770000</v>
      </c>
      <c r="BJ59" s="35">
        <v>8.99</v>
      </c>
      <c r="BK59" s="3"/>
      <c r="BL59" s="35">
        <v>30400000</v>
      </c>
      <c r="BM59" s="35">
        <v>6.33</v>
      </c>
      <c r="BN59" s="35">
        <v>28700000</v>
      </c>
      <c r="BO59" s="35">
        <v>9.66</v>
      </c>
      <c r="BP59" s="35">
        <v>22700000</v>
      </c>
      <c r="BQ59" s="35">
        <v>3.36</v>
      </c>
      <c r="BR59" s="35">
        <v>24200000</v>
      </c>
      <c r="BS59" s="35">
        <v>18.2</v>
      </c>
      <c r="BT59" s="35">
        <v>21100000</v>
      </c>
      <c r="BU59" s="35">
        <v>8.7899999999999991</v>
      </c>
      <c r="BV59" s="35">
        <v>23700000</v>
      </c>
      <c r="BW59" s="35">
        <v>11.1</v>
      </c>
      <c r="BX59" s="35">
        <v>26200000</v>
      </c>
      <c r="BY59" s="35">
        <v>8.44</v>
      </c>
      <c r="BZ59" s="35">
        <v>22300000</v>
      </c>
      <c r="CA59" s="35">
        <v>5.07</v>
      </c>
      <c r="CB59" s="35">
        <v>23000000</v>
      </c>
      <c r="CC59" s="35">
        <v>6.25</v>
      </c>
      <c r="CD59" s="35">
        <v>24100000</v>
      </c>
      <c r="CE59" s="35">
        <v>6.36</v>
      </c>
      <c r="CF59" s="35">
        <v>29800000</v>
      </c>
      <c r="CG59" s="35">
        <v>15.4</v>
      </c>
      <c r="CH59" s="35">
        <v>29800000</v>
      </c>
      <c r="CI59" s="35">
        <v>10.4</v>
      </c>
      <c r="CJ59" s="35">
        <v>32300000</v>
      </c>
      <c r="CK59" s="35">
        <v>9.09</v>
      </c>
      <c r="CL59" s="35">
        <v>29000000</v>
      </c>
      <c r="CM59" s="35">
        <v>4.13</v>
      </c>
      <c r="CN59" s="35">
        <v>38000000</v>
      </c>
      <c r="CO59" s="35">
        <v>15.3</v>
      </c>
      <c r="CP59" s="3"/>
      <c r="CQ59" s="35">
        <v>27000000</v>
      </c>
      <c r="CR59" s="35">
        <v>4640000</v>
      </c>
      <c r="CS59" s="45">
        <v>17.2</v>
      </c>
    </row>
    <row r="60" spans="1:97">
      <c r="A60" s="13" t="s">
        <v>181</v>
      </c>
      <c r="B60" s="36">
        <v>7820000</v>
      </c>
      <c r="C60" s="36">
        <v>14.3</v>
      </c>
      <c r="D60" s="36">
        <v>7470000</v>
      </c>
      <c r="E60" s="36">
        <v>8.25</v>
      </c>
      <c r="F60" s="36">
        <v>8330000</v>
      </c>
      <c r="G60" s="36">
        <v>17.100000000000001</v>
      </c>
      <c r="H60" s="36">
        <v>3410000</v>
      </c>
      <c r="I60" s="36">
        <v>10.3</v>
      </c>
      <c r="J60" s="36">
        <v>3430000</v>
      </c>
      <c r="K60" s="36">
        <v>4.49</v>
      </c>
      <c r="L60" s="36">
        <v>8560000</v>
      </c>
      <c r="M60" s="36">
        <v>10.199999999999999</v>
      </c>
      <c r="N60" s="36">
        <v>8060000</v>
      </c>
      <c r="O60" s="36">
        <v>5.45</v>
      </c>
      <c r="P60" s="36">
        <v>8460000</v>
      </c>
      <c r="Q60" s="36">
        <v>10.5</v>
      </c>
      <c r="R60" s="36">
        <v>9470000</v>
      </c>
      <c r="S60" s="36">
        <v>10.8</v>
      </c>
      <c r="T60" s="36">
        <v>8200000</v>
      </c>
      <c r="U60" s="36">
        <v>12.3</v>
      </c>
      <c r="V60" s="36">
        <v>7020000</v>
      </c>
      <c r="W60" s="36">
        <v>9.77</v>
      </c>
      <c r="X60" s="36">
        <v>8550000</v>
      </c>
      <c r="Y60" s="36">
        <v>14.3</v>
      </c>
      <c r="Z60" s="36">
        <v>7330000</v>
      </c>
      <c r="AA60" s="36">
        <v>16.7</v>
      </c>
      <c r="AB60" s="36">
        <v>7700000</v>
      </c>
      <c r="AC60" s="36">
        <v>12</v>
      </c>
      <c r="AD60" s="36">
        <v>6910000</v>
      </c>
      <c r="AE60" s="36">
        <v>11.4</v>
      </c>
      <c r="AF60" s="36">
        <v>7620000</v>
      </c>
      <c r="AG60" s="36">
        <v>10.6</v>
      </c>
      <c r="AH60" s="36">
        <v>7030000</v>
      </c>
      <c r="AI60" s="36">
        <v>11.2</v>
      </c>
      <c r="AJ60" s="36">
        <v>6690000</v>
      </c>
      <c r="AK60" s="36">
        <v>16.5</v>
      </c>
      <c r="AL60" s="36">
        <v>19800000</v>
      </c>
      <c r="AM60" s="36">
        <v>4.83</v>
      </c>
      <c r="AN60" s="36">
        <v>11600000</v>
      </c>
      <c r="AO60" s="36">
        <v>10.199999999999999</v>
      </c>
      <c r="AP60" s="36">
        <v>8490000</v>
      </c>
      <c r="AQ60" s="36">
        <v>5.13</v>
      </c>
      <c r="AR60" s="36">
        <v>12700000</v>
      </c>
      <c r="AS60" s="36">
        <v>0.98</v>
      </c>
      <c r="AT60" s="36">
        <v>8930000</v>
      </c>
      <c r="AU60" s="36">
        <v>8.24</v>
      </c>
      <c r="AV60" s="36">
        <v>8420000</v>
      </c>
      <c r="AW60" s="36">
        <v>6.79</v>
      </c>
      <c r="AX60" s="36">
        <v>7800000</v>
      </c>
      <c r="AY60" s="36">
        <v>8.5399999999999991</v>
      </c>
      <c r="AZ60" s="5"/>
      <c r="BA60" s="36">
        <v>9620000</v>
      </c>
      <c r="BB60" s="36">
        <v>3.26</v>
      </c>
      <c r="BC60" s="36">
        <v>6050000</v>
      </c>
      <c r="BD60" s="36">
        <v>8.7100000000000009</v>
      </c>
      <c r="BE60" s="36">
        <v>7000000</v>
      </c>
      <c r="BF60" s="36">
        <v>7.26</v>
      </c>
      <c r="BG60" s="36">
        <v>2960000</v>
      </c>
      <c r="BH60" s="36">
        <v>7.26</v>
      </c>
      <c r="BI60" s="36">
        <v>3120000</v>
      </c>
      <c r="BJ60" s="36">
        <v>4.45</v>
      </c>
      <c r="BK60" s="5"/>
      <c r="BL60" s="36">
        <v>20700000</v>
      </c>
      <c r="BM60" s="36">
        <v>6.3</v>
      </c>
      <c r="BN60" s="36">
        <v>17500000</v>
      </c>
      <c r="BO60" s="36">
        <v>1.2</v>
      </c>
      <c r="BP60" s="36">
        <v>14700000</v>
      </c>
      <c r="BQ60" s="36">
        <v>12.7</v>
      </c>
      <c r="BR60" s="36">
        <v>9310000</v>
      </c>
      <c r="BS60" s="36">
        <v>7.49</v>
      </c>
      <c r="BT60" s="36">
        <v>8500000</v>
      </c>
      <c r="BU60" s="36">
        <v>3.16</v>
      </c>
      <c r="BV60" s="36">
        <v>11800000</v>
      </c>
      <c r="BW60" s="36">
        <v>14.2</v>
      </c>
      <c r="BX60" s="36">
        <v>10500000</v>
      </c>
      <c r="BY60" s="36">
        <v>5.38</v>
      </c>
      <c r="BZ60" s="36">
        <v>10300000</v>
      </c>
      <c r="CA60" s="36">
        <v>5.95</v>
      </c>
      <c r="CB60" s="36">
        <v>8730000</v>
      </c>
      <c r="CC60" s="36">
        <v>6.73</v>
      </c>
      <c r="CD60" s="36">
        <v>8540000</v>
      </c>
      <c r="CE60" s="36">
        <v>9.65</v>
      </c>
      <c r="CF60" s="36">
        <v>11200000</v>
      </c>
      <c r="CG60" s="36">
        <v>15.1</v>
      </c>
      <c r="CH60" s="36">
        <v>10800000</v>
      </c>
      <c r="CI60" s="36">
        <v>8.5</v>
      </c>
      <c r="CJ60" s="36">
        <v>10100000</v>
      </c>
      <c r="CK60" s="36">
        <v>5.9</v>
      </c>
      <c r="CL60" s="36">
        <v>9630000</v>
      </c>
      <c r="CM60" s="36">
        <v>12.3</v>
      </c>
      <c r="CN60" s="36">
        <v>12300000</v>
      </c>
      <c r="CO60" s="36">
        <v>6.03</v>
      </c>
      <c r="CP60" s="5"/>
      <c r="CQ60" s="36">
        <v>11600000</v>
      </c>
      <c r="CR60" s="36">
        <v>3480000</v>
      </c>
      <c r="CS60" s="46">
        <v>29.9</v>
      </c>
    </row>
    <row r="61" spans="1:97">
      <c r="A61" s="13" t="s">
        <v>182</v>
      </c>
      <c r="B61" s="35">
        <v>9370000</v>
      </c>
      <c r="C61" s="35">
        <v>12.7</v>
      </c>
      <c r="D61" s="35">
        <v>9020000</v>
      </c>
      <c r="E61" s="35">
        <v>5.08</v>
      </c>
      <c r="F61" s="35">
        <v>10300000</v>
      </c>
      <c r="G61" s="35">
        <v>19.8</v>
      </c>
      <c r="H61" s="35">
        <v>3750000</v>
      </c>
      <c r="I61" s="35">
        <v>17.399999999999999</v>
      </c>
      <c r="J61" s="35">
        <v>3860000</v>
      </c>
      <c r="K61" s="35">
        <v>8.56</v>
      </c>
      <c r="L61" s="35">
        <v>9120000</v>
      </c>
      <c r="M61" s="35">
        <v>7.9</v>
      </c>
      <c r="N61" s="35">
        <v>9160000</v>
      </c>
      <c r="O61" s="35">
        <v>5.86</v>
      </c>
      <c r="P61" s="35">
        <v>10300000</v>
      </c>
      <c r="Q61" s="35">
        <v>10.5</v>
      </c>
      <c r="R61" s="35">
        <v>11400000</v>
      </c>
      <c r="S61" s="35">
        <v>9.7100000000000009</v>
      </c>
      <c r="T61" s="35">
        <v>9720000</v>
      </c>
      <c r="U61" s="35">
        <v>8.77</v>
      </c>
      <c r="V61" s="35">
        <v>8010000</v>
      </c>
      <c r="W61" s="35">
        <v>7.61</v>
      </c>
      <c r="X61" s="35">
        <v>8230000</v>
      </c>
      <c r="Y61" s="35">
        <v>11.4</v>
      </c>
      <c r="Z61" s="35">
        <v>7980000</v>
      </c>
      <c r="AA61" s="35">
        <v>15.4</v>
      </c>
      <c r="AB61" s="35">
        <v>9880000</v>
      </c>
      <c r="AC61" s="35">
        <v>8.2100000000000009</v>
      </c>
      <c r="AD61" s="35">
        <v>7920000</v>
      </c>
      <c r="AE61" s="35">
        <v>7</v>
      </c>
      <c r="AF61" s="35">
        <v>9700000</v>
      </c>
      <c r="AG61" s="35">
        <v>5.05</v>
      </c>
      <c r="AH61" s="35">
        <v>7320000</v>
      </c>
      <c r="AI61" s="35">
        <v>6.35</v>
      </c>
      <c r="AJ61" s="35">
        <v>9260000</v>
      </c>
      <c r="AK61" s="35">
        <v>10.6</v>
      </c>
      <c r="AL61" s="35">
        <v>19700000</v>
      </c>
      <c r="AM61" s="35">
        <v>14.1</v>
      </c>
      <c r="AN61" s="35">
        <v>9900000</v>
      </c>
      <c r="AO61" s="35">
        <v>15</v>
      </c>
      <c r="AP61" s="35">
        <v>10200000</v>
      </c>
      <c r="AQ61" s="35">
        <v>19.2</v>
      </c>
      <c r="AR61" s="35">
        <v>12800000</v>
      </c>
      <c r="AS61" s="35">
        <v>11.8</v>
      </c>
      <c r="AT61" s="35">
        <v>10600000</v>
      </c>
      <c r="AU61" s="35">
        <v>6.17</v>
      </c>
      <c r="AV61" s="35">
        <v>9620000</v>
      </c>
      <c r="AW61" s="35">
        <v>8.61</v>
      </c>
      <c r="AX61" s="35">
        <v>9050000</v>
      </c>
      <c r="AY61" s="35">
        <v>9.11</v>
      </c>
      <c r="AZ61" s="3"/>
      <c r="BA61" s="35">
        <v>12100000</v>
      </c>
      <c r="BB61" s="35">
        <v>4.17</v>
      </c>
      <c r="BC61" s="35">
        <v>7250000</v>
      </c>
      <c r="BD61" s="35">
        <v>8.06</v>
      </c>
      <c r="BE61" s="35">
        <v>8870000</v>
      </c>
      <c r="BF61" s="35">
        <v>6.35</v>
      </c>
      <c r="BG61" s="35">
        <v>3140000</v>
      </c>
      <c r="BH61" s="35">
        <v>6.14</v>
      </c>
      <c r="BI61" s="35">
        <v>4510000</v>
      </c>
      <c r="BJ61" s="35">
        <v>9.58</v>
      </c>
      <c r="BK61" s="3"/>
      <c r="BL61" s="35">
        <v>22400000</v>
      </c>
      <c r="BM61" s="35">
        <v>24.7</v>
      </c>
      <c r="BN61" s="35">
        <v>11700000</v>
      </c>
      <c r="BO61" s="35">
        <v>2.44</v>
      </c>
      <c r="BP61" s="35">
        <v>12600000</v>
      </c>
      <c r="BQ61" s="35">
        <v>5.42</v>
      </c>
      <c r="BR61" s="35">
        <v>8840000</v>
      </c>
      <c r="BS61" s="35">
        <v>11.7</v>
      </c>
      <c r="BT61" s="35">
        <v>10700000</v>
      </c>
      <c r="BU61" s="35">
        <v>7.88</v>
      </c>
      <c r="BV61" s="35">
        <v>11000000</v>
      </c>
      <c r="BW61" s="35">
        <v>9.14</v>
      </c>
      <c r="BX61" s="35">
        <v>11400000</v>
      </c>
      <c r="BY61" s="35">
        <v>9.39</v>
      </c>
      <c r="BZ61" s="35">
        <v>7640000</v>
      </c>
      <c r="CA61" s="35">
        <v>14.6</v>
      </c>
      <c r="CB61" s="35">
        <v>7600000</v>
      </c>
      <c r="CC61" s="35">
        <v>6.36</v>
      </c>
      <c r="CD61" s="35">
        <v>9250000</v>
      </c>
      <c r="CE61" s="35">
        <v>5.36</v>
      </c>
      <c r="CF61" s="35">
        <v>10800000</v>
      </c>
      <c r="CG61" s="35">
        <v>20</v>
      </c>
      <c r="CH61" s="35">
        <v>10800000</v>
      </c>
      <c r="CI61" s="35">
        <v>8.64</v>
      </c>
      <c r="CJ61" s="35">
        <v>10400000</v>
      </c>
      <c r="CK61" s="35">
        <v>9.9700000000000006</v>
      </c>
      <c r="CL61" s="35">
        <v>9290000</v>
      </c>
      <c r="CM61" s="35">
        <v>7.45</v>
      </c>
      <c r="CN61" s="35">
        <v>10500000</v>
      </c>
      <c r="CO61" s="35">
        <v>4.5</v>
      </c>
      <c r="CP61" s="3"/>
      <c r="CQ61" s="35">
        <v>11000000</v>
      </c>
      <c r="CR61" s="35">
        <v>3450000</v>
      </c>
      <c r="CS61" s="45">
        <v>31.4</v>
      </c>
    </row>
    <row r="62" spans="1:97">
      <c r="A62" s="13" t="s">
        <v>183</v>
      </c>
      <c r="B62" s="36">
        <v>367000000</v>
      </c>
      <c r="C62" s="36">
        <v>12.7</v>
      </c>
      <c r="D62" s="36">
        <v>310000000</v>
      </c>
      <c r="E62" s="36">
        <v>5.0199999999999996</v>
      </c>
      <c r="F62" s="36">
        <v>231000000</v>
      </c>
      <c r="G62" s="36">
        <v>14.9</v>
      </c>
      <c r="H62" s="36">
        <v>141000000</v>
      </c>
      <c r="I62" s="36">
        <v>10.6</v>
      </c>
      <c r="J62" s="36">
        <v>146000000</v>
      </c>
      <c r="K62" s="36">
        <v>6.84</v>
      </c>
      <c r="L62" s="36">
        <v>231000000</v>
      </c>
      <c r="M62" s="36">
        <v>12.6</v>
      </c>
      <c r="N62" s="36">
        <v>270000000</v>
      </c>
      <c r="O62" s="36">
        <v>6.81</v>
      </c>
      <c r="P62" s="36">
        <v>262000000</v>
      </c>
      <c r="Q62" s="36">
        <v>10.5</v>
      </c>
      <c r="R62" s="36">
        <v>224000000</v>
      </c>
      <c r="S62" s="36">
        <v>14.9</v>
      </c>
      <c r="T62" s="36">
        <v>299000000</v>
      </c>
      <c r="U62" s="36">
        <v>10.199999999999999</v>
      </c>
      <c r="V62" s="36">
        <v>292000000</v>
      </c>
      <c r="W62" s="36">
        <v>11.1</v>
      </c>
      <c r="X62" s="36">
        <v>360000000</v>
      </c>
      <c r="Y62" s="36">
        <v>6.61</v>
      </c>
      <c r="Z62" s="36">
        <v>289000000</v>
      </c>
      <c r="AA62" s="36">
        <v>11.7</v>
      </c>
      <c r="AB62" s="36">
        <v>314000000</v>
      </c>
      <c r="AC62" s="36">
        <v>4.3499999999999996</v>
      </c>
      <c r="AD62" s="36">
        <v>346000000</v>
      </c>
      <c r="AE62" s="36">
        <v>10.6</v>
      </c>
      <c r="AF62" s="36">
        <v>293000000</v>
      </c>
      <c r="AG62" s="36">
        <v>7.26</v>
      </c>
      <c r="AH62" s="36">
        <v>331000000</v>
      </c>
      <c r="AI62" s="36">
        <v>7.02</v>
      </c>
      <c r="AJ62" s="36">
        <v>299000000</v>
      </c>
      <c r="AK62" s="36">
        <v>13.2</v>
      </c>
      <c r="AL62" s="36">
        <v>288000000</v>
      </c>
      <c r="AM62" s="36">
        <v>16.5</v>
      </c>
      <c r="AN62" s="36">
        <v>290000000</v>
      </c>
      <c r="AO62" s="36">
        <v>9.08</v>
      </c>
      <c r="AP62" s="36">
        <v>327000000</v>
      </c>
      <c r="AQ62" s="36">
        <v>6.06</v>
      </c>
      <c r="AR62" s="36">
        <v>303000000</v>
      </c>
      <c r="AS62" s="36">
        <v>9.86</v>
      </c>
      <c r="AT62" s="36">
        <v>343000000</v>
      </c>
      <c r="AU62" s="36">
        <v>8.02</v>
      </c>
      <c r="AV62" s="36">
        <v>378000000</v>
      </c>
      <c r="AW62" s="36">
        <v>9.41</v>
      </c>
      <c r="AX62" s="36">
        <v>383000000</v>
      </c>
      <c r="AY62" s="36">
        <v>9.94</v>
      </c>
      <c r="AZ62" s="5"/>
      <c r="BA62" s="36">
        <v>228000000</v>
      </c>
      <c r="BB62" s="36">
        <v>8.8699999999999992</v>
      </c>
      <c r="BC62" s="36">
        <v>316000000</v>
      </c>
      <c r="BD62" s="36">
        <v>7.06</v>
      </c>
      <c r="BE62" s="36">
        <v>164000000</v>
      </c>
      <c r="BF62" s="36">
        <v>5.95</v>
      </c>
      <c r="BG62" s="36">
        <v>147000000</v>
      </c>
      <c r="BH62" s="36">
        <v>6.26</v>
      </c>
      <c r="BI62" s="36">
        <v>106000000</v>
      </c>
      <c r="BJ62" s="36">
        <v>4.32</v>
      </c>
      <c r="BK62" s="5"/>
      <c r="BL62" s="36">
        <v>394000000</v>
      </c>
      <c r="BM62" s="36">
        <v>6.69</v>
      </c>
      <c r="BN62" s="36">
        <v>400000000</v>
      </c>
      <c r="BO62" s="36">
        <v>6.81</v>
      </c>
      <c r="BP62" s="36">
        <v>277000000</v>
      </c>
      <c r="BQ62" s="36">
        <v>10.1</v>
      </c>
      <c r="BR62" s="36">
        <v>311000000</v>
      </c>
      <c r="BS62" s="36">
        <v>9.98</v>
      </c>
      <c r="BT62" s="36">
        <v>321000000</v>
      </c>
      <c r="BU62" s="36">
        <v>9.32</v>
      </c>
      <c r="BV62" s="36">
        <v>359000000</v>
      </c>
      <c r="BW62" s="36">
        <v>7.99</v>
      </c>
      <c r="BX62" s="36">
        <v>515000000</v>
      </c>
      <c r="BY62" s="36">
        <v>14.7</v>
      </c>
      <c r="BZ62" s="36">
        <v>336000000</v>
      </c>
      <c r="CA62" s="36">
        <v>5.07</v>
      </c>
      <c r="CB62" s="36">
        <v>362000000</v>
      </c>
      <c r="CC62" s="36">
        <v>8.32</v>
      </c>
      <c r="CD62" s="36">
        <v>372000000</v>
      </c>
      <c r="CE62" s="36">
        <v>5.68</v>
      </c>
      <c r="CF62" s="36">
        <v>351000000</v>
      </c>
      <c r="CG62" s="36">
        <v>15.1</v>
      </c>
      <c r="CH62" s="36">
        <v>416000000</v>
      </c>
      <c r="CI62" s="36">
        <v>6.31</v>
      </c>
      <c r="CJ62" s="36">
        <v>425000000</v>
      </c>
      <c r="CK62" s="36">
        <v>5.9</v>
      </c>
      <c r="CL62" s="36">
        <v>433000000</v>
      </c>
      <c r="CM62" s="36">
        <v>10.3</v>
      </c>
      <c r="CN62" s="36">
        <v>438000000</v>
      </c>
      <c r="CO62" s="36">
        <v>6.58</v>
      </c>
      <c r="CP62" s="5"/>
      <c r="CQ62" s="36">
        <v>381000000</v>
      </c>
      <c r="CR62" s="36">
        <v>60200000</v>
      </c>
      <c r="CS62" s="46">
        <v>15.8</v>
      </c>
    </row>
    <row r="63" spans="1:97">
      <c r="A63" s="13" t="s">
        <v>184</v>
      </c>
      <c r="B63" s="35">
        <v>1720000</v>
      </c>
      <c r="C63" s="35">
        <v>9.94</v>
      </c>
      <c r="D63" s="35">
        <v>1260000</v>
      </c>
      <c r="E63" s="35">
        <v>7.94</v>
      </c>
      <c r="F63" s="35">
        <v>1160000</v>
      </c>
      <c r="G63" s="35">
        <v>15.2</v>
      </c>
      <c r="H63" s="35">
        <v>987000</v>
      </c>
      <c r="I63" s="35">
        <v>13.1</v>
      </c>
      <c r="J63" s="35">
        <v>1240000</v>
      </c>
      <c r="K63" s="35">
        <v>9.7100000000000009</v>
      </c>
      <c r="L63" s="35">
        <v>1200000</v>
      </c>
      <c r="M63" s="35">
        <v>12.6</v>
      </c>
      <c r="N63" s="35">
        <v>1090000</v>
      </c>
      <c r="O63" s="35">
        <v>8.57</v>
      </c>
      <c r="P63" s="35">
        <v>1120000</v>
      </c>
      <c r="Q63" s="35">
        <v>8.58</v>
      </c>
      <c r="R63" s="35">
        <v>1330000</v>
      </c>
      <c r="S63" s="35">
        <v>5.91</v>
      </c>
      <c r="T63" s="35">
        <v>2080000</v>
      </c>
      <c r="U63" s="35">
        <v>11.6</v>
      </c>
      <c r="V63" s="35">
        <v>1170000</v>
      </c>
      <c r="W63" s="35">
        <v>7.05</v>
      </c>
      <c r="X63" s="35">
        <v>1490000</v>
      </c>
      <c r="Y63" s="35">
        <v>12.7</v>
      </c>
      <c r="Z63" s="35">
        <v>1380000</v>
      </c>
      <c r="AA63" s="35">
        <v>19</v>
      </c>
      <c r="AB63" s="35">
        <v>1380000</v>
      </c>
      <c r="AC63" s="35">
        <v>11.1</v>
      </c>
      <c r="AD63" s="35">
        <v>1480000</v>
      </c>
      <c r="AE63" s="35">
        <v>2.2400000000000002</v>
      </c>
      <c r="AF63" s="35">
        <v>1310000</v>
      </c>
      <c r="AG63" s="35">
        <v>6.23</v>
      </c>
      <c r="AH63" s="35">
        <v>1360000</v>
      </c>
      <c r="AI63" s="35">
        <v>11.9</v>
      </c>
      <c r="AJ63" s="35">
        <v>1230000</v>
      </c>
      <c r="AK63" s="35">
        <v>11.5</v>
      </c>
      <c r="AL63" s="35">
        <v>1280000</v>
      </c>
      <c r="AM63" s="35">
        <v>13.3</v>
      </c>
      <c r="AN63" s="35">
        <v>1200000</v>
      </c>
      <c r="AO63" s="35">
        <v>11.2</v>
      </c>
      <c r="AP63" s="35">
        <v>1530000</v>
      </c>
      <c r="AQ63" s="35">
        <v>15</v>
      </c>
      <c r="AR63" s="35">
        <v>1430000</v>
      </c>
      <c r="AS63" s="35">
        <v>7.79</v>
      </c>
      <c r="AT63" s="35">
        <v>1510000</v>
      </c>
      <c r="AU63" s="35">
        <v>6.88</v>
      </c>
      <c r="AV63" s="35">
        <v>1700000</v>
      </c>
      <c r="AW63" s="35">
        <v>8.33</v>
      </c>
      <c r="AX63" s="35">
        <v>1630000</v>
      </c>
      <c r="AY63" s="35">
        <v>6.93</v>
      </c>
      <c r="AZ63" s="3"/>
      <c r="BA63" s="35">
        <v>1590000</v>
      </c>
      <c r="BB63" s="35">
        <v>6.43</v>
      </c>
      <c r="BC63" s="35">
        <v>1100000</v>
      </c>
      <c r="BD63" s="35">
        <v>8.2200000000000006</v>
      </c>
      <c r="BE63" s="35">
        <v>2460000</v>
      </c>
      <c r="BF63" s="35">
        <v>7.07</v>
      </c>
      <c r="BG63" s="35">
        <v>2230000</v>
      </c>
      <c r="BH63" s="35">
        <v>8.36</v>
      </c>
      <c r="BI63" s="35">
        <v>2070000</v>
      </c>
      <c r="BJ63" s="35">
        <v>4.67</v>
      </c>
      <c r="BK63" s="3"/>
      <c r="BL63" s="35">
        <v>1700000</v>
      </c>
      <c r="BM63" s="35">
        <v>3.79</v>
      </c>
      <c r="BN63" s="35">
        <v>1700000</v>
      </c>
      <c r="BO63" s="35">
        <v>5.14</v>
      </c>
      <c r="BP63" s="35">
        <v>1740000</v>
      </c>
      <c r="BQ63" s="35">
        <v>3.4</v>
      </c>
      <c r="BR63" s="35">
        <v>1580000</v>
      </c>
      <c r="BS63" s="35">
        <v>15.6</v>
      </c>
      <c r="BT63" s="35">
        <v>1830000</v>
      </c>
      <c r="BU63" s="35">
        <v>3.51</v>
      </c>
      <c r="BV63" s="35">
        <v>2250000</v>
      </c>
      <c r="BW63" s="35">
        <v>18.600000000000001</v>
      </c>
      <c r="BX63" s="35">
        <v>2570000</v>
      </c>
      <c r="BY63" s="35">
        <v>11.1</v>
      </c>
      <c r="BZ63" s="35">
        <v>1060000</v>
      </c>
      <c r="CA63" s="35">
        <v>5.64</v>
      </c>
      <c r="CB63" s="35">
        <v>1500000</v>
      </c>
      <c r="CC63" s="35">
        <v>8.19</v>
      </c>
      <c r="CD63" s="35">
        <v>2140000</v>
      </c>
      <c r="CE63" s="35">
        <v>7.39</v>
      </c>
      <c r="CF63" s="35">
        <v>2380000</v>
      </c>
      <c r="CG63" s="35">
        <v>17</v>
      </c>
      <c r="CH63" s="35">
        <v>2000000</v>
      </c>
      <c r="CI63" s="35">
        <v>14</v>
      </c>
      <c r="CJ63" s="35">
        <v>2770000</v>
      </c>
      <c r="CK63" s="35">
        <v>11.8</v>
      </c>
      <c r="CL63" s="35">
        <v>2510000</v>
      </c>
      <c r="CM63" s="35">
        <v>12</v>
      </c>
      <c r="CN63" s="35">
        <v>2610000</v>
      </c>
      <c r="CO63" s="35">
        <v>10.3</v>
      </c>
      <c r="CP63" s="3"/>
      <c r="CQ63" s="35">
        <v>2020000</v>
      </c>
      <c r="CR63" s="35">
        <v>491000</v>
      </c>
      <c r="CS63" s="45">
        <v>24.3</v>
      </c>
    </row>
    <row r="64" spans="1:97">
      <c r="A64" s="13" t="s">
        <v>185</v>
      </c>
      <c r="B64" s="36">
        <v>66800000</v>
      </c>
      <c r="C64" s="36">
        <v>6.44</v>
      </c>
      <c r="D64" s="36">
        <v>85400000</v>
      </c>
      <c r="E64" s="36">
        <v>2.82</v>
      </c>
      <c r="F64" s="36">
        <v>69000000</v>
      </c>
      <c r="G64" s="36">
        <v>25.9</v>
      </c>
      <c r="H64" s="36">
        <v>48600000</v>
      </c>
      <c r="I64" s="36">
        <v>19.3</v>
      </c>
      <c r="J64" s="36">
        <v>39900000</v>
      </c>
      <c r="K64" s="36">
        <v>6.02</v>
      </c>
      <c r="L64" s="36">
        <v>60600000</v>
      </c>
      <c r="M64" s="36">
        <v>10.199999999999999</v>
      </c>
      <c r="N64" s="36">
        <v>72300000</v>
      </c>
      <c r="O64" s="36">
        <v>6.06</v>
      </c>
      <c r="P64" s="36">
        <v>72800000</v>
      </c>
      <c r="Q64" s="36">
        <v>3.38</v>
      </c>
      <c r="R64" s="36">
        <v>62900000</v>
      </c>
      <c r="S64" s="36">
        <v>9.9600000000000009</v>
      </c>
      <c r="T64" s="36">
        <v>80400000</v>
      </c>
      <c r="U64" s="36">
        <v>3.69</v>
      </c>
      <c r="V64" s="36">
        <v>75700000</v>
      </c>
      <c r="W64" s="36">
        <v>7.35</v>
      </c>
      <c r="X64" s="36">
        <v>78100000</v>
      </c>
      <c r="Y64" s="36">
        <v>12.2</v>
      </c>
      <c r="Z64" s="36">
        <v>74400000</v>
      </c>
      <c r="AA64" s="36">
        <v>15.3</v>
      </c>
      <c r="AB64" s="36">
        <v>68700000</v>
      </c>
      <c r="AC64" s="36">
        <v>11</v>
      </c>
      <c r="AD64" s="36">
        <v>74300000</v>
      </c>
      <c r="AE64" s="36">
        <v>8.4</v>
      </c>
      <c r="AF64" s="36">
        <v>68400000</v>
      </c>
      <c r="AG64" s="36">
        <v>8.8699999999999992</v>
      </c>
      <c r="AH64" s="36">
        <v>85500000</v>
      </c>
      <c r="AI64" s="36">
        <v>6.83</v>
      </c>
      <c r="AJ64" s="36">
        <v>50300000</v>
      </c>
      <c r="AK64" s="36">
        <v>18</v>
      </c>
      <c r="AL64" s="36">
        <v>83700000</v>
      </c>
      <c r="AM64" s="36">
        <v>16.2</v>
      </c>
      <c r="AN64" s="36">
        <v>82600000</v>
      </c>
      <c r="AO64" s="36">
        <v>12.6</v>
      </c>
      <c r="AP64" s="36">
        <v>79300000</v>
      </c>
      <c r="AQ64" s="36">
        <v>11.7</v>
      </c>
      <c r="AR64" s="36">
        <v>115000000</v>
      </c>
      <c r="AS64" s="36">
        <v>8.77</v>
      </c>
      <c r="AT64" s="36">
        <v>61600000</v>
      </c>
      <c r="AU64" s="36">
        <v>9.73</v>
      </c>
      <c r="AV64" s="36">
        <v>70600000</v>
      </c>
      <c r="AW64" s="36">
        <v>10.1</v>
      </c>
      <c r="AX64" s="36">
        <v>89800000</v>
      </c>
      <c r="AY64" s="36">
        <v>11</v>
      </c>
      <c r="AZ64" s="5"/>
      <c r="BA64" s="36">
        <v>97800000</v>
      </c>
      <c r="BB64" s="36">
        <v>8.1199999999999992</v>
      </c>
      <c r="BC64" s="36">
        <v>54500000</v>
      </c>
      <c r="BD64" s="36">
        <v>9.67</v>
      </c>
      <c r="BE64" s="36">
        <v>24800000</v>
      </c>
      <c r="BF64" s="36">
        <v>8.75</v>
      </c>
      <c r="BG64" s="36">
        <v>23000000</v>
      </c>
      <c r="BH64" s="36">
        <v>6.93</v>
      </c>
      <c r="BI64" s="36">
        <v>18100000</v>
      </c>
      <c r="BJ64" s="36">
        <v>13.4</v>
      </c>
      <c r="BK64" s="5"/>
      <c r="BL64" s="36">
        <v>87800000</v>
      </c>
      <c r="BM64" s="36">
        <v>3.93</v>
      </c>
      <c r="BN64" s="36">
        <v>89200000</v>
      </c>
      <c r="BO64" s="36">
        <v>8.27</v>
      </c>
      <c r="BP64" s="36">
        <v>124000000</v>
      </c>
      <c r="BQ64" s="36">
        <v>10.199999999999999</v>
      </c>
      <c r="BR64" s="36">
        <v>90300000</v>
      </c>
      <c r="BS64" s="36">
        <v>10.9</v>
      </c>
      <c r="BT64" s="36">
        <v>94300000</v>
      </c>
      <c r="BU64" s="36">
        <v>8.3800000000000008</v>
      </c>
      <c r="BV64" s="36">
        <v>74200000</v>
      </c>
      <c r="BW64" s="36">
        <v>4.28</v>
      </c>
      <c r="BX64" s="36">
        <v>98400000</v>
      </c>
      <c r="BY64" s="36">
        <v>7.19</v>
      </c>
      <c r="BZ64" s="36">
        <v>78800000</v>
      </c>
      <c r="CA64" s="36">
        <v>3.94</v>
      </c>
      <c r="CB64" s="36">
        <v>88400000</v>
      </c>
      <c r="CC64" s="36">
        <v>10.6</v>
      </c>
      <c r="CD64" s="36">
        <v>87300000</v>
      </c>
      <c r="CE64" s="36">
        <v>8.6999999999999993</v>
      </c>
      <c r="CF64" s="36">
        <v>93100000</v>
      </c>
      <c r="CG64" s="36">
        <v>18.600000000000001</v>
      </c>
      <c r="CH64" s="36">
        <v>92900000</v>
      </c>
      <c r="CI64" s="36">
        <v>11.9</v>
      </c>
      <c r="CJ64" s="36">
        <v>106000000</v>
      </c>
      <c r="CK64" s="36">
        <v>10.3</v>
      </c>
      <c r="CL64" s="36">
        <v>85300000</v>
      </c>
      <c r="CM64" s="36">
        <v>7.04</v>
      </c>
      <c r="CN64" s="36">
        <v>91900000</v>
      </c>
      <c r="CO64" s="36">
        <v>6.67</v>
      </c>
      <c r="CP64" s="5"/>
      <c r="CQ64" s="36">
        <v>92100000</v>
      </c>
      <c r="CR64" s="36">
        <v>11500000</v>
      </c>
      <c r="CS64" s="46">
        <v>12.5</v>
      </c>
    </row>
    <row r="65" spans="1:97">
      <c r="A65" s="13" t="s">
        <v>186</v>
      </c>
      <c r="B65" s="35">
        <v>489000000</v>
      </c>
      <c r="C65" s="35">
        <v>12.4</v>
      </c>
      <c r="D65" s="35">
        <v>498000000</v>
      </c>
      <c r="E65" s="35">
        <v>10.6</v>
      </c>
      <c r="F65" s="35">
        <v>466000000</v>
      </c>
      <c r="G65" s="35">
        <v>6.66</v>
      </c>
      <c r="H65" s="35">
        <v>526000000</v>
      </c>
      <c r="I65" s="35">
        <v>6.02</v>
      </c>
      <c r="J65" s="35">
        <v>459000000</v>
      </c>
      <c r="K65" s="35">
        <v>5.87</v>
      </c>
      <c r="L65" s="35">
        <v>370000000</v>
      </c>
      <c r="M65" s="35">
        <v>11.8</v>
      </c>
      <c r="N65" s="35">
        <v>532000000</v>
      </c>
      <c r="O65" s="35">
        <v>6.96</v>
      </c>
      <c r="P65" s="35">
        <v>582000000</v>
      </c>
      <c r="Q65" s="35">
        <v>6.63</v>
      </c>
      <c r="R65" s="35">
        <v>406000000</v>
      </c>
      <c r="S65" s="35">
        <v>12.1</v>
      </c>
      <c r="T65" s="35">
        <v>457000000</v>
      </c>
      <c r="U65" s="35">
        <v>8.07</v>
      </c>
      <c r="V65" s="35">
        <v>490000000</v>
      </c>
      <c r="W65" s="35">
        <v>10.199999999999999</v>
      </c>
      <c r="X65" s="35">
        <v>500000000</v>
      </c>
      <c r="Y65" s="35">
        <v>15.4</v>
      </c>
      <c r="Z65" s="35">
        <v>496000000</v>
      </c>
      <c r="AA65" s="35">
        <v>13.8</v>
      </c>
      <c r="AB65" s="35">
        <v>502000000</v>
      </c>
      <c r="AC65" s="35">
        <v>12.9</v>
      </c>
      <c r="AD65" s="35">
        <v>438000000</v>
      </c>
      <c r="AE65" s="35">
        <v>7.62</v>
      </c>
      <c r="AF65" s="35">
        <v>484000000</v>
      </c>
      <c r="AG65" s="35">
        <v>9.9499999999999993</v>
      </c>
      <c r="AH65" s="35">
        <v>550000000</v>
      </c>
      <c r="AI65" s="35">
        <v>4.7699999999999996</v>
      </c>
      <c r="AJ65" s="35">
        <v>458000000</v>
      </c>
      <c r="AK65" s="35">
        <v>11.4</v>
      </c>
      <c r="AL65" s="35">
        <v>514000000</v>
      </c>
      <c r="AM65" s="35">
        <v>6.38</v>
      </c>
      <c r="AN65" s="35">
        <v>683000000</v>
      </c>
      <c r="AO65" s="35">
        <v>8.5399999999999991</v>
      </c>
      <c r="AP65" s="35">
        <v>516000000</v>
      </c>
      <c r="AQ65" s="35">
        <v>13.2</v>
      </c>
      <c r="AR65" s="35">
        <v>424000000</v>
      </c>
      <c r="AS65" s="35">
        <v>11.3</v>
      </c>
      <c r="AT65" s="35">
        <v>487000000</v>
      </c>
      <c r="AU65" s="35">
        <v>6.99</v>
      </c>
      <c r="AV65" s="35">
        <v>514000000</v>
      </c>
      <c r="AW65" s="35">
        <v>10.6</v>
      </c>
      <c r="AX65" s="35">
        <v>551000000</v>
      </c>
      <c r="AY65" s="35">
        <v>4.6399999999999997</v>
      </c>
      <c r="AZ65" s="3"/>
      <c r="BA65" s="35">
        <v>409000000</v>
      </c>
      <c r="BB65" s="35">
        <v>9.02</v>
      </c>
      <c r="BC65" s="35">
        <v>624000000</v>
      </c>
      <c r="BD65" s="35">
        <v>12.9</v>
      </c>
      <c r="BE65" s="35">
        <v>612000000</v>
      </c>
      <c r="BF65" s="35">
        <v>8.8800000000000008</v>
      </c>
      <c r="BG65" s="35">
        <v>534000000</v>
      </c>
      <c r="BH65" s="35">
        <v>10.199999999999999</v>
      </c>
      <c r="BI65" s="35">
        <v>477000000</v>
      </c>
      <c r="BJ65" s="35">
        <v>3.81</v>
      </c>
      <c r="BK65" s="3"/>
      <c r="BL65" s="35">
        <v>976000000</v>
      </c>
      <c r="BM65" s="35">
        <v>2.4</v>
      </c>
      <c r="BN65" s="35">
        <v>766000000</v>
      </c>
      <c r="BO65" s="35">
        <v>15.9</v>
      </c>
      <c r="BP65" s="35">
        <v>768000000</v>
      </c>
      <c r="BQ65" s="35">
        <v>3.75</v>
      </c>
      <c r="BR65" s="35">
        <v>598000000</v>
      </c>
      <c r="BS65" s="35">
        <v>16</v>
      </c>
      <c r="BT65" s="35">
        <v>602000000</v>
      </c>
      <c r="BU65" s="35">
        <v>2.2999999999999998</v>
      </c>
      <c r="BV65" s="35">
        <v>812000000</v>
      </c>
      <c r="BW65" s="35">
        <v>13.2</v>
      </c>
      <c r="BX65" s="35">
        <v>712000000</v>
      </c>
      <c r="BY65" s="35">
        <v>4.92</v>
      </c>
      <c r="BZ65" s="35">
        <v>730000000</v>
      </c>
      <c r="CA65" s="35">
        <v>3.76</v>
      </c>
      <c r="CB65" s="35">
        <v>613000000</v>
      </c>
      <c r="CC65" s="35">
        <v>8.5399999999999991</v>
      </c>
      <c r="CD65" s="35">
        <v>633000000</v>
      </c>
      <c r="CE65" s="35">
        <v>9.84</v>
      </c>
      <c r="CF65" s="35">
        <v>783000000</v>
      </c>
      <c r="CG65" s="35">
        <v>13.9</v>
      </c>
      <c r="CH65" s="35">
        <v>760000000</v>
      </c>
      <c r="CI65" s="35">
        <v>7.58</v>
      </c>
      <c r="CJ65" s="35">
        <v>726000000</v>
      </c>
      <c r="CK65" s="35">
        <v>9.2100000000000009</v>
      </c>
      <c r="CL65" s="35">
        <v>831000000</v>
      </c>
      <c r="CM65" s="35">
        <v>11.5</v>
      </c>
      <c r="CN65" s="35">
        <v>478000000</v>
      </c>
      <c r="CO65" s="35">
        <v>4.78</v>
      </c>
      <c r="CP65" s="3"/>
      <c r="CQ65" s="35">
        <v>719000000</v>
      </c>
      <c r="CR65" s="35">
        <v>120000000</v>
      </c>
      <c r="CS65" s="45">
        <v>16.7</v>
      </c>
    </row>
    <row r="66" spans="1:97">
      <c r="A66" s="13" t="s">
        <v>187</v>
      </c>
      <c r="B66" s="36">
        <v>2260000000</v>
      </c>
      <c r="C66" s="36">
        <v>13.2</v>
      </c>
      <c r="D66" s="36">
        <v>1430000000</v>
      </c>
      <c r="E66" s="36">
        <v>9.66</v>
      </c>
      <c r="F66" s="36">
        <v>1010000000</v>
      </c>
      <c r="G66" s="36">
        <v>16.600000000000001</v>
      </c>
      <c r="H66" s="36">
        <v>1940000000</v>
      </c>
      <c r="I66" s="36">
        <v>15.7</v>
      </c>
      <c r="J66" s="36">
        <v>1210000000</v>
      </c>
      <c r="K66" s="36">
        <v>9.1199999999999992</v>
      </c>
      <c r="L66" s="36">
        <v>1560000000</v>
      </c>
      <c r="M66" s="36">
        <v>10.4</v>
      </c>
      <c r="N66" s="36">
        <v>1590000000</v>
      </c>
      <c r="O66" s="36">
        <v>3.49</v>
      </c>
      <c r="P66" s="36">
        <v>1940000000</v>
      </c>
      <c r="Q66" s="36">
        <v>5.82</v>
      </c>
      <c r="R66" s="36">
        <v>2050000000</v>
      </c>
      <c r="S66" s="36">
        <v>10.6</v>
      </c>
      <c r="T66" s="36">
        <v>1900000000</v>
      </c>
      <c r="U66" s="36">
        <v>5.89</v>
      </c>
      <c r="V66" s="36">
        <v>1820000000</v>
      </c>
      <c r="W66" s="36">
        <v>7</v>
      </c>
      <c r="X66" s="36">
        <v>2050000000</v>
      </c>
      <c r="Y66" s="36">
        <v>12.6</v>
      </c>
      <c r="Z66" s="36">
        <v>2010000000</v>
      </c>
      <c r="AA66" s="36">
        <v>16.399999999999999</v>
      </c>
      <c r="AB66" s="36">
        <v>1890000000</v>
      </c>
      <c r="AC66" s="36">
        <v>13</v>
      </c>
      <c r="AD66" s="36">
        <v>2440000000</v>
      </c>
      <c r="AE66" s="36">
        <v>3.26</v>
      </c>
      <c r="AF66" s="36">
        <v>1850000000</v>
      </c>
      <c r="AG66" s="36">
        <v>9.67</v>
      </c>
      <c r="AH66" s="36">
        <v>1310000000</v>
      </c>
      <c r="AI66" s="36">
        <v>9.59</v>
      </c>
      <c r="AJ66" s="36">
        <v>2200000000</v>
      </c>
      <c r="AK66" s="36">
        <v>12.3</v>
      </c>
      <c r="AL66" s="36">
        <v>890000000</v>
      </c>
      <c r="AM66" s="36">
        <v>9.93</v>
      </c>
      <c r="AN66" s="36">
        <v>1910000000</v>
      </c>
      <c r="AO66" s="36">
        <v>10.5</v>
      </c>
      <c r="AP66" s="36">
        <v>1950000000</v>
      </c>
      <c r="AQ66" s="36">
        <v>5.57</v>
      </c>
      <c r="AR66" s="36">
        <v>2700000000</v>
      </c>
      <c r="AS66" s="36">
        <v>13.5</v>
      </c>
      <c r="AT66" s="36">
        <v>2090000000</v>
      </c>
      <c r="AU66" s="36">
        <v>7.52</v>
      </c>
      <c r="AV66" s="36">
        <v>1780000000</v>
      </c>
      <c r="AW66" s="36">
        <v>8.27</v>
      </c>
      <c r="AX66" s="36">
        <v>2430000000</v>
      </c>
      <c r="AY66" s="36">
        <v>4.12</v>
      </c>
      <c r="AZ66" s="5"/>
      <c r="BA66" s="36">
        <v>2330000000</v>
      </c>
      <c r="BB66" s="36">
        <v>7.33</v>
      </c>
      <c r="BC66" s="36">
        <v>1200000000</v>
      </c>
      <c r="BD66" s="36">
        <v>10.7</v>
      </c>
      <c r="BE66" s="36">
        <v>802000000</v>
      </c>
      <c r="BF66" s="36">
        <v>8.34</v>
      </c>
      <c r="BG66" s="36">
        <v>535000000</v>
      </c>
      <c r="BH66" s="36">
        <v>6.43</v>
      </c>
      <c r="BI66" s="36">
        <v>469000000</v>
      </c>
      <c r="BJ66" s="36">
        <v>10.3</v>
      </c>
      <c r="BK66" s="5"/>
      <c r="BL66" s="36">
        <v>1800000000</v>
      </c>
      <c r="BM66" s="36">
        <v>5.18</v>
      </c>
      <c r="BN66" s="36">
        <v>2000000000</v>
      </c>
      <c r="BO66" s="36">
        <v>5.94</v>
      </c>
      <c r="BP66" s="36">
        <v>3190000000</v>
      </c>
      <c r="BQ66" s="36">
        <v>2.82</v>
      </c>
      <c r="BR66" s="36">
        <v>2590000000</v>
      </c>
      <c r="BS66" s="36">
        <v>16.8</v>
      </c>
      <c r="BT66" s="36">
        <v>2500000000</v>
      </c>
      <c r="BU66" s="36">
        <v>4.82</v>
      </c>
      <c r="BV66" s="36">
        <v>3240000000</v>
      </c>
      <c r="BW66" s="36">
        <v>17.7</v>
      </c>
      <c r="BX66" s="36">
        <v>3100000000</v>
      </c>
      <c r="BY66" s="36">
        <v>7.38</v>
      </c>
      <c r="BZ66" s="36">
        <v>2350000000</v>
      </c>
      <c r="CA66" s="36">
        <v>4.41</v>
      </c>
      <c r="CB66" s="36">
        <v>2430000000</v>
      </c>
      <c r="CC66" s="36">
        <v>11.8</v>
      </c>
      <c r="CD66" s="36">
        <v>2920000000</v>
      </c>
      <c r="CE66" s="36">
        <v>6.54</v>
      </c>
      <c r="CF66" s="36">
        <v>3090000000</v>
      </c>
      <c r="CG66" s="36">
        <v>17.3</v>
      </c>
      <c r="CH66" s="36">
        <v>2830000000</v>
      </c>
      <c r="CI66" s="36">
        <v>7.07</v>
      </c>
      <c r="CJ66" s="36">
        <v>3150000000</v>
      </c>
      <c r="CK66" s="36">
        <v>11.1</v>
      </c>
      <c r="CL66" s="36">
        <v>2770000000</v>
      </c>
      <c r="CM66" s="36">
        <v>8.3000000000000007</v>
      </c>
      <c r="CN66" s="36">
        <v>2740000000</v>
      </c>
      <c r="CO66" s="36">
        <v>14</v>
      </c>
      <c r="CP66" s="5"/>
      <c r="CQ66" s="36">
        <v>2710000000</v>
      </c>
      <c r="CR66" s="36">
        <v>436000000</v>
      </c>
      <c r="CS66" s="46">
        <v>16.100000000000001</v>
      </c>
    </row>
    <row r="67" spans="1:97">
      <c r="A67" s="13" t="s">
        <v>188</v>
      </c>
      <c r="B67" s="35">
        <v>1470000000</v>
      </c>
      <c r="C67" s="35">
        <v>10.199999999999999</v>
      </c>
      <c r="D67" s="35">
        <v>1150000000</v>
      </c>
      <c r="E67" s="35">
        <v>7.75</v>
      </c>
      <c r="F67" s="35">
        <v>885000000</v>
      </c>
      <c r="G67" s="35">
        <v>10.7</v>
      </c>
      <c r="H67" s="35">
        <v>1460000000</v>
      </c>
      <c r="I67" s="35">
        <v>11.2</v>
      </c>
      <c r="J67" s="35">
        <v>1160000000</v>
      </c>
      <c r="K67" s="35">
        <v>4.22</v>
      </c>
      <c r="L67" s="35">
        <v>1150000000</v>
      </c>
      <c r="M67" s="35">
        <v>7.12</v>
      </c>
      <c r="N67" s="35">
        <v>1180000000</v>
      </c>
      <c r="O67" s="35">
        <v>7.52</v>
      </c>
      <c r="P67" s="35">
        <v>1280000000</v>
      </c>
      <c r="Q67" s="35">
        <v>7.03</v>
      </c>
      <c r="R67" s="35">
        <v>1440000000</v>
      </c>
      <c r="S67" s="35">
        <v>9.5500000000000007</v>
      </c>
      <c r="T67" s="35">
        <v>1180000000</v>
      </c>
      <c r="U67" s="35">
        <v>7.71</v>
      </c>
      <c r="V67" s="35">
        <v>1200000000</v>
      </c>
      <c r="W67" s="35">
        <v>7.17</v>
      </c>
      <c r="X67" s="35">
        <v>1260000000</v>
      </c>
      <c r="Y67" s="35">
        <v>13.5</v>
      </c>
      <c r="Z67" s="35">
        <v>1330000000</v>
      </c>
      <c r="AA67" s="35">
        <v>16.7</v>
      </c>
      <c r="AB67" s="35">
        <v>1290000000</v>
      </c>
      <c r="AC67" s="35">
        <v>13.2</v>
      </c>
      <c r="AD67" s="35">
        <v>1630000000</v>
      </c>
      <c r="AE67" s="35">
        <v>7.88</v>
      </c>
      <c r="AF67" s="35">
        <v>1300000000</v>
      </c>
      <c r="AG67" s="35">
        <v>8.27</v>
      </c>
      <c r="AH67" s="35">
        <v>1150000000</v>
      </c>
      <c r="AI67" s="35">
        <v>4.8600000000000003</v>
      </c>
      <c r="AJ67" s="35">
        <v>1480000000</v>
      </c>
      <c r="AK67" s="35">
        <v>11.6</v>
      </c>
      <c r="AL67" s="35">
        <v>934000000</v>
      </c>
      <c r="AM67" s="35">
        <v>4.12</v>
      </c>
      <c r="AN67" s="35">
        <v>1350000000</v>
      </c>
      <c r="AO67" s="35">
        <v>2.59</v>
      </c>
      <c r="AP67" s="35">
        <v>1230000000</v>
      </c>
      <c r="AQ67" s="35">
        <v>10.9</v>
      </c>
      <c r="AR67" s="35">
        <v>1690000000</v>
      </c>
      <c r="AS67" s="35">
        <v>10.6</v>
      </c>
      <c r="AT67" s="35">
        <v>1360000000</v>
      </c>
      <c r="AU67" s="35">
        <v>8.26</v>
      </c>
      <c r="AV67" s="35">
        <v>1370000000</v>
      </c>
      <c r="AW67" s="35">
        <v>9.19</v>
      </c>
      <c r="AX67" s="35">
        <v>1610000000</v>
      </c>
      <c r="AY67" s="35">
        <v>6.71</v>
      </c>
      <c r="AZ67" s="3"/>
      <c r="BA67" s="35">
        <v>1760000000</v>
      </c>
      <c r="BB67" s="35">
        <v>4.55</v>
      </c>
      <c r="BC67" s="35">
        <v>775000000</v>
      </c>
      <c r="BD67" s="35">
        <v>22.9</v>
      </c>
      <c r="BE67" s="35">
        <v>655000000</v>
      </c>
      <c r="BF67" s="35">
        <v>5.93</v>
      </c>
      <c r="BG67" s="35">
        <v>585000000</v>
      </c>
      <c r="BH67" s="35">
        <v>9.68</v>
      </c>
      <c r="BI67" s="35">
        <v>568000000</v>
      </c>
      <c r="BJ67" s="35">
        <v>4.74</v>
      </c>
      <c r="BK67" s="3"/>
      <c r="BL67" s="35">
        <v>1340000000</v>
      </c>
      <c r="BM67" s="35">
        <v>4.3600000000000003</v>
      </c>
      <c r="BN67" s="35">
        <v>1440000000</v>
      </c>
      <c r="BO67" s="35">
        <v>6.34</v>
      </c>
      <c r="BP67" s="35">
        <v>1480000000</v>
      </c>
      <c r="BQ67" s="35">
        <v>3.95</v>
      </c>
      <c r="BR67" s="35">
        <v>1430000000</v>
      </c>
      <c r="BS67" s="35">
        <v>18.899999999999999</v>
      </c>
      <c r="BT67" s="35">
        <v>1470000000</v>
      </c>
      <c r="BU67" s="35">
        <v>2.2000000000000002</v>
      </c>
      <c r="BV67" s="35">
        <v>1610000000</v>
      </c>
      <c r="BW67" s="35">
        <v>12.9</v>
      </c>
      <c r="BX67" s="35">
        <v>2080000000</v>
      </c>
      <c r="BY67" s="35">
        <v>7.15</v>
      </c>
      <c r="BZ67" s="35">
        <v>1130000000</v>
      </c>
      <c r="CA67" s="35">
        <v>2.94</v>
      </c>
      <c r="CB67" s="35">
        <v>1510000000</v>
      </c>
      <c r="CC67" s="35">
        <v>6.65</v>
      </c>
      <c r="CD67" s="35">
        <v>1680000000</v>
      </c>
      <c r="CE67" s="35">
        <v>9.9600000000000009</v>
      </c>
      <c r="CF67" s="35">
        <v>1800000000</v>
      </c>
      <c r="CG67" s="35">
        <v>14.9</v>
      </c>
      <c r="CH67" s="35">
        <v>1650000000</v>
      </c>
      <c r="CI67" s="35">
        <v>9.1999999999999993</v>
      </c>
      <c r="CJ67" s="35">
        <v>2220000000</v>
      </c>
      <c r="CK67" s="35">
        <v>11.4</v>
      </c>
      <c r="CL67" s="35">
        <v>1820000000</v>
      </c>
      <c r="CM67" s="35">
        <v>11.3</v>
      </c>
      <c r="CN67" s="35">
        <v>1520000000</v>
      </c>
      <c r="CO67" s="35">
        <v>8.26</v>
      </c>
      <c r="CP67" s="3"/>
      <c r="CQ67" s="35">
        <v>1610000000</v>
      </c>
      <c r="CR67" s="35">
        <v>279000000</v>
      </c>
      <c r="CS67" s="45">
        <v>17.3</v>
      </c>
    </row>
    <row r="68" spans="1:97">
      <c r="A68" s="13" t="s">
        <v>189</v>
      </c>
      <c r="B68" s="36">
        <v>173000000</v>
      </c>
      <c r="C68" s="36">
        <v>7.76</v>
      </c>
      <c r="D68" s="36">
        <v>114000000</v>
      </c>
      <c r="E68" s="36">
        <v>2.42</v>
      </c>
      <c r="F68" s="36">
        <v>64500000</v>
      </c>
      <c r="G68" s="36">
        <v>11.7</v>
      </c>
      <c r="H68" s="36">
        <v>63500000</v>
      </c>
      <c r="I68" s="36">
        <v>14.2</v>
      </c>
      <c r="J68" s="36">
        <v>63800000</v>
      </c>
      <c r="K68" s="36">
        <v>4.42</v>
      </c>
      <c r="L68" s="36">
        <v>108000000</v>
      </c>
      <c r="M68" s="36">
        <v>10.9</v>
      </c>
      <c r="N68" s="36">
        <v>101000000</v>
      </c>
      <c r="O68" s="36">
        <v>7.44</v>
      </c>
      <c r="P68" s="36">
        <v>122000000</v>
      </c>
      <c r="Q68" s="36">
        <v>11.5</v>
      </c>
      <c r="R68" s="36">
        <v>98300000</v>
      </c>
      <c r="S68" s="36">
        <v>7.22</v>
      </c>
      <c r="T68" s="36">
        <v>131000000</v>
      </c>
      <c r="U68" s="36">
        <v>12.2</v>
      </c>
      <c r="V68" s="36">
        <v>85500000</v>
      </c>
      <c r="W68" s="36">
        <v>6.27</v>
      </c>
      <c r="X68" s="36">
        <v>117000000</v>
      </c>
      <c r="Y68" s="36">
        <v>10.9</v>
      </c>
      <c r="Z68" s="36">
        <v>118000000</v>
      </c>
      <c r="AA68" s="36">
        <v>10.3</v>
      </c>
      <c r="AB68" s="36">
        <v>125000000</v>
      </c>
      <c r="AC68" s="36">
        <v>5.16</v>
      </c>
      <c r="AD68" s="36">
        <v>167000000</v>
      </c>
      <c r="AE68" s="36">
        <v>6.07</v>
      </c>
      <c r="AF68" s="36">
        <v>153000000</v>
      </c>
      <c r="AG68" s="36">
        <v>4.49</v>
      </c>
      <c r="AH68" s="36">
        <v>102000000</v>
      </c>
      <c r="AI68" s="36">
        <v>6.03</v>
      </c>
      <c r="AJ68" s="36">
        <v>122000000</v>
      </c>
      <c r="AK68" s="36">
        <v>9.92</v>
      </c>
      <c r="AL68" s="36">
        <v>89800000</v>
      </c>
      <c r="AM68" s="36">
        <v>9.6999999999999993</v>
      </c>
      <c r="AN68" s="36">
        <v>102000000</v>
      </c>
      <c r="AO68" s="36">
        <v>10.7</v>
      </c>
      <c r="AP68" s="36">
        <v>123000000</v>
      </c>
      <c r="AQ68" s="36">
        <v>7.56</v>
      </c>
      <c r="AR68" s="36">
        <v>166000000</v>
      </c>
      <c r="AS68" s="36">
        <v>11.9</v>
      </c>
      <c r="AT68" s="36">
        <v>122000000</v>
      </c>
      <c r="AU68" s="36">
        <v>14.4</v>
      </c>
      <c r="AV68" s="36">
        <v>157000000</v>
      </c>
      <c r="AW68" s="36">
        <v>9.2799999999999994</v>
      </c>
      <c r="AX68" s="36">
        <v>216000000</v>
      </c>
      <c r="AY68" s="36">
        <v>10.4</v>
      </c>
      <c r="AZ68" s="5"/>
      <c r="BA68" s="36">
        <v>107000000</v>
      </c>
      <c r="BB68" s="36">
        <v>8.1199999999999992</v>
      </c>
      <c r="BC68" s="36">
        <v>85400000</v>
      </c>
      <c r="BD68" s="36">
        <v>6.22</v>
      </c>
      <c r="BE68" s="36">
        <v>50300000</v>
      </c>
      <c r="BF68" s="36">
        <v>10.4</v>
      </c>
      <c r="BG68" s="36">
        <v>25900000</v>
      </c>
      <c r="BH68" s="36">
        <v>8.44</v>
      </c>
      <c r="BI68" s="36">
        <v>33400000</v>
      </c>
      <c r="BJ68" s="36">
        <v>4.4000000000000004</v>
      </c>
      <c r="BK68" s="5"/>
      <c r="BL68" s="36">
        <v>165000000</v>
      </c>
      <c r="BM68" s="36">
        <v>6.87</v>
      </c>
      <c r="BN68" s="36">
        <v>155000000</v>
      </c>
      <c r="BO68" s="36">
        <v>6.89</v>
      </c>
      <c r="BP68" s="36">
        <v>121000000</v>
      </c>
      <c r="BQ68" s="36">
        <v>4.51</v>
      </c>
      <c r="BR68" s="36">
        <v>132000000</v>
      </c>
      <c r="BS68" s="36">
        <v>5.49</v>
      </c>
      <c r="BT68" s="36">
        <v>151000000</v>
      </c>
      <c r="BU68" s="36">
        <v>6.72</v>
      </c>
      <c r="BV68" s="36">
        <v>180000000</v>
      </c>
      <c r="BW68" s="36">
        <v>8.52</v>
      </c>
      <c r="BX68" s="36">
        <v>205000000</v>
      </c>
      <c r="BY68" s="36">
        <v>7.1</v>
      </c>
      <c r="BZ68" s="36">
        <v>144000000</v>
      </c>
      <c r="CA68" s="36">
        <v>11.2</v>
      </c>
      <c r="CB68" s="36">
        <v>151000000</v>
      </c>
      <c r="CC68" s="36">
        <v>7.87</v>
      </c>
      <c r="CD68" s="36">
        <v>152000000</v>
      </c>
      <c r="CE68" s="36">
        <v>12.7</v>
      </c>
      <c r="CF68" s="36">
        <v>189000000</v>
      </c>
      <c r="CG68" s="36">
        <v>12.2</v>
      </c>
      <c r="CH68" s="36">
        <v>148000000</v>
      </c>
      <c r="CI68" s="36">
        <v>11.7</v>
      </c>
      <c r="CJ68" s="36">
        <v>197000000</v>
      </c>
      <c r="CK68" s="36">
        <v>11.7</v>
      </c>
      <c r="CL68" s="36">
        <v>180000000</v>
      </c>
      <c r="CM68" s="36">
        <v>6.15</v>
      </c>
      <c r="CN68" s="36">
        <v>232000000</v>
      </c>
      <c r="CO68" s="36">
        <v>15</v>
      </c>
      <c r="CP68" s="5"/>
      <c r="CQ68" s="36">
        <v>167000000</v>
      </c>
      <c r="CR68" s="36">
        <v>29800000</v>
      </c>
      <c r="CS68" s="46">
        <v>17.899999999999999</v>
      </c>
    </row>
    <row r="69" spans="1:97">
      <c r="A69" s="13" t="s">
        <v>190</v>
      </c>
      <c r="B69" s="35">
        <v>1200000000</v>
      </c>
      <c r="C69" s="35">
        <v>7.21</v>
      </c>
      <c r="D69" s="35">
        <v>881000000</v>
      </c>
      <c r="E69" s="35">
        <v>4.95</v>
      </c>
      <c r="F69" s="35">
        <v>872000000</v>
      </c>
      <c r="G69" s="35">
        <v>10.1</v>
      </c>
      <c r="H69" s="35">
        <v>250000000</v>
      </c>
      <c r="I69" s="35">
        <v>8.4600000000000009</v>
      </c>
      <c r="J69" s="35">
        <v>263000000</v>
      </c>
      <c r="K69" s="35">
        <v>2.97</v>
      </c>
      <c r="L69" s="35">
        <v>889000000</v>
      </c>
      <c r="M69" s="35">
        <v>11.6</v>
      </c>
      <c r="N69" s="35">
        <v>971000000</v>
      </c>
      <c r="O69" s="35">
        <v>6.74</v>
      </c>
      <c r="P69" s="35">
        <v>1260000000</v>
      </c>
      <c r="Q69" s="35">
        <v>6.16</v>
      </c>
      <c r="R69" s="35">
        <v>871000000</v>
      </c>
      <c r="S69" s="35">
        <v>8.0399999999999991</v>
      </c>
      <c r="T69" s="35">
        <v>754000000</v>
      </c>
      <c r="U69" s="35">
        <v>6.11</v>
      </c>
      <c r="V69" s="35">
        <v>731000000</v>
      </c>
      <c r="W69" s="35">
        <v>6.67</v>
      </c>
      <c r="X69" s="35">
        <v>1160000000</v>
      </c>
      <c r="Y69" s="35">
        <v>13.7</v>
      </c>
      <c r="Z69" s="35">
        <v>998000000</v>
      </c>
      <c r="AA69" s="35">
        <v>15.2</v>
      </c>
      <c r="AB69" s="35">
        <v>962000000</v>
      </c>
      <c r="AC69" s="35">
        <v>13.3</v>
      </c>
      <c r="AD69" s="35">
        <v>996000000</v>
      </c>
      <c r="AE69" s="35">
        <v>6.47</v>
      </c>
      <c r="AF69" s="35">
        <v>1120000000</v>
      </c>
      <c r="AG69" s="35">
        <v>7.17</v>
      </c>
      <c r="AH69" s="35">
        <v>665000000</v>
      </c>
      <c r="AI69" s="35">
        <v>8.75</v>
      </c>
      <c r="AJ69" s="35">
        <v>1080000000</v>
      </c>
      <c r="AK69" s="35">
        <v>11.2</v>
      </c>
      <c r="AL69" s="35">
        <v>2110000000</v>
      </c>
      <c r="AM69" s="35">
        <v>17.899999999999999</v>
      </c>
      <c r="AN69" s="35">
        <v>875000000</v>
      </c>
      <c r="AO69" s="35">
        <v>6.64</v>
      </c>
      <c r="AP69" s="35">
        <v>977000000</v>
      </c>
      <c r="AQ69" s="35">
        <v>7.32</v>
      </c>
      <c r="AR69" s="35">
        <v>1290000000</v>
      </c>
      <c r="AS69" s="35">
        <v>9.98</v>
      </c>
      <c r="AT69" s="35">
        <v>969000000</v>
      </c>
      <c r="AU69" s="35">
        <v>16.5</v>
      </c>
      <c r="AV69" s="35">
        <v>944000000</v>
      </c>
      <c r="AW69" s="35">
        <v>10.5</v>
      </c>
      <c r="AX69" s="35">
        <v>1240000000</v>
      </c>
      <c r="AY69" s="35">
        <v>3.88</v>
      </c>
      <c r="AZ69" s="3"/>
      <c r="BA69" s="35">
        <v>1190000000</v>
      </c>
      <c r="BB69" s="35">
        <v>10.1</v>
      </c>
      <c r="BC69" s="35">
        <v>537000000</v>
      </c>
      <c r="BD69" s="35">
        <v>8.14</v>
      </c>
      <c r="BE69" s="35">
        <v>101000000</v>
      </c>
      <c r="BF69" s="35">
        <v>9.7200000000000006</v>
      </c>
      <c r="BG69" s="35">
        <v>50300000</v>
      </c>
      <c r="BH69" s="35">
        <v>5.73</v>
      </c>
      <c r="BI69" s="35">
        <v>49800000</v>
      </c>
      <c r="BJ69" s="35">
        <v>6.95</v>
      </c>
      <c r="BK69" s="3"/>
      <c r="BL69" s="35">
        <v>1440000000</v>
      </c>
      <c r="BM69" s="35">
        <v>4.9000000000000004</v>
      </c>
      <c r="BN69" s="35">
        <v>1170000000</v>
      </c>
      <c r="BO69" s="35">
        <v>2.99</v>
      </c>
      <c r="BP69" s="35">
        <v>1430000000</v>
      </c>
      <c r="BQ69" s="35">
        <v>3.18</v>
      </c>
      <c r="BR69" s="35">
        <v>1140000000</v>
      </c>
      <c r="BS69" s="35">
        <v>8.0500000000000007</v>
      </c>
      <c r="BT69" s="35">
        <v>1420000000</v>
      </c>
      <c r="BU69" s="35">
        <v>1.55</v>
      </c>
      <c r="BV69" s="35">
        <v>1320000000</v>
      </c>
      <c r="BW69" s="35">
        <v>8.31</v>
      </c>
      <c r="BX69" s="35">
        <v>1240000000</v>
      </c>
      <c r="BY69" s="35">
        <v>3.8</v>
      </c>
      <c r="BZ69" s="35">
        <v>1230000000</v>
      </c>
      <c r="CA69" s="35">
        <v>9.59</v>
      </c>
      <c r="CB69" s="35">
        <v>1030000000</v>
      </c>
      <c r="CC69" s="35">
        <v>8.1</v>
      </c>
      <c r="CD69" s="35">
        <v>1110000000</v>
      </c>
      <c r="CE69" s="35">
        <v>9.7899999999999991</v>
      </c>
      <c r="CF69" s="35">
        <v>1250000000</v>
      </c>
      <c r="CG69" s="35">
        <v>11.6</v>
      </c>
      <c r="CH69" s="35">
        <v>1200000000</v>
      </c>
      <c r="CI69" s="35">
        <v>8.75</v>
      </c>
      <c r="CJ69" s="35">
        <v>1250000000</v>
      </c>
      <c r="CK69" s="35">
        <v>8.2100000000000009</v>
      </c>
      <c r="CL69" s="35">
        <v>1510000000</v>
      </c>
      <c r="CM69" s="35">
        <v>11.1</v>
      </c>
      <c r="CN69" s="35">
        <v>1470000000</v>
      </c>
      <c r="CO69" s="35">
        <v>17.5</v>
      </c>
      <c r="CP69" s="3"/>
      <c r="CQ69" s="35">
        <v>1280000000</v>
      </c>
      <c r="CR69" s="35">
        <v>145000000</v>
      </c>
      <c r="CS69" s="45">
        <v>11.3</v>
      </c>
    </row>
    <row r="70" spans="1:97">
      <c r="A70" s="13" t="s">
        <v>191</v>
      </c>
      <c r="B70" s="36">
        <v>74200000</v>
      </c>
      <c r="C70" s="36">
        <v>11.6</v>
      </c>
      <c r="D70" s="36">
        <v>60300000</v>
      </c>
      <c r="E70" s="36">
        <v>11.7</v>
      </c>
      <c r="F70" s="36">
        <v>110000000</v>
      </c>
      <c r="G70" s="36">
        <v>9.59</v>
      </c>
      <c r="H70" s="36">
        <v>14900000</v>
      </c>
      <c r="I70" s="36">
        <v>13.9</v>
      </c>
      <c r="J70" s="36">
        <v>15700000</v>
      </c>
      <c r="K70" s="36">
        <v>6.28</v>
      </c>
      <c r="L70" s="36">
        <v>140000000</v>
      </c>
      <c r="M70" s="36">
        <v>10.3</v>
      </c>
      <c r="N70" s="36">
        <v>64100000</v>
      </c>
      <c r="O70" s="36">
        <v>4.4800000000000004</v>
      </c>
      <c r="P70" s="36">
        <v>72600000</v>
      </c>
      <c r="Q70" s="36">
        <v>7.64</v>
      </c>
      <c r="R70" s="36">
        <v>65500000</v>
      </c>
      <c r="S70" s="36">
        <v>6.46</v>
      </c>
      <c r="T70" s="36">
        <v>56400000</v>
      </c>
      <c r="U70" s="36">
        <v>6.97</v>
      </c>
      <c r="V70" s="36">
        <v>73400000</v>
      </c>
      <c r="W70" s="36">
        <v>6.33</v>
      </c>
      <c r="X70" s="36">
        <v>63500000</v>
      </c>
      <c r="Y70" s="36">
        <v>12.2</v>
      </c>
      <c r="Z70" s="36">
        <v>69000000</v>
      </c>
      <c r="AA70" s="36">
        <v>9.2899999999999991</v>
      </c>
      <c r="AB70" s="36">
        <v>67700000</v>
      </c>
      <c r="AC70" s="36">
        <v>5.61</v>
      </c>
      <c r="AD70" s="36">
        <v>87000000</v>
      </c>
      <c r="AE70" s="36">
        <v>5.72</v>
      </c>
      <c r="AF70" s="36">
        <v>92000000</v>
      </c>
      <c r="AG70" s="36">
        <v>8.06</v>
      </c>
      <c r="AH70" s="36">
        <v>43900000</v>
      </c>
      <c r="AI70" s="36">
        <v>3.72</v>
      </c>
      <c r="AJ70" s="36">
        <v>83400000</v>
      </c>
      <c r="AK70" s="36">
        <v>11.1</v>
      </c>
      <c r="AL70" s="36">
        <v>1500000</v>
      </c>
      <c r="AM70" s="36">
        <v>5.31</v>
      </c>
      <c r="AN70" s="36">
        <v>54300000</v>
      </c>
      <c r="AO70" s="36">
        <v>7.25</v>
      </c>
      <c r="AP70" s="36">
        <v>64400000</v>
      </c>
      <c r="AQ70" s="36">
        <v>7.47</v>
      </c>
      <c r="AR70" s="36">
        <v>61300000</v>
      </c>
      <c r="AS70" s="36">
        <v>10.3</v>
      </c>
      <c r="AT70" s="36">
        <v>62800000</v>
      </c>
      <c r="AU70" s="36">
        <v>6.84</v>
      </c>
      <c r="AV70" s="36">
        <v>60200000</v>
      </c>
      <c r="AW70" s="36">
        <v>7.38</v>
      </c>
      <c r="AX70" s="36">
        <v>80200000</v>
      </c>
      <c r="AY70" s="36">
        <v>3.12</v>
      </c>
      <c r="AZ70" s="5"/>
      <c r="BA70" s="36">
        <v>36400000</v>
      </c>
      <c r="BB70" s="36">
        <v>2.08</v>
      </c>
      <c r="BC70" s="36">
        <v>30600000</v>
      </c>
      <c r="BD70" s="36">
        <v>13.6</v>
      </c>
      <c r="BE70" s="36">
        <v>355000</v>
      </c>
      <c r="BF70" s="36">
        <v>13.6</v>
      </c>
      <c r="BG70" s="36">
        <v>298000</v>
      </c>
      <c r="BH70" s="36">
        <v>8.24</v>
      </c>
      <c r="BI70" s="36">
        <v>243000</v>
      </c>
      <c r="BJ70" s="36">
        <v>19.5</v>
      </c>
      <c r="BK70" s="5"/>
      <c r="BL70" s="36">
        <v>96600000</v>
      </c>
      <c r="BM70" s="36">
        <v>1.3</v>
      </c>
      <c r="BN70" s="36">
        <v>87600000</v>
      </c>
      <c r="BO70" s="36">
        <v>7.86</v>
      </c>
      <c r="BP70" s="36">
        <v>75900000</v>
      </c>
      <c r="BQ70" s="36">
        <v>3.99</v>
      </c>
      <c r="BR70" s="36">
        <v>77200000</v>
      </c>
      <c r="BS70" s="36">
        <v>13.9</v>
      </c>
      <c r="BT70" s="36">
        <v>78300000</v>
      </c>
      <c r="BU70" s="36">
        <v>13.1</v>
      </c>
      <c r="BV70" s="36">
        <v>71700000</v>
      </c>
      <c r="BW70" s="36">
        <v>12.3</v>
      </c>
      <c r="BX70" s="36">
        <v>67900000</v>
      </c>
      <c r="BY70" s="36">
        <v>5.12</v>
      </c>
      <c r="BZ70" s="36">
        <v>74100000</v>
      </c>
      <c r="CA70" s="36">
        <v>6.99</v>
      </c>
      <c r="CB70" s="36">
        <v>94600000</v>
      </c>
      <c r="CC70" s="36">
        <v>9.98</v>
      </c>
      <c r="CD70" s="36">
        <v>105000000</v>
      </c>
      <c r="CE70" s="36">
        <v>7.57</v>
      </c>
      <c r="CF70" s="36">
        <v>85600000</v>
      </c>
      <c r="CG70" s="36">
        <v>15.5</v>
      </c>
      <c r="CH70" s="36">
        <v>91100000</v>
      </c>
      <c r="CI70" s="36">
        <v>5.56</v>
      </c>
      <c r="CJ70" s="36">
        <v>93900000</v>
      </c>
      <c r="CK70" s="36">
        <v>7.98</v>
      </c>
      <c r="CL70" s="36">
        <v>89100000</v>
      </c>
      <c r="CM70" s="36">
        <v>5.67</v>
      </c>
      <c r="CN70" s="36">
        <v>77500000</v>
      </c>
      <c r="CO70" s="36">
        <v>6.89</v>
      </c>
      <c r="CP70" s="5"/>
      <c r="CQ70" s="36">
        <v>84400000</v>
      </c>
      <c r="CR70" s="36">
        <v>10700000</v>
      </c>
      <c r="CS70" s="46">
        <v>12.7</v>
      </c>
    </row>
    <row r="71" spans="1:97">
      <c r="A71" s="13" t="s">
        <v>192</v>
      </c>
      <c r="B71" s="35">
        <v>21800000</v>
      </c>
      <c r="C71" s="35">
        <v>9.1300000000000008</v>
      </c>
      <c r="D71" s="35">
        <v>25600000</v>
      </c>
      <c r="E71" s="35">
        <v>2</v>
      </c>
      <c r="F71" s="35">
        <v>29400000</v>
      </c>
      <c r="G71" s="35">
        <v>6.39</v>
      </c>
      <c r="H71" s="35">
        <v>22100000</v>
      </c>
      <c r="I71" s="35">
        <v>14</v>
      </c>
      <c r="J71" s="35">
        <v>22800000</v>
      </c>
      <c r="K71" s="35">
        <v>4.8499999999999996</v>
      </c>
      <c r="L71" s="35">
        <v>33900000</v>
      </c>
      <c r="M71" s="35">
        <v>12.8</v>
      </c>
      <c r="N71" s="35">
        <v>26000000</v>
      </c>
      <c r="O71" s="35">
        <v>7.18</v>
      </c>
      <c r="P71" s="35">
        <v>21800000</v>
      </c>
      <c r="Q71" s="35">
        <v>5.96</v>
      </c>
      <c r="R71" s="35">
        <v>30600000</v>
      </c>
      <c r="S71" s="35">
        <v>15.1</v>
      </c>
      <c r="T71" s="35">
        <v>18400000</v>
      </c>
      <c r="U71" s="35">
        <v>8.34</v>
      </c>
      <c r="V71" s="35">
        <v>21400000</v>
      </c>
      <c r="W71" s="35">
        <v>4.5999999999999996</v>
      </c>
      <c r="X71" s="35">
        <v>17300000</v>
      </c>
      <c r="Y71" s="35">
        <v>10.5</v>
      </c>
      <c r="Z71" s="35">
        <v>20400000</v>
      </c>
      <c r="AA71" s="35">
        <v>6.38</v>
      </c>
      <c r="AB71" s="35">
        <v>19700000</v>
      </c>
      <c r="AC71" s="35">
        <v>7.07</v>
      </c>
      <c r="AD71" s="35">
        <v>19700000</v>
      </c>
      <c r="AE71" s="35">
        <v>5</v>
      </c>
      <c r="AF71" s="35">
        <v>22100000</v>
      </c>
      <c r="AG71" s="35">
        <v>13.6</v>
      </c>
      <c r="AH71" s="35">
        <v>28500000</v>
      </c>
      <c r="AI71" s="35">
        <v>7.98</v>
      </c>
      <c r="AJ71" s="35">
        <v>28200000</v>
      </c>
      <c r="AK71" s="35">
        <v>11.6</v>
      </c>
      <c r="AL71" s="35">
        <v>38500000</v>
      </c>
      <c r="AM71" s="35">
        <v>10.7</v>
      </c>
      <c r="AN71" s="35">
        <v>21400000</v>
      </c>
      <c r="AO71" s="35">
        <v>17.8</v>
      </c>
      <c r="AP71" s="35">
        <v>24100000</v>
      </c>
      <c r="AQ71" s="35">
        <v>10.1</v>
      </c>
      <c r="AR71" s="35">
        <v>25800000</v>
      </c>
      <c r="AS71" s="35">
        <v>9.06</v>
      </c>
      <c r="AT71" s="35">
        <v>22300000</v>
      </c>
      <c r="AU71" s="35">
        <v>14.4</v>
      </c>
      <c r="AV71" s="35">
        <v>21900000</v>
      </c>
      <c r="AW71" s="35">
        <v>8.39</v>
      </c>
      <c r="AX71" s="35">
        <v>22100000</v>
      </c>
      <c r="AY71" s="35">
        <v>4.68</v>
      </c>
      <c r="AZ71" s="3"/>
      <c r="BA71" s="35">
        <v>22100000</v>
      </c>
      <c r="BB71" s="35">
        <v>14.6</v>
      </c>
      <c r="BC71" s="35">
        <v>23800000</v>
      </c>
      <c r="BD71" s="35">
        <v>13.6</v>
      </c>
      <c r="BE71" s="35">
        <v>28100000</v>
      </c>
      <c r="BF71" s="35">
        <v>5.9</v>
      </c>
      <c r="BG71" s="35">
        <v>25300000</v>
      </c>
      <c r="BH71" s="35">
        <v>10.9</v>
      </c>
      <c r="BI71" s="35">
        <v>28400000</v>
      </c>
      <c r="BJ71" s="35">
        <v>12.7</v>
      </c>
      <c r="BK71" s="3"/>
      <c r="BL71" s="35">
        <v>191000000</v>
      </c>
      <c r="BM71" s="35">
        <v>7.27</v>
      </c>
      <c r="BN71" s="35">
        <v>197000000</v>
      </c>
      <c r="BO71" s="35">
        <v>5.63</v>
      </c>
      <c r="BP71" s="35">
        <v>26900000</v>
      </c>
      <c r="BQ71" s="35">
        <v>3.83</v>
      </c>
      <c r="BR71" s="35">
        <v>25700000</v>
      </c>
      <c r="BS71" s="35">
        <v>17.2</v>
      </c>
      <c r="BT71" s="35">
        <v>24000000</v>
      </c>
      <c r="BU71" s="35">
        <v>6.25</v>
      </c>
      <c r="BV71" s="35">
        <v>17400000</v>
      </c>
      <c r="BW71" s="35">
        <v>11</v>
      </c>
      <c r="BX71" s="35">
        <v>23400000</v>
      </c>
      <c r="BY71" s="35">
        <v>5.38</v>
      </c>
      <c r="BZ71" s="35">
        <v>26200000</v>
      </c>
      <c r="CA71" s="35">
        <v>4.6100000000000003</v>
      </c>
      <c r="CB71" s="35">
        <v>21500000</v>
      </c>
      <c r="CC71" s="35">
        <v>7.14</v>
      </c>
      <c r="CD71" s="35">
        <v>28300000</v>
      </c>
      <c r="CE71" s="35">
        <v>11</v>
      </c>
      <c r="CF71" s="35">
        <v>33900000</v>
      </c>
      <c r="CG71" s="35">
        <v>2.97</v>
      </c>
      <c r="CH71" s="35">
        <v>39000000</v>
      </c>
      <c r="CI71" s="35">
        <v>5.85</v>
      </c>
      <c r="CJ71" s="35">
        <v>43700000</v>
      </c>
      <c r="CK71" s="35">
        <v>8.2100000000000009</v>
      </c>
      <c r="CL71" s="35">
        <v>25400000</v>
      </c>
      <c r="CM71" s="35">
        <v>11.7</v>
      </c>
      <c r="CN71" s="35">
        <v>23700000</v>
      </c>
      <c r="CO71" s="35">
        <v>8.66</v>
      </c>
      <c r="CP71" s="3"/>
      <c r="CQ71" s="35">
        <v>49800000</v>
      </c>
      <c r="CR71" s="35">
        <v>59000000</v>
      </c>
      <c r="CS71" s="45">
        <v>118</v>
      </c>
    </row>
    <row r="72" spans="1:97">
      <c r="A72" s="13" t="s">
        <v>193</v>
      </c>
      <c r="B72" s="36">
        <v>54200000</v>
      </c>
      <c r="C72" s="36">
        <v>12.2</v>
      </c>
      <c r="D72" s="36">
        <v>55800000</v>
      </c>
      <c r="E72" s="36">
        <v>12.9</v>
      </c>
      <c r="F72" s="36">
        <v>45400000</v>
      </c>
      <c r="G72" s="36">
        <v>9.02</v>
      </c>
      <c r="H72" s="36">
        <v>40400000</v>
      </c>
      <c r="I72" s="36">
        <v>11.4</v>
      </c>
      <c r="J72" s="36">
        <v>46300000</v>
      </c>
      <c r="K72" s="36">
        <v>7.38</v>
      </c>
      <c r="L72" s="36">
        <v>39700000</v>
      </c>
      <c r="M72" s="36">
        <v>12.5</v>
      </c>
      <c r="N72" s="36">
        <v>54100000</v>
      </c>
      <c r="O72" s="36">
        <v>9.06</v>
      </c>
      <c r="P72" s="36">
        <v>50900000</v>
      </c>
      <c r="Q72" s="36">
        <v>9.31</v>
      </c>
      <c r="R72" s="36">
        <v>55600000</v>
      </c>
      <c r="S72" s="36">
        <v>13.1</v>
      </c>
      <c r="T72" s="36">
        <v>54400000</v>
      </c>
      <c r="U72" s="36">
        <v>6.26</v>
      </c>
      <c r="V72" s="36">
        <v>51100000</v>
      </c>
      <c r="W72" s="36">
        <v>14</v>
      </c>
      <c r="X72" s="36">
        <v>55000000</v>
      </c>
      <c r="Y72" s="36">
        <v>13.3</v>
      </c>
      <c r="Z72" s="36">
        <v>49700000</v>
      </c>
      <c r="AA72" s="36">
        <v>20.8</v>
      </c>
      <c r="AB72" s="36">
        <v>51700000</v>
      </c>
      <c r="AC72" s="36">
        <v>14</v>
      </c>
      <c r="AD72" s="36">
        <v>56600000</v>
      </c>
      <c r="AE72" s="36">
        <v>9.8000000000000007</v>
      </c>
      <c r="AF72" s="36">
        <v>57000000</v>
      </c>
      <c r="AG72" s="36">
        <v>11.1</v>
      </c>
      <c r="AH72" s="36">
        <v>39400000</v>
      </c>
      <c r="AI72" s="36">
        <v>6.66</v>
      </c>
      <c r="AJ72" s="36">
        <v>51500000</v>
      </c>
      <c r="AK72" s="36">
        <v>11.3</v>
      </c>
      <c r="AL72" s="36">
        <v>54500000</v>
      </c>
      <c r="AM72" s="36">
        <v>2.4</v>
      </c>
      <c r="AN72" s="36">
        <v>59800000</v>
      </c>
      <c r="AO72" s="36">
        <v>9.19</v>
      </c>
      <c r="AP72" s="36">
        <v>50200000</v>
      </c>
      <c r="AQ72" s="36">
        <v>19.2</v>
      </c>
      <c r="AR72" s="36">
        <v>57300000</v>
      </c>
      <c r="AS72" s="36">
        <v>5.17</v>
      </c>
      <c r="AT72" s="36">
        <v>51400000</v>
      </c>
      <c r="AU72" s="36">
        <v>8.09</v>
      </c>
      <c r="AV72" s="36">
        <v>48200000</v>
      </c>
      <c r="AW72" s="36">
        <v>9.2200000000000006</v>
      </c>
      <c r="AX72" s="36">
        <v>62100000</v>
      </c>
      <c r="AY72" s="36">
        <v>6.05</v>
      </c>
      <c r="AZ72" s="5"/>
      <c r="BA72" s="36">
        <v>56400000</v>
      </c>
      <c r="BB72" s="36">
        <v>10.6</v>
      </c>
      <c r="BC72" s="36">
        <v>50800000</v>
      </c>
      <c r="BD72" s="36">
        <v>16.5</v>
      </c>
      <c r="BE72" s="36">
        <v>49800000</v>
      </c>
      <c r="BF72" s="36">
        <v>7.04</v>
      </c>
      <c r="BG72" s="36">
        <v>39900000</v>
      </c>
      <c r="BH72" s="36">
        <v>9.18</v>
      </c>
      <c r="BI72" s="36">
        <v>43200000</v>
      </c>
      <c r="BJ72" s="36">
        <v>11.2</v>
      </c>
      <c r="BK72" s="5"/>
      <c r="BL72" s="36">
        <v>75000000</v>
      </c>
      <c r="BM72" s="36">
        <v>9.83</v>
      </c>
      <c r="BN72" s="36">
        <v>63000000</v>
      </c>
      <c r="BO72" s="36">
        <v>9.1</v>
      </c>
      <c r="BP72" s="36">
        <v>79100000</v>
      </c>
      <c r="BQ72" s="36">
        <v>7.55</v>
      </c>
      <c r="BR72" s="36">
        <v>70600000</v>
      </c>
      <c r="BS72" s="36">
        <v>11</v>
      </c>
      <c r="BT72" s="36">
        <v>67900000</v>
      </c>
      <c r="BU72" s="36">
        <v>3.41</v>
      </c>
      <c r="BV72" s="36">
        <v>65200000</v>
      </c>
      <c r="BW72" s="36">
        <v>12.1</v>
      </c>
      <c r="BX72" s="36">
        <v>68400000</v>
      </c>
      <c r="BY72" s="36">
        <v>7.28</v>
      </c>
      <c r="BZ72" s="36">
        <v>55100000</v>
      </c>
      <c r="CA72" s="36">
        <v>12.2</v>
      </c>
      <c r="CB72" s="36">
        <v>59600000</v>
      </c>
      <c r="CC72" s="36">
        <v>10.5</v>
      </c>
      <c r="CD72" s="36">
        <v>79700000</v>
      </c>
      <c r="CE72" s="36">
        <v>11.1</v>
      </c>
      <c r="CF72" s="36">
        <v>109000000</v>
      </c>
      <c r="CG72" s="36">
        <v>12.8</v>
      </c>
      <c r="CH72" s="36">
        <v>97400000</v>
      </c>
      <c r="CI72" s="36">
        <v>9</v>
      </c>
      <c r="CJ72" s="36">
        <v>61500000</v>
      </c>
      <c r="CK72" s="36">
        <v>11.9</v>
      </c>
      <c r="CL72" s="36">
        <v>67800000</v>
      </c>
      <c r="CM72" s="36">
        <v>11</v>
      </c>
      <c r="CN72" s="36">
        <v>61900000</v>
      </c>
      <c r="CO72" s="36">
        <v>9.2100000000000009</v>
      </c>
      <c r="CP72" s="5"/>
      <c r="CQ72" s="36">
        <v>72000000</v>
      </c>
      <c r="CR72" s="36">
        <v>14500000</v>
      </c>
      <c r="CS72" s="46">
        <v>20.100000000000001</v>
      </c>
    </row>
    <row r="73" spans="1:97">
      <c r="A73" s="13" t="s">
        <v>194</v>
      </c>
      <c r="B73" s="35">
        <v>17300000</v>
      </c>
      <c r="C73" s="35">
        <v>10.1</v>
      </c>
      <c r="D73" s="35">
        <v>13100000</v>
      </c>
      <c r="E73" s="35">
        <v>15.7</v>
      </c>
      <c r="F73" s="35">
        <v>19600000</v>
      </c>
      <c r="G73" s="35">
        <v>13.7</v>
      </c>
      <c r="H73" s="35">
        <v>15500000</v>
      </c>
      <c r="I73" s="35">
        <v>17.100000000000001</v>
      </c>
      <c r="J73" s="35">
        <v>15500000</v>
      </c>
      <c r="K73" s="35">
        <v>8.8000000000000007</v>
      </c>
      <c r="L73" s="35">
        <v>19900000</v>
      </c>
      <c r="M73" s="35">
        <v>7.1</v>
      </c>
      <c r="N73" s="35">
        <v>17400000</v>
      </c>
      <c r="O73" s="35">
        <v>10.3</v>
      </c>
      <c r="P73" s="35">
        <v>14000000</v>
      </c>
      <c r="Q73" s="35">
        <v>9.81</v>
      </c>
      <c r="R73" s="35">
        <v>19400000</v>
      </c>
      <c r="S73" s="35">
        <v>16.2</v>
      </c>
      <c r="T73" s="35">
        <v>15800000</v>
      </c>
      <c r="U73" s="35">
        <v>8.52</v>
      </c>
      <c r="V73" s="35">
        <v>15700000</v>
      </c>
      <c r="W73" s="35">
        <v>14.2</v>
      </c>
      <c r="X73" s="35">
        <v>12300000</v>
      </c>
      <c r="Y73" s="35">
        <v>9.7799999999999994</v>
      </c>
      <c r="Z73" s="35">
        <v>14800000</v>
      </c>
      <c r="AA73" s="35">
        <v>9.6300000000000008</v>
      </c>
      <c r="AB73" s="35">
        <v>14700000</v>
      </c>
      <c r="AC73" s="35">
        <v>4.5599999999999996</v>
      </c>
      <c r="AD73" s="35">
        <v>16300000</v>
      </c>
      <c r="AE73" s="35">
        <v>12.6</v>
      </c>
      <c r="AF73" s="35">
        <v>15500000</v>
      </c>
      <c r="AG73" s="35">
        <v>2.9</v>
      </c>
      <c r="AH73" s="35">
        <v>21300000</v>
      </c>
      <c r="AI73" s="35">
        <v>8.93</v>
      </c>
      <c r="AJ73" s="35">
        <v>14300000</v>
      </c>
      <c r="AK73" s="35">
        <v>10.4</v>
      </c>
      <c r="AL73" s="35">
        <v>32800000</v>
      </c>
      <c r="AM73" s="35">
        <v>8.3000000000000007</v>
      </c>
      <c r="AN73" s="35">
        <v>22100000</v>
      </c>
      <c r="AO73" s="35">
        <v>3.02</v>
      </c>
      <c r="AP73" s="35">
        <v>15100000</v>
      </c>
      <c r="AQ73" s="35">
        <v>14.4</v>
      </c>
      <c r="AR73" s="35">
        <v>20700000</v>
      </c>
      <c r="AS73" s="35">
        <v>18.100000000000001</v>
      </c>
      <c r="AT73" s="35">
        <v>15300000</v>
      </c>
      <c r="AU73" s="35">
        <v>10.4</v>
      </c>
      <c r="AV73" s="35">
        <v>15900000</v>
      </c>
      <c r="AW73" s="35">
        <v>10.199999999999999</v>
      </c>
      <c r="AX73" s="35">
        <v>16400000</v>
      </c>
      <c r="AY73" s="35">
        <v>7.51</v>
      </c>
      <c r="AZ73" s="3"/>
      <c r="BA73" s="35">
        <v>24100000</v>
      </c>
      <c r="BB73" s="35">
        <v>7.97</v>
      </c>
      <c r="BC73" s="35">
        <v>12400000</v>
      </c>
      <c r="BD73" s="35">
        <v>7</v>
      </c>
      <c r="BE73" s="35">
        <v>9150000</v>
      </c>
      <c r="BF73" s="35">
        <v>10.8</v>
      </c>
      <c r="BG73" s="35">
        <v>11700000</v>
      </c>
      <c r="BH73" s="35">
        <v>9.69</v>
      </c>
      <c r="BI73" s="35">
        <v>10100000</v>
      </c>
      <c r="BJ73" s="35">
        <v>9.09</v>
      </c>
      <c r="BK73" s="3"/>
      <c r="BL73" s="35">
        <v>28200000</v>
      </c>
      <c r="BM73" s="35">
        <v>4.9400000000000004</v>
      </c>
      <c r="BN73" s="35">
        <v>25300000</v>
      </c>
      <c r="BO73" s="35">
        <v>13</v>
      </c>
      <c r="BP73" s="35">
        <v>17000000</v>
      </c>
      <c r="BQ73" s="35">
        <v>4.37</v>
      </c>
      <c r="BR73" s="35">
        <v>21000000</v>
      </c>
      <c r="BS73" s="35">
        <v>21.3</v>
      </c>
      <c r="BT73" s="35">
        <v>19600000</v>
      </c>
      <c r="BU73" s="35">
        <v>7.67</v>
      </c>
      <c r="BV73" s="35">
        <v>13500000</v>
      </c>
      <c r="BW73" s="35">
        <v>6.56</v>
      </c>
      <c r="BX73" s="35">
        <v>14700000</v>
      </c>
      <c r="BY73" s="35">
        <v>9.7100000000000009</v>
      </c>
      <c r="BZ73" s="35">
        <v>11900000</v>
      </c>
      <c r="CA73" s="35">
        <v>9.49</v>
      </c>
      <c r="CB73" s="35">
        <v>14100000</v>
      </c>
      <c r="CC73" s="35">
        <v>10.6</v>
      </c>
      <c r="CD73" s="35">
        <v>14400000</v>
      </c>
      <c r="CE73" s="35">
        <v>8</v>
      </c>
      <c r="CF73" s="35">
        <v>21300000</v>
      </c>
      <c r="CG73" s="35">
        <v>21.2</v>
      </c>
      <c r="CH73" s="35">
        <v>12800000</v>
      </c>
      <c r="CI73" s="35">
        <v>9.17</v>
      </c>
      <c r="CJ73" s="35">
        <v>15300000</v>
      </c>
      <c r="CK73" s="35">
        <v>6.89</v>
      </c>
      <c r="CL73" s="35">
        <v>15400000</v>
      </c>
      <c r="CM73" s="35">
        <v>19.399999999999999</v>
      </c>
      <c r="CN73" s="35">
        <v>16000000</v>
      </c>
      <c r="CO73" s="35">
        <v>11.6</v>
      </c>
      <c r="CP73" s="3"/>
      <c r="CQ73" s="35">
        <v>17400000</v>
      </c>
      <c r="CR73" s="35">
        <v>4750000</v>
      </c>
      <c r="CS73" s="45">
        <v>27.3</v>
      </c>
    </row>
    <row r="74" spans="1:97">
      <c r="A74" s="13" t="s">
        <v>195</v>
      </c>
      <c r="B74" s="36">
        <v>73800000</v>
      </c>
      <c r="C74" s="36">
        <v>10.7</v>
      </c>
      <c r="D74" s="36">
        <v>64600000</v>
      </c>
      <c r="E74" s="36">
        <v>7.44</v>
      </c>
      <c r="F74" s="36">
        <v>196000000</v>
      </c>
      <c r="G74" s="36">
        <v>10</v>
      </c>
      <c r="H74" s="36">
        <v>110000000</v>
      </c>
      <c r="I74" s="36">
        <v>11.7</v>
      </c>
      <c r="J74" s="36">
        <v>98300000</v>
      </c>
      <c r="K74" s="36">
        <v>7.45</v>
      </c>
      <c r="L74" s="36">
        <v>110000000</v>
      </c>
      <c r="M74" s="36">
        <v>7.32</v>
      </c>
      <c r="N74" s="36">
        <v>132000000</v>
      </c>
      <c r="O74" s="36">
        <v>5.86</v>
      </c>
      <c r="P74" s="36">
        <v>117000000</v>
      </c>
      <c r="Q74" s="36">
        <v>10.199999999999999</v>
      </c>
      <c r="R74" s="36">
        <v>146000000</v>
      </c>
      <c r="S74" s="36">
        <v>11.3</v>
      </c>
      <c r="T74" s="36">
        <v>50300000</v>
      </c>
      <c r="U74" s="36">
        <v>5.77</v>
      </c>
      <c r="V74" s="36">
        <v>104000000</v>
      </c>
      <c r="W74" s="36">
        <v>6.61</v>
      </c>
      <c r="X74" s="36">
        <v>87200000</v>
      </c>
      <c r="Y74" s="36">
        <v>11.9</v>
      </c>
      <c r="Z74" s="36">
        <v>88900000</v>
      </c>
      <c r="AA74" s="36">
        <v>18.100000000000001</v>
      </c>
      <c r="AB74" s="36">
        <v>85700000</v>
      </c>
      <c r="AC74" s="36">
        <v>12</v>
      </c>
      <c r="AD74" s="36">
        <v>78500000</v>
      </c>
      <c r="AE74" s="36">
        <v>13.3</v>
      </c>
      <c r="AF74" s="36">
        <v>110000000</v>
      </c>
      <c r="AG74" s="36">
        <v>9</v>
      </c>
      <c r="AH74" s="36">
        <v>51000000</v>
      </c>
      <c r="AI74" s="36">
        <v>8.89</v>
      </c>
      <c r="AJ74" s="36">
        <v>95400000</v>
      </c>
      <c r="AK74" s="36">
        <v>13.2</v>
      </c>
      <c r="AL74" s="36">
        <v>124000000</v>
      </c>
      <c r="AM74" s="36">
        <v>5.53</v>
      </c>
      <c r="AN74" s="36">
        <v>86900000</v>
      </c>
      <c r="AO74" s="36">
        <v>8.94</v>
      </c>
      <c r="AP74" s="36">
        <v>68400000</v>
      </c>
      <c r="AQ74" s="36">
        <v>15.4</v>
      </c>
      <c r="AR74" s="36">
        <v>142000000</v>
      </c>
      <c r="AS74" s="36">
        <v>7.25</v>
      </c>
      <c r="AT74" s="36">
        <v>73000000</v>
      </c>
      <c r="AU74" s="36">
        <v>6.71</v>
      </c>
      <c r="AV74" s="36">
        <v>72800000</v>
      </c>
      <c r="AW74" s="36">
        <v>8.4600000000000009</v>
      </c>
      <c r="AX74" s="36">
        <v>115000000</v>
      </c>
      <c r="AY74" s="36">
        <v>8.43</v>
      </c>
      <c r="AZ74" s="5"/>
      <c r="BA74" s="36">
        <v>179000000</v>
      </c>
      <c r="BB74" s="36">
        <v>9.16</v>
      </c>
      <c r="BC74" s="36">
        <v>51700000</v>
      </c>
      <c r="BD74" s="36">
        <v>15.7</v>
      </c>
      <c r="BE74" s="36">
        <v>58300000</v>
      </c>
      <c r="BF74" s="36">
        <v>8.69</v>
      </c>
      <c r="BG74" s="36">
        <v>63200000</v>
      </c>
      <c r="BH74" s="36">
        <v>6.26</v>
      </c>
      <c r="BI74" s="36">
        <v>81200000</v>
      </c>
      <c r="BJ74" s="36">
        <v>10.9</v>
      </c>
      <c r="BK74" s="5"/>
      <c r="BL74" s="36">
        <v>176000000</v>
      </c>
      <c r="BM74" s="36">
        <v>9.56</v>
      </c>
      <c r="BN74" s="36">
        <v>139000000</v>
      </c>
      <c r="BO74" s="36">
        <v>7.99</v>
      </c>
      <c r="BP74" s="36">
        <v>161000000</v>
      </c>
      <c r="BQ74" s="36">
        <v>13.6</v>
      </c>
      <c r="BR74" s="36">
        <v>128000000</v>
      </c>
      <c r="BS74" s="36">
        <v>9.85</v>
      </c>
      <c r="BT74" s="36">
        <v>111000000</v>
      </c>
      <c r="BU74" s="36">
        <v>2.17</v>
      </c>
      <c r="BV74" s="36">
        <v>97100000</v>
      </c>
      <c r="BW74" s="36">
        <v>15.7</v>
      </c>
      <c r="BX74" s="36">
        <v>88100000</v>
      </c>
      <c r="BY74" s="36">
        <v>11.2</v>
      </c>
      <c r="BZ74" s="36">
        <v>106000000</v>
      </c>
      <c r="CA74" s="36">
        <v>3.98</v>
      </c>
      <c r="CB74" s="36">
        <v>112000000</v>
      </c>
      <c r="CC74" s="36">
        <v>12.3</v>
      </c>
      <c r="CD74" s="36">
        <v>118000000</v>
      </c>
      <c r="CE74" s="36">
        <v>8.7899999999999991</v>
      </c>
      <c r="CF74" s="36">
        <v>117000000</v>
      </c>
      <c r="CG74" s="36">
        <v>13.4</v>
      </c>
      <c r="CH74" s="36">
        <v>119000000</v>
      </c>
      <c r="CI74" s="36">
        <v>15.5</v>
      </c>
      <c r="CJ74" s="36">
        <v>87800000</v>
      </c>
      <c r="CK74" s="36">
        <v>9.5399999999999991</v>
      </c>
      <c r="CL74" s="36">
        <v>155000000</v>
      </c>
      <c r="CM74" s="36">
        <v>11.6</v>
      </c>
      <c r="CN74" s="36">
        <v>101000000</v>
      </c>
      <c r="CO74" s="36">
        <v>11.8</v>
      </c>
      <c r="CP74" s="5"/>
      <c r="CQ74" s="36">
        <v>121000000</v>
      </c>
      <c r="CR74" s="36">
        <v>26400000</v>
      </c>
      <c r="CS74" s="46">
        <v>21.8</v>
      </c>
    </row>
    <row r="75" spans="1:97">
      <c r="A75" s="13" t="s">
        <v>196</v>
      </c>
      <c r="B75" s="35">
        <v>17500000</v>
      </c>
      <c r="C75" s="35">
        <v>12.2</v>
      </c>
      <c r="D75" s="35">
        <v>22100000</v>
      </c>
      <c r="E75" s="35">
        <v>7.48</v>
      </c>
      <c r="F75" s="35">
        <v>22000000</v>
      </c>
      <c r="G75" s="35">
        <v>9.18</v>
      </c>
      <c r="H75" s="35">
        <v>31300000</v>
      </c>
      <c r="I75" s="35">
        <v>6.12</v>
      </c>
      <c r="J75" s="35">
        <v>32300000</v>
      </c>
      <c r="K75" s="35">
        <v>8.1300000000000008</v>
      </c>
      <c r="L75" s="35">
        <v>29800000</v>
      </c>
      <c r="M75" s="35">
        <v>9.09</v>
      </c>
      <c r="N75" s="35">
        <v>21500000</v>
      </c>
      <c r="O75" s="35">
        <v>9.44</v>
      </c>
      <c r="P75" s="35">
        <v>24700000</v>
      </c>
      <c r="Q75" s="35">
        <v>6.96</v>
      </c>
      <c r="R75" s="35">
        <v>23700000</v>
      </c>
      <c r="S75" s="35">
        <v>9.4600000000000009</v>
      </c>
      <c r="T75" s="35">
        <v>18300000</v>
      </c>
      <c r="U75" s="35">
        <v>10.5</v>
      </c>
      <c r="V75" s="35">
        <v>19500000</v>
      </c>
      <c r="W75" s="35">
        <v>9.14</v>
      </c>
      <c r="X75" s="35">
        <v>17600000</v>
      </c>
      <c r="Y75" s="35">
        <v>11.8</v>
      </c>
      <c r="Z75" s="35">
        <v>20500000</v>
      </c>
      <c r="AA75" s="35">
        <v>19.3</v>
      </c>
      <c r="AB75" s="35">
        <v>20800000</v>
      </c>
      <c r="AC75" s="35">
        <v>11.7</v>
      </c>
      <c r="AD75" s="35">
        <v>18300000</v>
      </c>
      <c r="AE75" s="35">
        <v>9.4700000000000006</v>
      </c>
      <c r="AF75" s="35">
        <v>16600000</v>
      </c>
      <c r="AG75" s="35">
        <v>7.36</v>
      </c>
      <c r="AH75" s="35">
        <v>32600000</v>
      </c>
      <c r="AI75" s="35">
        <v>7.46</v>
      </c>
      <c r="AJ75" s="35">
        <v>13400000</v>
      </c>
      <c r="AK75" s="35">
        <v>10.3</v>
      </c>
      <c r="AL75" s="35">
        <v>72900000</v>
      </c>
      <c r="AM75" s="35">
        <v>6.31</v>
      </c>
      <c r="AN75" s="35">
        <v>17800000</v>
      </c>
      <c r="AO75" s="35">
        <v>10.9</v>
      </c>
      <c r="AP75" s="35">
        <v>20100000</v>
      </c>
      <c r="AQ75" s="35">
        <v>11.1</v>
      </c>
      <c r="AR75" s="35">
        <v>16400000</v>
      </c>
      <c r="AS75" s="35">
        <v>9.07</v>
      </c>
      <c r="AT75" s="35">
        <v>21200000</v>
      </c>
      <c r="AU75" s="35">
        <v>5.44</v>
      </c>
      <c r="AV75" s="35">
        <v>21000000</v>
      </c>
      <c r="AW75" s="35">
        <v>8.31</v>
      </c>
      <c r="AX75" s="35">
        <v>17700000</v>
      </c>
      <c r="AY75" s="35">
        <v>5.29</v>
      </c>
      <c r="AZ75" s="3"/>
      <c r="BA75" s="35">
        <v>16500000</v>
      </c>
      <c r="BB75" s="35">
        <v>7.37</v>
      </c>
      <c r="BC75" s="35">
        <v>24600000</v>
      </c>
      <c r="BD75" s="35">
        <v>5.97</v>
      </c>
      <c r="BE75" s="35">
        <v>39300000</v>
      </c>
      <c r="BF75" s="35">
        <v>8.98</v>
      </c>
      <c r="BG75" s="35">
        <v>31200000</v>
      </c>
      <c r="BH75" s="35">
        <v>7.96</v>
      </c>
      <c r="BI75" s="35">
        <v>36100000</v>
      </c>
      <c r="BJ75" s="35">
        <v>13</v>
      </c>
      <c r="BK75" s="3"/>
      <c r="BL75" s="35">
        <v>26000000</v>
      </c>
      <c r="BM75" s="35">
        <v>2.93</v>
      </c>
      <c r="BN75" s="35">
        <v>16800000</v>
      </c>
      <c r="BO75" s="35">
        <v>5.39</v>
      </c>
      <c r="BP75" s="35">
        <v>22900000</v>
      </c>
      <c r="BQ75" s="35">
        <v>2.12</v>
      </c>
      <c r="BR75" s="35">
        <v>17200000</v>
      </c>
      <c r="BS75" s="35">
        <v>15.5</v>
      </c>
      <c r="BT75" s="35">
        <v>20100000</v>
      </c>
      <c r="BU75" s="35">
        <v>9.15</v>
      </c>
      <c r="BV75" s="35">
        <v>14200000</v>
      </c>
      <c r="BW75" s="35">
        <v>11.4</v>
      </c>
      <c r="BX75" s="35">
        <v>13000000</v>
      </c>
      <c r="BY75" s="35">
        <v>6.1</v>
      </c>
      <c r="BZ75" s="35">
        <v>25000000</v>
      </c>
      <c r="CA75" s="35">
        <v>6.9</v>
      </c>
      <c r="CB75" s="35">
        <v>20200000</v>
      </c>
      <c r="CC75" s="35">
        <v>16</v>
      </c>
      <c r="CD75" s="35">
        <v>15700000</v>
      </c>
      <c r="CE75" s="35">
        <v>14.4</v>
      </c>
      <c r="CF75" s="35">
        <v>18500000</v>
      </c>
      <c r="CG75" s="35">
        <v>6.46</v>
      </c>
      <c r="CH75" s="35">
        <v>19700000</v>
      </c>
      <c r="CI75" s="35">
        <v>16.8</v>
      </c>
      <c r="CJ75" s="35">
        <v>12500000</v>
      </c>
      <c r="CK75" s="35">
        <v>7.24</v>
      </c>
      <c r="CL75" s="35">
        <v>19400000</v>
      </c>
      <c r="CM75" s="35">
        <v>3.92</v>
      </c>
      <c r="CN75" s="35">
        <v>20500000</v>
      </c>
      <c r="CO75" s="35">
        <v>10.9</v>
      </c>
      <c r="CP75" s="3"/>
      <c r="CQ75" s="35">
        <v>18800000</v>
      </c>
      <c r="CR75" s="35">
        <v>4020000</v>
      </c>
      <c r="CS75" s="45">
        <v>21.4</v>
      </c>
    </row>
    <row r="76" spans="1:97">
      <c r="A76" s="13" t="s">
        <v>197</v>
      </c>
      <c r="B76" s="36">
        <v>405000000</v>
      </c>
      <c r="C76" s="36">
        <v>10.8</v>
      </c>
      <c r="D76" s="36">
        <v>377000000</v>
      </c>
      <c r="E76" s="36">
        <v>5.94</v>
      </c>
      <c r="F76" s="36">
        <v>547000000</v>
      </c>
      <c r="G76" s="36">
        <v>8.27</v>
      </c>
      <c r="H76" s="36">
        <v>526000000</v>
      </c>
      <c r="I76" s="36">
        <v>5.59</v>
      </c>
      <c r="J76" s="36">
        <v>472000000</v>
      </c>
      <c r="K76" s="36">
        <v>18.5</v>
      </c>
      <c r="L76" s="36">
        <v>471000000</v>
      </c>
      <c r="M76" s="36">
        <v>12.4</v>
      </c>
      <c r="N76" s="36">
        <v>392000000</v>
      </c>
      <c r="O76" s="36">
        <v>8.25</v>
      </c>
      <c r="P76" s="36">
        <v>477000000</v>
      </c>
      <c r="Q76" s="36">
        <v>7.85</v>
      </c>
      <c r="R76" s="36">
        <v>515000000</v>
      </c>
      <c r="S76" s="36">
        <v>8.68</v>
      </c>
      <c r="T76" s="36">
        <v>414000000</v>
      </c>
      <c r="U76" s="36">
        <v>5.08</v>
      </c>
      <c r="V76" s="36">
        <v>383000000</v>
      </c>
      <c r="W76" s="36">
        <v>8.59</v>
      </c>
      <c r="X76" s="36">
        <v>435000000</v>
      </c>
      <c r="Y76" s="36">
        <v>10.6</v>
      </c>
      <c r="Z76" s="36">
        <v>485000000</v>
      </c>
      <c r="AA76" s="36">
        <v>15.1</v>
      </c>
      <c r="AB76" s="36">
        <v>436000000</v>
      </c>
      <c r="AC76" s="36">
        <v>4.2</v>
      </c>
      <c r="AD76" s="36">
        <v>421000000</v>
      </c>
      <c r="AE76" s="36">
        <v>9.66</v>
      </c>
      <c r="AF76" s="36">
        <v>539000000</v>
      </c>
      <c r="AG76" s="36">
        <v>4.97</v>
      </c>
      <c r="AH76" s="36">
        <v>435000000</v>
      </c>
      <c r="AI76" s="36">
        <v>8.98</v>
      </c>
      <c r="AJ76" s="36">
        <v>419000000</v>
      </c>
      <c r="AK76" s="36">
        <v>10.9</v>
      </c>
      <c r="AL76" s="36">
        <v>503000000</v>
      </c>
      <c r="AM76" s="36">
        <v>4.7699999999999996</v>
      </c>
      <c r="AN76" s="36">
        <v>454000000</v>
      </c>
      <c r="AO76" s="36">
        <v>3.9</v>
      </c>
      <c r="AP76" s="36">
        <v>405000000</v>
      </c>
      <c r="AQ76" s="36">
        <v>11.7</v>
      </c>
      <c r="AR76" s="36">
        <v>435000000</v>
      </c>
      <c r="AS76" s="36">
        <v>5.75</v>
      </c>
      <c r="AT76" s="36">
        <v>385000000</v>
      </c>
      <c r="AU76" s="36">
        <v>5.01</v>
      </c>
      <c r="AV76" s="36">
        <v>374000000</v>
      </c>
      <c r="AW76" s="36">
        <v>6</v>
      </c>
      <c r="AX76" s="36">
        <v>442000000</v>
      </c>
      <c r="AY76" s="36">
        <v>4.45</v>
      </c>
      <c r="AZ76" s="5"/>
      <c r="BA76" s="36">
        <v>602000000</v>
      </c>
      <c r="BB76" s="36">
        <v>7.35</v>
      </c>
      <c r="BC76" s="36">
        <v>422000000</v>
      </c>
      <c r="BD76" s="36">
        <v>7.88</v>
      </c>
      <c r="BE76" s="36">
        <v>644000000</v>
      </c>
      <c r="BF76" s="36">
        <v>4.1500000000000004</v>
      </c>
      <c r="BG76" s="36">
        <v>489000000</v>
      </c>
      <c r="BH76" s="36">
        <v>8.51</v>
      </c>
      <c r="BI76" s="36">
        <v>613000000</v>
      </c>
      <c r="BJ76" s="36">
        <v>9.19</v>
      </c>
      <c r="BK76" s="5"/>
      <c r="BL76" s="36">
        <v>443000000</v>
      </c>
      <c r="BM76" s="36">
        <v>7.29</v>
      </c>
      <c r="BN76" s="36">
        <v>350000000</v>
      </c>
      <c r="BO76" s="36">
        <v>6.04</v>
      </c>
      <c r="BP76" s="36">
        <v>427000000</v>
      </c>
      <c r="BQ76" s="36">
        <v>5.66</v>
      </c>
      <c r="BR76" s="36">
        <v>423000000</v>
      </c>
      <c r="BS76" s="36">
        <v>13</v>
      </c>
      <c r="BT76" s="36">
        <v>434000000</v>
      </c>
      <c r="BU76" s="36">
        <v>9.33</v>
      </c>
      <c r="BV76" s="36">
        <v>510000000</v>
      </c>
      <c r="BW76" s="36">
        <v>4.9400000000000004</v>
      </c>
      <c r="BX76" s="36">
        <v>424000000</v>
      </c>
      <c r="BY76" s="36">
        <v>4.95</v>
      </c>
      <c r="BZ76" s="36">
        <v>652000000</v>
      </c>
      <c r="CA76" s="36">
        <v>7.1</v>
      </c>
      <c r="CB76" s="36">
        <v>520000000</v>
      </c>
      <c r="CC76" s="36">
        <v>13.1</v>
      </c>
      <c r="CD76" s="36">
        <v>373000000</v>
      </c>
      <c r="CE76" s="36">
        <v>6.36</v>
      </c>
      <c r="CF76" s="36">
        <v>439000000</v>
      </c>
      <c r="CG76" s="36">
        <v>7.07</v>
      </c>
      <c r="CH76" s="36">
        <v>468000000</v>
      </c>
      <c r="CI76" s="36">
        <v>8.41</v>
      </c>
      <c r="CJ76" s="36">
        <v>397000000</v>
      </c>
      <c r="CK76" s="36">
        <v>7.89</v>
      </c>
      <c r="CL76" s="36">
        <v>490000000</v>
      </c>
      <c r="CM76" s="36">
        <v>8.6999999999999993</v>
      </c>
      <c r="CN76" s="36">
        <v>514000000</v>
      </c>
      <c r="CO76" s="36">
        <v>11.2</v>
      </c>
      <c r="CP76" s="5"/>
      <c r="CQ76" s="36">
        <v>458000000</v>
      </c>
      <c r="CR76" s="36">
        <v>73500000</v>
      </c>
      <c r="CS76" s="46">
        <v>16.100000000000001</v>
      </c>
    </row>
    <row r="77" spans="1:97">
      <c r="A77" s="13" t="s">
        <v>198</v>
      </c>
      <c r="B77" s="35">
        <v>908000</v>
      </c>
      <c r="C77" s="35">
        <v>13.7</v>
      </c>
      <c r="D77" s="35">
        <v>1090000</v>
      </c>
      <c r="E77" s="35">
        <v>12</v>
      </c>
      <c r="F77" s="35">
        <v>1070000</v>
      </c>
      <c r="G77" s="35">
        <v>11.5</v>
      </c>
      <c r="H77" s="35">
        <v>799000</v>
      </c>
      <c r="I77" s="35">
        <v>14.3</v>
      </c>
      <c r="J77" s="35">
        <v>1020000</v>
      </c>
      <c r="K77" s="35">
        <v>17.5</v>
      </c>
      <c r="L77" s="35">
        <v>1220000</v>
      </c>
      <c r="M77" s="35">
        <v>12.5</v>
      </c>
      <c r="N77" s="35">
        <v>968000</v>
      </c>
      <c r="O77" s="35">
        <v>12.3</v>
      </c>
      <c r="P77" s="35">
        <v>983000</v>
      </c>
      <c r="Q77" s="35">
        <v>9.14</v>
      </c>
      <c r="R77" s="35">
        <v>1040000</v>
      </c>
      <c r="S77" s="35">
        <v>17.2</v>
      </c>
      <c r="T77" s="35">
        <v>1180000</v>
      </c>
      <c r="U77" s="35">
        <v>8.57</v>
      </c>
      <c r="V77" s="35">
        <v>890000</v>
      </c>
      <c r="W77" s="35">
        <v>5.72</v>
      </c>
      <c r="X77" s="35">
        <v>822000</v>
      </c>
      <c r="Y77" s="35">
        <v>11.6</v>
      </c>
      <c r="Z77" s="35">
        <v>819000</v>
      </c>
      <c r="AA77" s="35">
        <v>16.2</v>
      </c>
      <c r="AB77" s="35">
        <v>731000</v>
      </c>
      <c r="AC77" s="35">
        <v>18.2</v>
      </c>
      <c r="AD77" s="35">
        <v>882000</v>
      </c>
      <c r="AE77" s="35">
        <v>5.95</v>
      </c>
      <c r="AF77" s="35">
        <v>1190000</v>
      </c>
      <c r="AG77" s="35">
        <v>8.41</v>
      </c>
      <c r="AH77" s="35">
        <v>986000</v>
      </c>
      <c r="AI77" s="35">
        <v>11.4</v>
      </c>
      <c r="AJ77" s="35">
        <v>725000</v>
      </c>
      <c r="AK77" s="35">
        <v>9.33</v>
      </c>
      <c r="AL77" s="35">
        <v>1660000</v>
      </c>
      <c r="AM77" s="35">
        <v>3.52</v>
      </c>
      <c r="AN77" s="35">
        <v>1390000</v>
      </c>
      <c r="AO77" s="35">
        <v>8.4700000000000006</v>
      </c>
      <c r="AP77" s="35">
        <v>1020000</v>
      </c>
      <c r="AQ77" s="35">
        <v>20</v>
      </c>
      <c r="AR77" s="35">
        <v>1230000</v>
      </c>
      <c r="AS77" s="35">
        <v>9.49</v>
      </c>
      <c r="AT77" s="35">
        <v>824000</v>
      </c>
      <c r="AU77" s="35">
        <v>7.01</v>
      </c>
      <c r="AV77" s="35">
        <v>1000000</v>
      </c>
      <c r="AW77" s="35">
        <v>8.7799999999999994</v>
      </c>
      <c r="AX77" s="35">
        <v>1160000</v>
      </c>
      <c r="AY77" s="35">
        <v>7.25</v>
      </c>
      <c r="AZ77" s="3"/>
      <c r="BA77" s="35">
        <v>1230000</v>
      </c>
      <c r="BB77" s="35">
        <v>9.11</v>
      </c>
      <c r="BC77" s="35">
        <v>744000</v>
      </c>
      <c r="BD77" s="35">
        <v>11.6</v>
      </c>
      <c r="BE77" s="35">
        <v>782000</v>
      </c>
      <c r="BF77" s="35">
        <v>5.0599999999999996</v>
      </c>
      <c r="BG77" s="35">
        <v>663000</v>
      </c>
      <c r="BH77" s="35">
        <v>11.5</v>
      </c>
      <c r="BI77" s="35">
        <v>832000</v>
      </c>
      <c r="BJ77" s="35">
        <v>12.7</v>
      </c>
      <c r="BK77" s="3"/>
      <c r="BL77" s="35">
        <v>1000000</v>
      </c>
      <c r="BM77" s="35">
        <v>4.16</v>
      </c>
      <c r="BN77" s="35">
        <v>962000</v>
      </c>
      <c r="BO77" s="35">
        <v>3.85</v>
      </c>
      <c r="BP77" s="35">
        <v>1420000</v>
      </c>
      <c r="BQ77" s="35">
        <v>7.25</v>
      </c>
      <c r="BR77" s="35">
        <v>1180000</v>
      </c>
      <c r="BS77" s="35">
        <v>5.88</v>
      </c>
      <c r="BT77" s="35">
        <v>1440000</v>
      </c>
      <c r="BU77" s="35">
        <v>7.26</v>
      </c>
      <c r="BV77" s="35">
        <v>1130000</v>
      </c>
      <c r="BW77" s="35">
        <v>21.1</v>
      </c>
      <c r="BX77" s="35">
        <v>1040000</v>
      </c>
      <c r="BY77" s="35">
        <v>6.67</v>
      </c>
      <c r="BZ77" s="35">
        <v>1220000</v>
      </c>
      <c r="CA77" s="35">
        <v>12.5</v>
      </c>
      <c r="CB77" s="35">
        <v>1320000</v>
      </c>
      <c r="CC77" s="35">
        <v>12.3</v>
      </c>
      <c r="CD77" s="35">
        <v>1170000</v>
      </c>
      <c r="CE77" s="35">
        <v>13</v>
      </c>
      <c r="CF77" s="35">
        <v>1390000</v>
      </c>
      <c r="CG77" s="35">
        <v>12.4</v>
      </c>
      <c r="CH77" s="35">
        <v>1320000</v>
      </c>
      <c r="CI77" s="35">
        <v>13.1</v>
      </c>
      <c r="CJ77" s="35">
        <v>1110000</v>
      </c>
      <c r="CK77" s="35">
        <v>9.19</v>
      </c>
      <c r="CL77" s="35">
        <v>1610000</v>
      </c>
      <c r="CM77" s="35">
        <v>8.48</v>
      </c>
      <c r="CN77" s="35">
        <v>1780000</v>
      </c>
      <c r="CO77" s="35">
        <v>13.5</v>
      </c>
      <c r="CP77" s="3"/>
      <c r="CQ77" s="35">
        <v>1270000</v>
      </c>
      <c r="CR77" s="35">
        <v>228000</v>
      </c>
      <c r="CS77" s="45">
        <v>18</v>
      </c>
    </row>
    <row r="78" spans="1:97">
      <c r="A78" s="13" t="s">
        <v>199</v>
      </c>
      <c r="B78" s="36">
        <v>1090000</v>
      </c>
      <c r="C78" s="36">
        <v>14.4</v>
      </c>
      <c r="D78" s="36">
        <v>1150000</v>
      </c>
      <c r="E78" s="36">
        <v>7.19</v>
      </c>
      <c r="F78" s="36">
        <v>935000</v>
      </c>
      <c r="G78" s="36">
        <v>9.2799999999999994</v>
      </c>
      <c r="H78" s="36">
        <v>830000</v>
      </c>
      <c r="I78" s="36">
        <v>12.2</v>
      </c>
      <c r="J78" s="36">
        <v>963000</v>
      </c>
      <c r="K78" s="36">
        <v>16.100000000000001</v>
      </c>
      <c r="L78" s="36">
        <v>1170000</v>
      </c>
      <c r="M78" s="36">
        <v>13.2</v>
      </c>
      <c r="N78" s="36">
        <v>1050000</v>
      </c>
      <c r="O78" s="36">
        <v>13</v>
      </c>
      <c r="P78" s="36">
        <v>1060000</v>
      </c>
      <c r="Q78" s="36">
        <v>5.68</v>
      </c>
      <c r="R78" s="36">
        <v>1280000</v>
      </c>
      <c r="S78" s="36">
        <v>14.9</v>
      </c>
      <c r="T78" s="36">
        <v>1440000</v>
      </c>
      <c r="U78" s="36">
        <v>10.5</v>
      </c>
      <c r="V78" s="36">
        <v>821000</v>
      </c>
      <c r="W78" s="36">
        <v>13.6</v>
      </c>
      <c r="X78" s="36">
        <v>775000</v>
      </c>
      <c r="Y78" s="36">
        <v>13.3</v>
      </c>
      <c r="Z78" s="36">
        <v>834000</v>
      </c>
      <c r="AA78" s="36">
        <v>15.3</v>
      </c>
      <c r="AB78" s="36">
        <v>917000</v>
      </c>
      <c r="AC78" s="36">
        <v>10.3</v>
      </c>
      <c r="AD78" s="36">
        <v>928000</v>
      </c>
      <c r="AE78" s="36">
        <v>4.99</v>
      </c>
      <c r="AF78" s="36">
        <v>1070000</v>
      </c>
      <c r="AG78" s="36">
        <v>8.9499999999999993</v>
      </c>
      <c r="AH78" s="36">
        <v>948000</v>
      </c>
      <c r="AI78" s="36">
        <v>8.3000000000000007</v>
      </c>
      <c r="AJ78" s="36">
        <v>855000</v>
      </c>
      <c r="AK78" s="36">
        <v>11.7</v>
      </c>
      <c r="AL78" s="36">
        <v>1180000</v>
      </c>
      <c r="AM78" s="36">
        <v>16.100000000000001</v>
      </c>
      <c r="AN78" s="36">
        <v>941000</v>
      </c>
      <c r="AO78" s="36">
        <v>10.4</v>
      </c>
      <c r="AP78" s="36">
        <v>1010000</v>
      </c>
      <c r="AQ78" s="36">
        <v>13.8</v>
      </c>
      <c r="AR78" s="36">
        <v>1460000</v>
      </c>
      <c r="AS78" s="36">
        <v>8.18</v>
      </c>
      <c r="AT78" s="36">
        <v>966000</v>
      </c>
      <c r="AU78" s="36">
        <v>9.39</v>
      </c>
      <c r="AV78" s="36">
        <v>1070000</v>
      </c>
      <c r="AW78" s="36">
        <v>4.87</v>
      </c>
      <c r="AX78" s="36">
        <v>1290000</v>
      </c>
      <c r="AY78" s="36">
        <v>9.77</v>
      </c>
      <c r="AZ78" s="5"/>
      <c r="BA78" s="36">
        <v>1340000</v>
      </c>
      <c r="BB78" s="36">
        <v>8.09</v>
      </c>
      <c r="BC78" s="36">
        <v>787000</v>
      </c>
      <c r="BD78" s="36">
        <v>6.38</v>
      </c>
      <c r="BE78" s="36">
        <v>772000</v>
      </c>
      <c r="BF78" s="36">
        <v>2.6</v>
      </c>
      <c r="BG78" s="36">
        <v>740000</v>
      </c>
      <c r="BH78" s="36">
        <v>7.61</v>
      </c>
      <c r="BI78" s="36">
        <v>764000</v>
      </c>
      <c r="BJ78" s="36">
        <v>15.6</v>
      </c>
      <c r="BK78" s="5"/>
      <c r="BL78" s="36">
        <v>996000</v>
      </c>
      <c r="BM78" s="36">
        <v>5.89</v>
      </c>
      <c r="BN78" s="36">
        <v>823000</v>
      </c>
      <c r="BO78" s="36">
        <v>4.97</v>
      </c>
      <c r="BP78" s="36">
        <v>1320000</v>
      </c>
      <c r="BQ78" s="36">
        <v>4.93</v>
      </c>
      <c r="BR78" s="36">
        <v>1020000</v>
      </c>
      <c r="BS78" s="36">
        <v>7.35</v>
      </c>
      <c r="BT78" s="36">
        <v>1340000</v>
      </c>
      <c r="BU78" s="36">
        <v>8.31</v>
      </c>
      <c r="BV78" s="36">
        <v>1310000</v>
      </c>
      <c r="BW78" s="36">
        <v>14.2</v>
      </c>
      <c r="BX78" s="36">
        <v>1050000</v>
      </c>
      <c r="BY78" s="36">
        <v>7.23</v>
      </c>
      <c r="BZ78" s="36">
        <v>1260000</v>
      </c>
      <c r="CA78" s="36">
        <v>11.1</v>
      </c>
      <c r="CB78" s="36">
        <v>1110000</v>
      </c>
      <c r="CC78" s="36">
        <v>18.2</v>
      </c>
      <c r="CD78" s="36">
        <v>1090000</v>
      </c>
      <c r="CE78" s="36">
        <v>15.5</v>
      </c>
      <c r="CF78" s="36">
        <v>1320000</v>
      </c>
      <c r="CG78" s="36">
        <v>11.3</v>
      </c>
      <c r="CH78" s="36">
        <v>1030000</v>
      </c>
      <c r="CI78" s="36">
        <v>7.59</v>
      </c>
      <c r="CJ78" s="36">
        <v>947000</v>
      </c>
      <c r="CK78" s="36">
        <v>11.8</v>
      </c>
      <c r="CL78" s="36">
        <v>1420000</v>
      </c>
      <c r="CM78" s="36">
        <v>9.2899999999999991</v>
      </c>
      <c r="CN78" s="36">
        <v>1510000</v>
      </c>
      <c r="CO78" s="36">
        <v>15.3</v>
      </c>
      <c r="CP78" s="5"/>
      <c r="CQ78" s="36">
        <v>1170000</v>
      </c>
      <c r="CR78" s="36">
        <v>198000</v>
      </c>
      <c r="CS78" s="46">
        <v>16.899999999999999</v>
      </c>
    </row>
    <row r="79" spans="1:97">
      <c r="A79" s="13" t="s">
        <v>200</v>
      </c>
      <c r="B79" s="35">
        <v>172000000</v>
      </c>
      <c r="C79" s="35">
        <v>13.9</v>
      </c>
      <c r="D79" s="35">
        <v>119000000</v>
      </c>
      <c r="E79" s="35">
        <v>9.52</v>
      </c>
      <c r="F79" s="35">
        <v>185000000</v>
      </c>
      <c r="G79" s="35">
        <v>8.92</v>
      </c>
      <c r="H79" s="35">
        <v>239000000</v>
      </c>
      <c r="I79" s="35">
        <v>6.31</v>
      </c>
      <c r="J79" s="35">
        <v>246000000</v>
      </c>
      <c r="K79" s="35">
        <v>6.99</v>
      </c>
      <c r="L79" s="35">
        <v>197000000</v>
      </c>
      <c r="M79" s="35">
        <v>14.5</v>
      </c>
      <c r="N79" s="35">
        <v>146000000</v>
      </c>
      <c r="O79" s="35">
        <v>10.7</v>
      </c>
      <c r="P79" s="35">
        <v>177000000</v>
      </c>
      <c r="Q79" s="35">
        <v>5.42</v>
      </c>
      <c r="R79" s="35">
        <v>225000000</v>
      </c>
      <c r="S79" s="35">
        <v>13.7</v>
      </c>
      <c r="T79" s="35">
        <v>147000000</v>
      </c>
      <c r="U79" s="35">
        <v>7.72</v>
      </c>
      <c r="V79" s="35">
        <v>154000000</v>
      </c>
      <c r="W79" s="35">
        <v>9.14</v>
      </c>
      <c r="X79" s="35">
        <v>169000000</v>
      </c>
      <c r="Y79" s="35">
        <v>13.5</v>
      </c>
      <c r="Z79" s="35">
        <v>170000000</v>
      </c>
      <c r="AA79" s="35">
        <v>20.8</v>
      </c>
      <c r="AB79" s="35">
        <v>150000000</v>
      </c>
      <c r="AC79" s="35">
        <v>13</v>
      </c>
      <c r="AD79" s="35">
        <v>164000000</v>
      </c>
      <c r="AE79" s="35">
        <v>5.33</v>
      </c>
      <c r="AF79" s="35">
        <v>240000000</v>
      </c>
      <c r="AG79" s="35">
        <v>7.19</v>
      </c>
      <c r="AH79" s="35">
        <v>143000000</v>
      </c>
      <c r="AI79" s="35">
        <v>4.5199999999999996</v>
      </c>
      <c r="AJ79" s="35">
        <v>147000000</v>
      </c>
      <c r="AK79" s="35">
        <v>8.23</v>
      </c>
      <c r="AL79" s="35">
        <v>373000000</v>
      </c>
      <c r="AM79" s="35">
        <v>3.63</v>
      </c>
      <c r="AN79" s="35">
        <v>187000000</v>
      </c>
      <c r="AO79" s="35">
        <v>12.2</v>
      </c>
      <c r="AP79" s="35">
        <v>140000000</v>
      </c>
      <c r="AQ79" s="35">
        <v>11.7</v>
      </c>
      <c r="AR79" s="35">
        <v>205000000</v>
      </c>
      <c r="AS79" s="35">
        <v>7.84</v>
      </c>
      <c r="AT79" s="35">
        <v>157000000</v>
      </c>
      <c r="AU79" s="35">
        <v>9.6999999999999993</v>
      </c>
      <c r="AV79" s="35">
        <v>151000000</v>
      </c>
      <c r="AW79" s="35">
        <v>4.5599999999999996</v>
      </c>
      <c r="AX79" s="35">
        <v>196000000</v>
      </c>
      <c r="AY79" s="35">
        <v>10.9</v>
      </c>
      <c r="AZ79" s="3"/>
      <c r="BA79" s="35">
        <v>234000000</v>
      </c>
      <c r="BB79" s="35">
        <v>7.82</v>
      </c>
      <c r="BC79" s="35">
        <v>165000000</v>
      </c>
      <c r="BD79" s="35">
        <v>10.199999999999999</v>
      </c>
      <c r="BE79" s="35">
        <v>289000000</v>
      </c>
      <c r="BF79" s="35">
        <v>6.52</v>
      </c>
      <c r="BG79" s="35">
        <v>353000000</v>
      </c>
      <c r="BH79" s="35">
        <v>9.2899999999999991</v>
      </c>
      <c r="BI79" s="35">
        <v>290000000</v>
      </c>
      <c r="BJ79" s="35">
        <v>6.58</v>
      </c>
      <c r="BK79" s="3"/>
      <c r="BL79" s="35">
        <v>216000000</v>
      </c>
      <c r="BM79" s="35">
        <v>5.71</v>
      </c>
      <c r="BN79" s="35">
        <v>172000000</v>
      </c>
      <c r="BO79" s="35">
        <v>15.1</v>
      </c>
      <c r="BP79" s="35">
        <v>300000000</v>
      </c>
      <c r="BQ79" s="35">
        <v>6.92</v>
      </c>
      <c r="BR79" s="35">
        <v>241000000</v>
      </c>
      <c r="BS79" s="35">
        <v>8.65</v>
      </c>
      <c r="BT79" s="35">
        <v>239000000</v>
      </c>
      <c r="BU79" s="35">
        <v>2.66</v>
      </c>
      <c r="BV79" s="35">
        <v>248000000</v>
      </c>
      <c r="BW79" s="35">
        <v>11.3</v>
      </c>
      <c r="BX79" s="35">
        <v>200000000</v>
      </c>
      <c r="BY79" s="35">
        <v>6.95</v>
      </c>
      <c r="BZ79" s="35">
        <v>263000000</v>
      </c>
      <c r="CA79" s="35">
        <v>8.56</v>
      </c>
      <c r="CB79" s="35">
        <v>191000000</v>
      </c>
      <c r="CC79" s="35">
        <v>15.8</v>
      </c>
      <c r="CD79" s="35">
        <v>163000000</v>
      </c>
      <c r="CE79" s="35">
        <v>8.23</v>
      </c>
      <c r="CF79" s="35">
        <v>218000000</v>
      </c>
      <c r="CG79" s="35">
        <v>3.03</v>
      </c>
      <c r="CH79" s="35">
        <v>188000000</v>
      </c>
      <c r="CI79" s="35">
        <v>6.21</v>
      </c>
      <c r="CJ79" s="35">
        <v>191000000</v>
      </c>
      <c r="CK79" s="35">
        <v>3.69</v>
      </c>
      <c r="CL79" s="35">
        <v>289000000</v>
      </c>
      <c r="CM79" s="35">
        <v>7.16</v>
      </c>
      <c r="CN79" s="35">
        <v>340000000</v>
      </c>
      <c r="CO79" s="35">
        <v>10.4</v>
      </c>
      <c r="CP79" s="3"/>
      <c r="CQ79" s="35">
        <v>231000000</v>
      </c>
      <c r="CR79" s="35">
        <v>50700000</v>
      </c>
      <c r="CS79" s="45">
        <v>22</v>
      </c>
    </row>
    <row r="80" spans="1:97">
      <c r="A80" s="13" t="s">
        <v>201</v>
      </c>
      <c r="B80" s="36">
        <v>28800000</v>
      </c>
      <c r="C80" s="36">
        <v>12.7</v>
      </c>
      <c r="D80" s="36">
        <v>29200000</v>
      </c>
      <c r="E80" s="36">
        <v>9.5299999999999994</v>
      </c>
      <c r="F80" s="36">
        <v>36000000</v>
      </c>
      <c r="G80" s="36">
        <v>18.899999999999999</v>
      </c>
      <c r="H80" s="36">
        <v>26900000</v>
      </c>
      <c r="I80" s="36">
        <v>12.6</v>
      </c>
      <c r="J80" s="36">
        <v>22200000</v>
      </c>
      <c r="K80" s="36">
        <v>7.32</v>
      </c>
      <c r="L80" s="36">
        <v>32400000</v>
      </c>
      <c r="M80" s="36">
        <v>16.3</v>
      </c>
      <c r="N80" s="36">
        <v>28100000</v>
      </c>
      <c r="O80" s="36">
        <v>13.4</v>
      </c>
      <c r="P80" s="36">
        <v>32400000</v>
      </c>
      <c r="Q80" s="36">
        <v>8.2799999999999994</v>
      </c>
      <c r="R80" s="36">
        <v>39800000</v>
      </c>
      <c r="S80" s="36">
        <v>11.1</v>
      </c>
      <c r="T80" s="36">
        <v>29000000</v>
      </c>
      <c r="U80" s="36">
        <v>10.5</v>
      </c>
      <c r="V80" s="36">
        <v>23700000</v>
      </c>
      <c r="W80" s="36">
        <v>12.2</v>
      </c>
      <c r="X80" s="36">
        <v>24900000</v>
      </c>
      <c r="Y80" s="36">
        <v>10.6</v>
      </c>
      <c r="Z80" s="36">
        <v>26100000</v>
      </c>
      <c r="AA80" s="36">
        <v>15.3</v>
      </c>
      <c r="AB80" s="36">
        <v>26700000</v>
      </c>
      <c r="AC80" s="36">
        <v>8.7899999999999991</v>
      </c>
      <c r="AD80" s="36">
        <v>28300000</v>
      </c>
      <c r="AE80" s="36">
        <v>4.83</v>
      </c>
      <c r="AF80" s="36">
        <v>28300000</v>
      </c>
      <c r="AG80" s="36">
        <v>6.05</v>
      </c>
      <c r="AH80" s="36">
        <v>28800000</v>
      </c>
      <c r="AI80" s="36">
        <v>13.5</v>
      </c>
      <c r="AJ80" s="36">
        <v>22100000</v>
      </c>
      <c r="AK80" s="36">
        <v>8.5500000000000007</v>
      </c>
      <c r="AL80" s="36">
        <v>28000000</v>
      </c>
      <c r="AM80" s="36">
        <v>17.600000000000001</v>
      </c>
      <c r="AN80" s="36">
        <v>26800000</v>
      </c>
      <c r="AO80" s="36">
        <v>14.7</v>
      </c>
      <c r="AP80" s="36">
        <v>27800000</v>
      </c>
      <c r="AQ80" s="36">
        <v>10.4</v>
      </c>
      <c r="AR80" s="36">
        <v>26300000</v>
      </c>
      <c r="AS80" s="36">
        <v>11.1</v>
      </c>
      <c r="AT80" s="36">
        <v>26000000</v>
      </c>
      <c r="AU80" s="36">
        <v>8.0299999999999994</v>
      </c>
      <c r="AV80" s="36">
        <v>25500000</v>
      </c>
      <c r="AW80" s="36">
        <v>9.51</v>
      </c>
      <c r="AX80" s="36">
        <v>30400000</v>
      </c>
      <c r="AY80" s="36">
        <v>7.91</v>
      </c>
      <c r="AZ80" s="5"/>
      <c r="BA80" s="36">
        <v>29500000</v>
      </c>
      <c r="BB80" s="36">
        <v>5.81</v>
      </c>
      <c r="BC80" s="36">
        <v>29100000</v>
      </c>
      <c r="BD80" s="36">
        <v>13.9</v>
      </c>
      <c r="BE80" s="36">
        <v>40600000</v>
      </c>
      <c r="BF80" s="36">
        <v>8.0299999999999994</v>
      </c>
      <c r="BG80" s="36">
        <v>32600000</v>
      </c>
      <c r="BH80" s="36">
        <v>7.26</v>
      </c>
      <c r="BI80" s="36">
        <v>30500000</v>
      </c>
      <c r="BJ80" s="36">
        <v>12.7</v>
      </c>
      <c r="BK80" s="5"/>
      <c r="BL80" s="36">
        <v>31300000</v>
      </c>
      <c r="BM80" s="36">
        <v>6.39</v>
      </c>
      <c r="BN80" s="36">
        <v>24300000</v>
      </c>
      <c r="BO80" s="36">
        <v>0.35599999999999998</v>
      </c>
      <c r="BP80" s="36">
        <v>43600000</v>
      </c>
      <c r="BQ80" s="36">
        <v>3.22</v>
      </c>
      <c r="BR80" s="36">
        <v>32100000</v>
      </c>
      <c r="BS80" s="36">
        <v>18.899999999999999</v>
      </c>
      <c r="BT80" s="36">
        <v>37900000</v>
      </c>
      <c r="BU80" s="36">
        <v>7.2</v>
      </c>
      <c r="BV80" s="36">
        <v>35600000</v>
      </c>
      <c r="BW80" s="36">
        <v>12.6</v>
      </c>
      <c r="BX80" s="36">
        <v>29700000</v>
      </c>
      <c r="BY80" s="36">
        <v>6.43</v>
      </c>
      <c r="BZ80" s="36">
        <v>31800000</v>
      </c>
      <c r="CA80" s="36">
        <v>6.99</v>
      </c>
      <c r="CB80" s="36">
        <v>32400000</v>
      </c>
      <c r="CC80" s="36">
        <v>11.3</v>
      </c>
      <c r="CD80" s="36">
        <v>26400000</v>
      </c>
      <c r="CE80" s="36">
        <v>13.9</v>
      </c>
      <c r="CF80" s="36">
        <v>31900000</v>
      </c>
      <c r="CG80" s="36">
        <v>13.6</v>
      </c>
      <c r="CH80" s="36">
        <v>33000000</v>
      </c>
      <c r="CI80" s="36">
        <v>9.5</v>
      </c>
      <c r="CJ80" s="36">
        <v>28600000</v>
      </c>
      <c r="CK80" s="36">
        <v>4.82</v>
      </c>
      <c r="CL80" s="36">
        <v>33300000</v>
      </c>
      <c r="CM80" s="36">
        <v>18</v>
      </c>
      <c r="CN80" s="36">
        <v>33600000</v>
      </c>
      <c r="CO80" s="36">
        <v>4.13</v>
      </c>
      <c r="CP80" s="5"/>
      <c r="CQ80" s="36">
        <v>32400000</v>
      </c>
      <c r="CR80" s="36">
        <v>4570000</v>
      </c>
      <c r="CS80" s="46">
        <v>14.1</v>
      </c>
    </row>
    <row r="81" spans="1:97">
      <c r="A81" s="13" t="s">
        <v>202</v>
      </c>
      <c r="B81" s="35">
        <v>87000000</v>
      </c>
      <c r="C81" s="35">
        <v>9.8699999999999992</v>
      </c>
      <c r="D81" s="35">
        <v>74800000</v>
      </c>
      <c r="E81" s="35">
        <v>7.87</v>
      </c>
      <c r="F81" s="35">
        <v>105000000</v>
      </c>
      <c r="G81" s="35">
        <v>5.56</v>
      </c>
      <c r="H81" s="35">
        <v>63200000</v>
      </c>
      <c r="I81" s="35">
        <v>4.43</v>
      </c>
      <c r="J81" s="35">
        <v>68000000</v>
      </c>
      <c r="K81" s="35">
        <v>5.68</v>
      </c>
      <c r="L81" s="35">
        <v>100000000</v>
      </c>
      <c r="M81" s="35">
        <v>10.9</v>
      </c>
      <c r="N81" s="35">
        <v>87900000</v>
      </c>
      <c r="O81" s="35">
        <v>9.2799999999999994</v>
      </c>
      <c r="P81" s="35">
        <v>84700000</v>
      </c>
      <c r="Q81" s="35">
        <v>7.94</v>
      </c>
      <c r="R81" s="35">
        <v>110000000</v>
      </c>
      <c r="S81" s="35">
        <v>14.1</v>
      </c>
      <c r="T81" s="35">
        <v>83200000</v>
      </c>
      <c r="U81" s="35">
        <v>3.17</v>
      </c>
      <c r="V81" s="35">
        <v>85400000</v>
      </c>
      <c r="W81" s="35">
        <v>7.06</v>
      </c>
      <c r="X81" s="35">
        <v>93500000</v>
      </c>
      <c r="Y81" s="35">
        <v>11</v>
      </c>
      <c r="Z81" s="35">
        <v>85000000</v>
      </c>
      <c r="AA81" s="35">
        <v>14.9</v>
      </c>
      <c r="AB81" s="35">
        <v>90400000</v>
      </c>
      <c r="AC81" s="35">
        <v>10.9</v>
      </c>
      <c r="AD81" s="35">
        <v>92100000</v>
      </c>
      <c r="AE81" s="35">
        <v>4.45</v>
      </c>
      <c r="AF81" s="35">
        <v>111000000</v>
      </c>
      <c r="AG81" s="35">
        <v>7.6</v>
      </c>
      <c r="AH81" s="35">
        <v>79700000</v>
      </c>
      <c r="AI81" s="35">
        <v>12.9</v>
      </c>
      <c r="AJ81" s="35">
        <v>93100000</v>
      </c>
      <c r="AK81" s="35">
        <v>12.7</v>
      </c>
      <c r="AL81" s="35">
        <v>207000000</v>
      </c>
      <c r="AM81" s="35">
        <v>3.11</v>
      </c>
      <c r="AN81" s="35">
        <v>102000000</v>
      </c>
      <c r="AO81" s="35">
        <v>5.26</v>
      </c>
      <c r="AP81" s="35">
        <v>91400000</v>
      </c>
      <c r="AQ81" s="35">
        <v>17.600000000000001</v>
      </c>
      <c r="AR81" s="35">
        <v>98000000</v>
      </c>
      <c r="AS81" s="35">
        <v>12.7</v>
      </c>
      <c r="AT81" s="35">
        <v>90300000</v>
      </c>
      <c r="AU81" s="35">
        <v>8.4499999999999993</v>
      </c>
      <c r="AV81" s="35">
        <v>87500000</v>
      </c>
      <c r="AW81" s="35">
        <v>11.3</v>
      </c>
      <c r="AX81" s="35">
        <v>80200000</v>
      </c>
      <c r="AY81" s="35">
        <v>5.0199999999999996</v>
      </c>
      <c r="AZ81" s="3"/>
      <c r="BA81" s="35">
        <v>113000000</v>
      </c>
      <c r="BB81" s="35">
        <v>7.94</v>
      </c>
      <c r="BC81" s="35">
        <v>75600000</v>
      </c>
      <c r="BD81" s="35">
        <v>10.7</v>
      </c>
      <c r="BE81" s="35">
        <v>115000000</v>
      </c>
      <c r="BF81" s="35">
        <v>7.54</v>
      </c>
      <c r="BG81" s="35">
        <v>87900000</v>
      </c>
      <c r="BH81" s="35">
        <v>18.5</v>
      </c>
      <c r="BI81" s="35">
        <v>104000000</v>
      </c>
      <c r="BJ81" s="35">
        <v>11.1</v>
      </c>
      <c r="BK81" s="3"/>
      <c r="BL81" s="35">
        <v>127000000</v>
      </c>
      <c r="BM81" s="35">
        <v>7.66</v>
      </c>
      <c r="BN81" s="35">
        <v>111000000</v>
      </c>
      <c r="BO81" s="35">
        <v>11.4</v>
      </c>
      <c r="BP81" s="35">
        <v>105000000</v>
      </c>
      <c r="BQ81" s="35">
        <v>0.311</v>
      </c>
      <c r="BR81" s="35">
        <v>92800000</v>
      </c>
      <c r="BS81" s="35">
        <v>17.399999999999999</v>
      </c>
      <c r="BT81" s="35">
        <v>98400000</v>
      </c>
      <c r="BU81" s="35">
        <v>2.11</v>
      </c>
      <c r="BV81" s="35">
        <v>111000000</v>
      </c>
      <c r="BW81" s="35">
        <v>8.81</v>
      </c>
      <c r="BX81" s="35">
        <v>99100000</v>
      </c>
      <c r="BY81" s="35">
        <v>6.87</v>
      </c>
      <c r="BZ81" s="35">
        <v>114000000</v>
      </c>
      <c r="CA81" s="35">
        <v>7.49</v>
      </c>
      <c r="CB81" s="35">
        <v>104000000</v>
      </c>
      <c r="CC81" s="35">
        <v>11.5</v>
      </c>
      <c r="CD81" s="35">
        <v>92700000</v>
      </c>
      <c r="CE81" s="35">
        <v>7.8</v>
      </c>
      <c r="CF81" s="35">
        <v>89600000</v>
      </c>
      <c r="CG81" s="35">
        <v>4.21</v>
      </c>
      <c r="CH81" s="35">
        <v>97700000</v>
      </c>
      <c r="CI81" s="35">
        <v>8.01</v>
      </c>
      <c r="CJ81" s="35">
        <v>86900000</v>
      </c>
      <c r="CK81" s="35">
        <v>7.02</v>
      </c>
      <c r="CL81" s="35">
        <v>133000000</v>
      </c>
      <c r="CM81" s="35">
        <v>19.7</v>
      </c>
      <c r="CN81" s="35">
        <v>114000000</v>
      </c>
      <c r="CO81" s="35">
        <v>4.21</v>
      </c>
      <c r="CP81" s="3"/>
      <c r="CQ81" s="35">
        <v>105000000</v>
      </c>
      <c r="CR81" s="35">
        <v>13400000</v>
      </c>
      <c r="CS81" s="45">
        <v>12.7</v>
      </c>
    </row>
    <row r="82" spans="1:97">
      <c r="A82" s="13" t="s">
        <v>203</v>
      </c>
      <c r="B82" s="36">
        <v>174000000</v>
      </c>
      <c r="C82" s="36">
        <v>14</v>
      </c>
      <c r="D82" s="36">
        <v>129000000</v>
      </c>
      <c r="E82" s="36">
        <v>4.6900000000000004</v>
      </c>
      <c r="F82" s="36">
        <v>103000000</v>
      </c>
      <c r="G82" s="36">
        <v>9.01</v>
      </c>
      <c r="H82" s="36">
        <v>188000000</v>
      </c>
      <c r="I82" s="36">
        <v>9.64</v>
      </c>
      <c r="J82" s="36">
        <v>220000000</v>
      </c>
      <c r="K82" s="36">
        <v>5.72</v>
      </c>
      <c r="L82" s="36">
        <v>92000000</v>
      </c>
      <c r="M82" s="36">
        <v>16.600000000000001</v>
      </c>
      <c r="N82" s="36">
        <v>121000000</v>
      </c>
      <c r="O82" s="36">
        <v>9.5299999999999994</v>
      </c>
      <c r="P82" s="36">
        <v>149000000</v>
      </c>
      <c r="Q82" s="36">
        <v>9.4</v>
      </c>
      <c r="R82" s="36">
        <v>153000000</v>
      </c>
      <c r="S82" s="36">
        <v>15.2</v>
      </c>
      <c r="T82" s="36">
        <v>191000000</v>
      </c>
      <c r="U82" s="36">
        <v>11.5</v>
      </c>
      <c r="V82" s="36">
        <v>147000000</v>
      </c>
      <c r="W82" s="36">
        <v>3.49</v>
      </c>
      <c r="X82" s="36">
        <v>200000000</v>
      </c>
      <c r="Y82" s="36">
        <v>14.2</v>
      </c>
      <c r="Z82" s="36">
        <v>163000000</v>
      </c>
      <c r="AA82" s="36">
        <v>13.9</v>
      </c>
      <c r="AB82" s="36">
        <v>177000000</v>
      </c>
      <c r="AC82" s="36">
        <v>6.42</v>
      </c>
      <c r="AD82" s="36">
        <v>181000000</v>
      </c>
      <c r="AE82" s="36">
        <v>15.7</v>
      </c>
      <c r="AF82" s="36">
        <v>159000000</v>
      </c>
      <c r="AG82" s="36">
        <v>8.9499999999999993</v>
      </c>
      <c r="AH82" s="36">
        <v>189000000</v>
      </c>
      <c r="AI82" s="36">
        <v>6.33</v>
      </c>
      <c r="AJ82" s="36">
        <v>193000000</v>
      </c>
      <c r="AK82" s="36">
        <v>10.7</v>
      </c>
      <c r="AL82" s="36">
        <v>57000000</v>
      </c>
      <c r="AM82" s="36">
        <v>17.2</v>
      </c>
      <c r="AN82" s="36">
        <v>183000000</v>
      </c>
      <c r="AO82" s="36">
        <v>9.33</v>
      </c>
      <c r="AP82" s="36">
        <v>228000000</v>
      </c>
      <c r="AQ82" s="36">
        <v>5.51</v>
      </c>
      <c r="AR82" s="36">
        <v>68700000</v>
      </c>
      <c r="AS82" s="36">
        <v>1.56</v>
      </c>
      <c r="AT82" s="36">
        <v>193000000</v>
      </c>
      <c r="AU82" s="36">
        <v>9.32</v>
      </c>
      <c r="AV82" s="36">
        <v>167000000</v>
      </c>
      <c r="AW82" s="36">
        <v>7.6</v>
      </c>
      <c r="AX82" s="36">
        <v>123000000</v>
      </c>
      <c r="AY82" s="36">
        <v>7.48</v>
      </c>
      <c r="AZ82" s="5"/>
      <c r="BA82" s="36">
        <v>146000000</v>
      </c>
      <c r="BB82" s="36">
        <v>12.6</v>
      </c>
      <c r="BC82" s="36">
        <v>233000000</v>
      </c>
      <c r="BD82" s="36">
        <v>11.7</v>
      </c>
      <c r="BE82" s="36">
        <v>406000000</v>
      </c>
      <c r="BF82" s="36">
        <v>9.2200000000000006</v>
      </c>
      <c r="BG82" s="36">
        <v>452000000</v>
      </c>
      <c r="BH82" s="36">
        <v>10.4</v>
      </c>
      <c r="BI82" s="36">
        <v>436000000</v>
      </c>
      <c r="BJ82" s="36">
        <v>7.7</v>
      </c>
      <c r="BK82" s="5"/>
      <c r="BL82" s="36">
        <v>157000000</v>
      </c>
      <c r="BM82" s="36">
        <v>8.6999999999999993</v>
      </c>
      <c r="BN82" s="36">
        <v>224000000</v>
      </c>
      <c r="BO82" s="36">
        <v>0.78300000000000003</v>
      </c>
      <c r="BP82" s="36">
        <v>105000000</v>
      </c>
      <c r="BQ82" s="36">
        <v>9.3000000000000007</v>
      </c>
      <c r="BR82" s="36">
        <v>173000000</v>
      </c>
      <c r="BS82" s="36">
        <v>8.44</v>
      </c>
      <c r="BT82" s="36">
        <v>214000000</v>
      </c>
      <c r="BU82" s="36">
        <v>11.7</v>
      </c>
      <c r="BV82" s="36">
        <v>184000000</v>
      </c>
      <c r="BW82" s="36">
        <v>9.75</v>
      </c>
      <c r="BX82" s="36">
        <v>204000000</v>
      </c>
      <c r="BY82" s="36">
        <v>9.25</v>
      </c>
      <c r="BZ82" s="36">
        <v>113000000</v>
      </c>
      <c r="CA82" s="36">
        <v>11.1</v>
      </c>
      <c r="CB82" s="36">
        <v>179000000</v>
      </c>
      <c r="CC82" s="36">
        <v>7.88</v>
      </c>
      <c r="CD82" s="36">
        <v>157000000</v>
      </c>
      <c r="CE82" s="36">
        <v>20.9</v>
      </c>
      <c r="CF82" s="36">
        <v>77900000</v>
      </c>
      <c r="CG82" s="36">
        <v>10.8</v>
      </c>
      <c r="CH82" s="36">
        <v>112000000</v>
      </c>
      <c r="CI82" s="36">
        <v>15.6</v>
      </c>
      <c r="CJ82" s="36">
        <v>169000000</v>
      </c>
      <c r="CK82" s="36">
        <v>3.78</v>
      </c>
      <c r="CL82" s="36">
        <v>187000000</v>
      </c>
      <c r="CM82" s="36">
        <v>20.100000000000001</v>
      </c>
      <c r="CN82" s="36">
        <v>160000000</v>
      </c>
      <c r="CO82" s="36">
        <v>5.12</v>
      </c>
      <c r="CP82" s="5"/>
      <c r="CQ82" s="36">
        <v>161000000</v>
      </c>
      <c r="CR82" s="36">
        <v>42400000</v>
      </c>
      <c r="CS82" s="46">
        <v>26.3</v>
      </c>
    </row>
    <row r="83" spans="1:97">
      <c r="A83" s="13" t="s">
        <v>204</v>
      </c>
      <c r="B83" s="35">
        <v>91900000</v>
      </c>
      <c r="C83" s="35">
        <v>12.1</v>
      </c>
      <c r="D83" s="35">
        <v>80000000</v>
      </c>
      <c r="E83" s="35">
        <v>5.57</v>
      </c>
      <c r="F83" s="35">
        <v>67000000</v>
      </c>
      <c r="G83" s="35">
        <v>14.2</v>
      </c>
      <c r="H83" s="35">
        <v>60700000</v>
      </c>
      <c r="I83" s="35">
        <v>14.7</v>
      </c>
      <c r="J83" s="35">
        <v>64400000</v>
      </c>
      <c r="K83" s="35">
        <v>8.89</v>
      </c>
      <c r="L83" s="35">
        <v>40200000</v>
      </c>
      <c r="M83" s="35">
        <v>12.4</v>
      </c>
      <c r="N83" s="35">
        <v>73400000</v>
      </c>
      <c r="O83" s="35">
        <v>7.43</v>
      </c>
      <c r="P83" s="35">
        <v>74600000</v>
      </c>
      <c r="Q83" s="35">
        <v>5.93</v>
      </c>
      <c r="R83" s="35">
        <v>71200000</v>
      </c>
      <c r="S83" s="35">
        <v>13.5</v>
      </c>
      <c r="T83" s="35">
        <v>103000000</v>
      </c>
      <c r="U83" s="35">
        <v>8.61</v>
      </c>
      <c r="V83" s="35">
        <v>79900000</v>
      </c>
      <c r="W83" s="35">
        <v>9.34</v>
      </c>
      <c r="X83" s="35">
        <v>94300000</v>
      </c>
      <c r="Y83" s="35">
        <v>11.3</v>
      </c>
      <c r="Z83" s="35">
        <v>85900000</v>
      </c>
      <c r="AA83" s="35">
        <v>11.7</v>
      </c>
      <c r="AB83" s="35">
        <v>86100000</v>
      </c>
      <c r="AC83" s="35">
        <v>9.25</v>
      </c>
      <c r="AD83" s="35">
        <v>85900000</v>
      </c>
      <c r="AE83" s="35">
        <v>6.23</v>
      </c>
      <c r="AF83" s="35">
        <v>71700000</v>
      </c>
      <c r="AG83" s="35">
        <v>5.98</v>
      </c>
      <c r="AH83" s="35">
        <v>92100000</v>
      </c>
      <c r="AI83" s="35">
        <v>13</v>
      </c>
      <c r="AJ83" s="35">
        <v>89900000</v>
      </c>
      <c r="AK83" s="35">
        <v>9.67</v>
      </c>
      <c r="AL83" s="35">
        <v>59600000</v>
      </c>
      <c r="AM83" s="35">
        <v>10.199999999999999</v>
      </c>
      <c r="AN83" s="35">
        <v>125000000</v>
      </c>
      <c r="AO83" s="35">
        <v>18.899999999999999</v>
      </c>
      <c r="AP83" s="35">
        <v>110000000</v>
      </c>
      <c r="AQ83" s="35">
        <v>3.5</v>
      </c>
      <c r="AR83" s="35">
        <v>61000000</v>
      </c>
      <c r="AS83" s="35">
        <v>1.21</v>
      </c>
      <c r="AT83" s="35">
        <v>94600000</v>
      </c>
      <c r="AU83" s="35">
        <v>7.31</v>
      </c>
      <c r="AV83" s="35">
        <v>96800000</v>
      </c>
      <c r="AW83" s="35">
        <v>3.57</v>
      </c>
      <c r="AX83" s="35">
        <v>90000000</v>
      </c>
      <c r="AY83" s="35">
        <v>9.18</v>
      </c>
      <c r="AZ83" s="3"/>
      <c r="BA83" s="35">
        <v>69900000</v>
      </c>
      <c r="BB83" s="35">
        <v>7.67</v>
      </c>
      <c r="BC83" s="35">
        <v>81900000</v>
      </c>
      <c r="BD83" s="35">
        <v>9.3000000000000007</v>
      </c>
      <c r="BE83" s="35">
        <v>77000000</v>
      </c>
      <c r="BF83" s="35">
        <v>10.5</v>
      </c>
      <c r="BG83" s="35">
        <v>55500000</v>
      </c>
      <c r="BH83" s="35">
        <v>7.84</v>
      </c>
      <c r="BI83" s="35">
        <v>57900000</v>
      </c>
      <c r="BJ83" s="35">
        <v>9.67</v>
      </c>
      <c r="BK83" s="3"/>
      <c r="BL83" s="35">
        <v>77700000</v>
      </c>
      <c r="BM83" s="35">
        <v>4.9000000000000004</v>
      </c>
      <c r="BN83" s="35">
        <v>95000000</v>
      </c>
      <c r="BO83" s="35">
        <v>9.7100000000000009</v>
      </c>
      <c r="BP83" s="35">
        <v>62900000</v>
      </c>
      <c r="BQ83" s="35">
        <v>12.5</v>
      </c>
      <c r="BR83" s="35">
        <v>84800000</v>
      </c>
      <c r="BS83" s="35">
        <v>5.91</v>
      </c>
      <c r="BT83" s="35">
        <v>110000000</v>
      </c>
      <c r="BU83" s="35">
        <v>5.87</v>
      </c>
      <c r="BV83" s="35">
        <v>106000000</v>
      </c>
      <c r="BW83" s="35">
        <v>8.1999999999999993</v>
      </c>
      <c r="BX83" s="35">
        <v>110000000</v>
      </c>
      <c r="BY83" s="35">
        <v>9.56</v>
      </c>
      <c r="BZ83" s="35">
        <v>73400000</v>
      </c>
      <c r="CA83" s="35">
        <v>5.52</v>
      </c>
      <c r="CB83" s="35">
        <v>110000000</v>
      </c>
      <c r="CC83" s="35">
        <v>11</v>
      </c>
      <c r="CD83" s="35">
        <v>95000000</v>
      </c>
      <c r="CE83" s="35">
        <v>13.3</v>
      </c>
      <c r="CF83" s="35">
        <v>74700000</v>
      </c>
      <c r="CG83" s="35">
        <v>14.1</v>
      </c>
      <c r="CH83" s="35">
        <v>64500000</v>
      </c>
      <c r="CI83" s="35">
        <v>13</v>
      </c>
      <c r="CJ83" s="35">
        <v>85800000</v>
      </c>
      <c r="CK83" s="35">
        <v>7.79</v>
      </c>
      <c r="CL83" s="35">
        <v>103000000</v>
      </c>
      <c r="CM83" s="35">
        <v>13.3</v>
      </c>
      <c r="CN83" s="35">
        <v>103000000</v>
      </c>
      <c r="CO83" s="35">
        <v>12.7</v>
      </c>
      <c r="CP83" s="3"/>
      <c r="CQ83" s="35">
        <v>90400000</v>
      </c>
      <c r="CR83" s="35">
        <v>16800000</v>
      </c>
      <c r="CS83" s="45">
        <v>18.5</v>
      </c>
    </row>
    <row r="84" spans="1:97">
      <c r="A84" s="13" t="s">
        <v>205</v>
      </c>
      <c r="B84" s="36">
        <v>219000000</v>
      </c>
      <c r="C84" s="36">
        <v>9.15</v>
      </c>
      <c r="D84" s="36">
        <v>198000000</v>
      </c>
      <c r="E84" s="36">
        <v>8.49</v>
      </c>
      <c r="F84" s="36">
        <v>155000000</v>
      </c>
      <c r="G84" s="36">
        <v>15.4</v>
      </c>
      <c r="H84" s="36">
        <v>217000000</v>
      </c>
      <c r="I84" s="36">
        <v>14.4</v>
      </c>
      <c r="J84" s="36">
        <v>291000000</v>
      </c>
      <c r="K84" s="36">
        <v>4.96</v>
      </c>
      <c r="L84" s="36">
        <v>133000000</v>
      </c>
      <c r="M84" s="36">
        <v>14.8</v>
      </c>
      <c r="N84" s="36">
        <v>170000000</v>
      </c>
      <c r="O84" s="36">
        <v>6.58</v>
      </c>
      <c r="P84" s="36">
        <v>206000000</v>
      </c>
      <c r="Q84" s="36">
        <v>7.55</v>
      </c>
      <c r="R84" s="36">
        <v>191000000</v>
      </c>
      <c r="S84" s="36">
        <v>12.9</v>
      </c>
      <c r="T84" s="36">
        <v>231000000</v>
      </c>
      <c r="U84" s="36">
        <v>7.72</v>
      </c>
      <c r="V84" s="36">
        <v>205000000</v>
      </c>
      <c r="W84" s="36">
        <v>4.7</v>
      </c>
      <c r="X84" s="36">
        <v>224000000</v>
      </c>
      <c r="Y84" s="36">
        <v>10.5</v>
      </c>
      <c r="Z84" s="36">
        <v>209000000</v>
      </c>
      <c r="AA84" s="36">
        <v>14.1</v>
      </c>
      <c r="AB84" s="36">
        <v>202000000</v>
      </c>
      <c r="AC84" s="36">
        <v>17.2</v>
      </c>
      <c r="AD84" s="36">
        <v>204000000</v>
      </c>
      <c r="AE84" s="36">
        <v>5.8</v>
      </c>
      <c r="AF84" s="36">
        <v>231000000</v>
      </c>
      <c r="AG84" s="36">
        <v>9.76</v>
      </c>
      <c r="AH84" s="36">
        <v>182000000</v>
      </c>
      <c r="AI84" s="36">
        <v>8.75</v>
      </c>
      <c r="AJ84" s="36">
        <v>214000000</v>
      </c>
      <c r="AK84" s="36">
        <v>12.7</v>
      </c>
      <c r="AL84" s="36">
        <v>112000000</v>
      </c>
      <c r="AM84" s="36">
        <v>3.47</v>
      </c>
      <c r="AN84" s="36">
        <v>182000000</v>
      </c>
      <c r="AO84" s="36">
        <v>5.8</v>
      </c>
      <c r="AP84" s="36">
        <v>187000000</v>
      </c>
      <c r="AQ84" s="36">
        <v>14.4</v>
      </c>
      <c r="AR84" s="36">
        <v>135000000</v>
      </c>
      <c r="AS84" s="36">
        <v>12.8</v>
      </c>
      <c r="AT84" s="36">
        <v>196000000</v>
      </c>
      <c r="AU84" s="36">
        <v>18.899999999999999</v>
      </c>
      <c r="AV84" s="36">
        <v>184000000</v>
      </c>
      <c r="AW84" s="36">
        <v>11.8</v>
      </c>
      <c r="AX84" s="36">
        <v>191000000</v>
      </c>
      <c r="AY84" s="36">
        <v>5.27</v>
      </c>
      <c r="AZ84" s="5"/>
      <c r="BA84" s="36">
        <v>145000000</v>
      </c>
      <c r="BB84" s="36">
        <v>15.1</v>
      </c>
      <c r="BC84" s="36">
        <v>340000000</v>
      </c>
      <c r="BD84" s="36">
        <v>10.7</v>
      </c>
      <c r="BE84" s="36">
        <v>481000000</v>
      </c>
      <c r="BF84" s="36">
        <v>8.18</v>
      </c>
      <c r="BG84" s="36">
        <v>755000000</v>
      </c>
      <c r="BH84" s="36">
        <v>5.87</v>
      </c>
      <c r="BI84" s="36">
        <v>659000000</v>
      </c>
      <c r="BJ84" s="36">
        <v>7.29</v>
      </c>
      <c r="BK84" s="5"/>
      <c r="BL84" s="36">
        <v>159000000</v>
      </c>
      <c r="BM84" s="36">
        <v>3.54</v>
      </c>
      <c r="BN84" s="36">
        <v>241000000</v>
      </c>
      <c r="BO84" s="36">
        <v>11.3</v>
      </c>
      <c r="BP84" s="36">
        <v>224000000</v>
      </c>
      <c r="BQ84" s="36">
        <v>0.95199999999999996</v>
      </c>
      <c r="BR84" s="36">
        <v>266000000</v>
      </c>
      <c r="BS84" s="36">
        <v>9.51</v>
      </c>
      <c r="BT84" s="36">
        <v>236000000</v>
      </c>
      <c r="BU84" s="36">
        <v>5.33</v>
      </c>
      <c r="BV84" s="36">
        <v>272000000</v>
      </c>
      <c r="BW84" s="36">
        <v>9.36</v>
      </c>
      <c r="BX84" s="36">
        <v>243000000</v>
      </c>
      <c r="BY84" s="36">
        <v>7</v>
      </c>
      <c r="BZ84" s="36">
        <v>229000000</v>
      </c>
      <c r="CA84" s="36">
        <v>11.8</v>
      </c>
      <c r="CB84" s="36">
        <v>267000000</v>
      </c>
      <c r="CC84" s="36">
        <v>6.71</v>
      </c>
      <c r="CD84" s="36">
        <v>257000000</v>
      </c>
      <c r="CE84" s="36">
        <v>13.6</v>
      </c>
      <c r="CF84" s="36">
        <v>233000000</v>
      </c>
      <c r="CG84" s="36">
        <v>15.6</v>
      </c>
      <c r="CH84" s="36">
        <v>212000000</v>
      </c>
      <c r="CI84" s="36">
        <v>14</v>
      </c>
      <c r="CJ84" s="36">
        <v>216000000</v>
      </c>
      <c r="CK84" s="36">
        <v>9.11</v>
      </c>
      <c r="CL84" s="36">
        <v>268000000</v>
      </c>
      <c r="CM84" s="36">
        <v>9.3000000000000007</v>
      </c>
      <c r="CN84" s="36">
        <v>255000000</v>
      </c>
      <c r="CO84" s="36">
        <v>17.100000000000001</v>
      </c>
      <c r="CP84" s="5"/>
      <c r="CQ84" s="36">
        <v>238000000</v>
      </c>
      <c r="CR84" s="36">
        <v>29400000</v>
      </c>
      <c r="CS84" s="46">
        <v>12.3</v>
      </c>
    </row>
    <row r="85" spans="1:97">
      <c r="A85" s="13" t="s">
        <v>206</v>
      </c>
      <c r="B85" s="35">
        <v>74800000</v>
      </c>
      <c r="C85" s="35">
        <v>6.73</v>
      </c>
      <c r="D85" s="35">
        <v>111000000</v>
      </c>
      <c r="E85" s="35">
        <v>3.37</v>
      </c>
      <c r="F85" s="35">
        <v>76800000</v>
      </c>
      <c r="G85" s="35">
        <v>19.899999999999999</v>
      </c>
      <c r="H85" s="35">
        <v>99100000</v>
      </c>
      <c r="I85" s="35">
        <v>10.199999999999999</v>
      </c>
      <c r="J85" s="35">
        <v>103000000</v>
      </c>
      <c r="K85" s="35">
        <v>8.1999999999999993</v>
      </c>
      <c r="L85" s="35">
        <v>62900000</v>
      </c>
      <c r="M85" s="35">
        <v>12.1</v>
      </c>
      <c r="N85" s="35">
        <v>87700000</v>
      </c>
      <c r="O85" s="35">
        <v>9.0399999999999991</v>
      </c>
      <c r="P85" s="35">
        <v>101000000</v>
      </c>
      <c r="Q85" s="35">
        <v>7.4</v>
      </c>
      <c r="R85" s="35">
        <v>87800000</v>
      </c>
      <c r="S85" s="35">
        <v>16</v>
      </c>
      <c r="T85" s="35">
        <v>83700000</v>
      </c>
      <c r="U85" s="35">
        <v>5.8</v>
      </c>
      <c r="V85" s="35">
        <v>91100000</v>
      </c>
      <c r="W85" s="35">
        <v>6.36</v>
      </c>
      <c r="X85" s="35">
        <v>88200000</v>
      </c>
      <c r="Y85" s="35">
        <v>11</v>
      </c>
      <c r="Z85" s="35">
        <v>89600000</v>
      </c>
      <c r="AA85" s="35">
        <v>17.600000000000001</v>
      </c>
      <c r="AB85" s="35">
        <v>94500000</v>
      </c>
      <c r="AC85" s="35">
        <v>12.9</v>
      </c>
      <c r="AD85" s="35">
        <v>70400000</v>
      </c>
      <c r="AE85" s="35">
        <v>2.46</v>
      </c>
      <c r="AF85" s="35">
        <v>90800000</v>
      </c>
      <c r="AG85" s="35">
        <v>6.6</v>
      </c>
      <c r="AH85" s="35">
        <v>71100000</v>
      </c>
      <c r="AI85" s="35">
        <v>10.7</v>
      </c>
      <c r="AJ85" s="35">
        <v>60000000</v>
      </c>
      <c r="AK85" s="35">
        <v>6.77</v>
      </c>
      <c r="AL85" s="35">
        <v>45000000</v>
      </c>
      <c r="AM85" s="35">
        <v>3.33</v>
      </c>
      <c r="AN85" s="35">
        <v>96400000</v>
      </c>
      <c r="AO85" s="35">
        <v>12.5</v>
      </c>
      <c r="AP85" s="35">
        <v>86400000</v>
      </c>
      <c r="AQ85" s="35">
        <v>8.18</v>
      </c>
      <c r="AR85" s="35">
        <v>69300000</v>
      </c>
      <c r="AS85" s="35">
        <v>3.66</v>
      </c>
      <c r="AT85" s="35">
        <v>77000000</v>
      </c>
      <c r="AU85" s="35">
        <v>11.3</v>
      </c>
      <c r="AV85" s="35">
        <v>77700000</v>
      </c>
      <c r="AW85" s="35">
        <v>7.41</v>
      </c>
      <c r="AX85" s="35">
        <v>91900000</v>
      </c>
      <c r="AY85" s="35">
        <v>7.81</v>
      </c>
      <c r="AZ85" s="3"/>
      <c r="BA85" s="35">
        <v>58300000</v>
      </c>
      <c r="BB85" s="35">
        <v>7.25</v>
      </c>
      <c r="BC85" s="35">
        <v>125000000</v>
      </c>
      <c r="BD85" s="35">
        <v>9.18</v>
      </c>
      <c r="BE85" s="35">
        <v>203000000</v>
      </c>
      <c r="BF85" s="35">
        <v>6.47</v>
      </c>
      <c r="BG85" s="35">
        <v>283000000</v>
      </c>
      <c r="BH85" s="35">
        <v>5.25</v>
      </c>
      <c r="BI85" s="35">
        <v>250000000</v>
      </c>
      <c r="BJ85" s="35">
        <v>4.5999999999999996</v>
      </c>
      <c r="BK85" s="3"/>
      <c r="BL85" s="35">
        <v>231000000</v>
      </c>
      <c r="BM85" s="35">
        <v>7.61</v>
      </c>
      <c r="BN85" s="35">
        <v>179000000</v>
      </c>
      <c r="BO85" s="35">
        <v>15.9</v>
      </c>
      <c r="BP85" s="35">
        <v>142000000</v>
      </c>
      <c r="BQ85" s="35">
        <v>4.53</v>
      </c>
      <c r="BR85" s="35">
        <v>121000000</v>
      </c>
      <c r="BS85" s="35">
        <v>6.77</v>
      </c>
      <c r="BT85" s="35">
        <v>91200000</v>
      </c>
      <c r="BU85" s="35">
        <v>2.85</v>
      </c>
      <c r="BV85" s="35">
        <v>103000000</v>
      </c>
      <c r="BW85" s="35">
        <v>11.7</v>
      </c>
      <c r="BX85" s="35">
        <v>93400000</v>
      </c>
      <c r="BY85" s="35">
        <v>5.79</v>
      </c>
      <c r="BZ85" s="35">
        <v>139000000</v>
      </c>
      <c r="CA85" s="35">
        <v>8.69</v>
      </c>
      <c r="CB85" s="35">
        <v>125000000</v>
      </c>
      <c r="CC85" s="35">
        <v>12.5</v>
      </c>
      <c r="CD85" s="35">
        <v>138000000</v>
      </c>
      <c r="CE85" s="35">
        <v>8.06</v>
      </c>
      <c r="CF85" s="35">
        <v>139000000</v>
      </c>
      <c r="CG85" s="35">
        <v>12.3</v>
      </c>
      <c r="CH85" s="35">
        <v>118000000</v>
      </c>
      <c r="CI85" s="35">
        <v>10.8</v>
      </c>
      <c r="CJ85" s="35">
        <v>110000000</v>
      </c>
      <c r="CK85" s="35">
        <v>10.3</v>
      </c>
      <c r="CL85" s="35">
        <v>121000000</v>
      </c>
      <c r="CM85" s="35">
        <v>11.3</v>
      </c>
      <c r="CN85" s="35">
        <v>121000000</v>
      </c>
      <c r="CO85" s="35">
        <v>14</v>
      </c>
      <c r="CP85" s="3"/>
      <c r="CQ85" s="35">
        <v>131000000</v>
      </c>
      <c r="CR85" s="35">
        <v>35100000</v>
      </c>
      <c r="CS85" s="45">
        <v>26.7</v>
      </c>
    </row>
    <row r="86" spans="1:97">
      <c r="A86" s="13" t="s">
        <v>207</v>
      </c>
      <c r="B86" s="36">
        <v>237000000</v>
      </c>
      <c r="C86" s="36">
        <v>10.199999999999999</v>
      </c>
      <c r="D86" s="36">
        <v>276000000</v>
      </c>
      <c r="E86" s="36">
        <v>7.37</v>
      </c>
      <c r="F86" s="36">
        <v>234000000</v>
      </c>
      <c r="G86" s="36">
        <v>7.81</v>
      </c>
      <c r="H86" s="36">
        <v>467000000</v>
      </c>
      <c r="I86" s="36">
        <v>8.23</v>
      </c>
      <c r="J86" s="36">
        <v>488000000</v>
      </c>
      <c r="K86" s="36">
        <v>9.06</v>
      </c>
      <c r="L86" s="36">
        <v>271000000</v>
      </c>
      <c r="M86" s="36">
        <v>11.4</v>
      </c>
      <c r="N86" s="36">
        <v>254000000</v>
      </c>
      <c r="O86" s="36">
        <v>4.3499999999999996</v>
      </c>
      <c r="P86" s="36">
        <v>295000000</v>
      </c>
      <c r="Q86" s="36">
        <v>7.14</v>
      </c>
      <c r="R86" s="36">
        <v>268000000</v>
      </c>
      <c r="S86" s="36">
        <v>13.8</v>
      </c>
      <c r="T86" s="36">
        <v>326000000</v>
      </c>
      <c r="U86" s="36">
        <v>6.77</v>
      </c>
      <c r="V86" s="36">
        <v>278000000</v>
      </c>
      <c r="W86" s="36">
        <v>8</v>
      </c>
      <c r="X86" s="36">
        <v>321000000</v>
      </c>
      <c r="Y86" s="36">
        <v>13.8</v>
      </c>
      <c r="Z86" s="36">
        <v>325000000</v>
      </c>
      <c r="AA86" s="36">
        <v>11.8</v>
      </c>
      <c r="AB86" s="36">
        <v>324000000</v>
      </c>
      <c r="AC86" s="36">
        <v>12.7</v>
      </c>
      <c r="AD86" s="36">
        <v>250000000</v>
      </c>
      <c r="AE86" s="36">
        <v>3.42</v>
      </c>
      <c r="AF86" s="36">
        <v>300000000</v>
      </c>
      <c r="AG86" s="36">
        <v>9.68</v>
      </c>
      <c r="AH86" s="36">
        <v>414000000</v>
      </c>
      <c r="AI86" s="36">
        <v>6.05</v>
      </c>
      <c r="AJ86" s="36">
        <v>220000000</v>
      </c>
      <c r="AK86" s="36">
        <v>13.6</v>
      </c>
      <c r="AL86" s="36">
        <v>180000000</v>
      </c>
      <c r="AM86" s="36">
        <v>17.8</v>
      </c>
      <c r="AN86" s="36">
        <v>249000000</v>
      </c>
      <c r="AO86" s="36">
        <v>8.83</v>
      </c>
      <c r="AP86" s="36">
        <v>299000000</v>
      </c>
      <c r="AQ86" s="36">
        <v>3.06</v>
      </c>
      <c r="AR86" s="36">
        <v>181000000</v>
      </c>
      <c r="AS86" s="36">
        <v>10.6</v>
      </c>
      <c r="AT86" s="36">
        <v>325000000</v>
      </c>
      <c r="AU86" s="36">
        <v>17</v>
      </c>
      <c r="AV86" s="36">
        <v>265000000</v>
      </c>
      <c r="AW86" s="36">
        <v>11.5</v>
      </c>
      <c r="AX86" s="36">
        <v>218000000</v>
      </c>
      <c r="AY86" s="36">
        <v>4.9000000000000004</v>
      </c>
      <c r="AZ86" s="5"/>
      <c r="BA86" s="36">
        <v>228000000</v>
      </c>
      <c r="BB86" s="36">
        <v>7.71</v>
      </c>
      <c r="BC86" s="36">
        <v>466000000</v>
      </c>
      <c r="BD86" s="36">
        <v>4.88</v>
      </c>
      <c r="BE86" s="36">
        <v>713000000</v>
      </c>
      <c r="BF86" s="36">
        <v>6.56</v>
      </c>
      <c r="BG86" s="36">
        <v>686000000</v>
      </c>
      <c r="BH86" s="36">
        <v>8.7899999999999991</v>
      </c>
      <c r="BI86" s="36">
        <v>605000000</v>
      </c>
      <c r="BJ86" s="36">
        <v>12.9</v>
      </c>
      <c r="BK86" s="5"/>
      <c r="BL86" s="36">
        <v>330000000</v>
      </c>
      <c r="BM86" s="36">
        <v>0.81899999999999995</v>
      </c>
      <c r="BN86" s="36">
        <v>434000000</v>
      </c>
      <c r="BO86" s="36">
        <v>2.88</v>
      </c>
      <c r="BP86" s="36">
        <v>323000000</v>
      </c>
      <c r="BQ86" s="36">
        <v>3.66</v>
      </c>
      <c r="BR86" s="36">
        <v>437000000</v>
      </c>
      <c r="BS86" s="36">
        <v>6.04</v>
      </c>
      <c r="BT86" s="36">
        <v>430000000</v>
      </c>
      <c r="BU86" s="36">
        <v>4.32</v>
      </c>
      <c r="BV86" s="36">
        <v>371000000</v>
      </c>
      <c r="BW86" s="36">
        <v>10.6</v>
      </c>
      <c r="BX86" s="36">
        <v>334000000</v>
      </c>
      <c r="BY86" s="36">
        <v>5.23</v>
      </c>
      <c r="BZ86" s="36">
        <v>222000000</v>
      </c>
      <c r="CA86" s="36">
        <v>4.3099999999999996</v>
      </c>
      <c r="CB86" s="36">
        <v>253000000</v>
      </c>
      <c r="CC86" s="36">
        <v>8.65</v>
      </c>
      <c r="CD86" s="36">
        <v>293000000</v>
      </c>
      <c r="CE86" s="36">
        <v>8.77</v>
      </c>
      <c r="CF86" s="36">
        <v>210000000</v>
      </c>
      <c r="CG86" s="36">
        <v>9.0299999999999994</v>
      </c>
      <c r="CH86" s="36">
        <v>210000000</v>
      </c>
      <c r="CI86" s="36">
        <v>12.6</v>
      </c>
      <c r="CJ86" s="36">
        <v>273000000</v>
      </c>
      <c r="CK86" s="36">
        <v>10.1</v>
      </c>
      <c r="CL86" s="36">
        <v>478000000</v>
      </c>
      <c r="CM86" s="36">
        <v>7.85</v>
      </c>
      <c r="CN86" s="36">
        <v>479000000</v>
      </c>
      <c r="CO86" s="36">
        <v>1.87</v>
      </c>
      <c r="CP86" s="5"/>
      <c r="CQ86" s="36">
        <v>338000000</v>
      </c>
      <c r="CR86" s="36">
        <v>95600000</v>
      </c>
      <c r="CS86" s="46">
        <v>28.3</v>
      </c>
    </row>
    <row r="87" spans="1:97">
      <c r="A87" s="13" t="s">
        <v>208</v>
      </c>
      <c r="B87" s="35">
        <v>179000000</v>
      </c>
      <c r="C87" s="35">
        <v>9.2100000000000009</v>
      </c>
      <c r="D87" s="35">
        <v>212000000</v>
      </c>
      <c r="E87" s="35">
        <v>6.78</v>
      </c>
      <c r="F87" s="35">
        <v>184000000</v>
      </c>
      <c r="G87" s="35">
        <v>8.26</v>
      </c>
      <c r="H87" s="35">
        <v>373000000</v>
      </c>
      <c r="I87" s="35">
        <v>9.2799999999999994</v>
      </c>
      <c r="J87" s="35">
        <v>348000000</v>
      </c>
      <c r="K87" s="35">
        <v>9.2899999999999991</v>
      </c>
      <c r="L87" s="35">
        <v>226000000</v>
      </c>
      <c r="M87" s="35">
        <v>15</v>
      </c>
      <c r="N87" s="35">
        <v>193000000</v>
      </c>
      <c r="O87" s="35">
        <v>13.6</v>
      </c>
      <c r="P87" s="35">
        <v>205000000</v>
      </c>
      <c r="Q87" s="35">
        <v>7.74</v>
      </c>
      <c r="R87" s="35">
        <v>225000000</v>
      </c>
      <c r="S87" s="35">
        <v>9.6199999999999992</v>
      </c>
      <c r="T87" s="35">
        <v>246000000</v>
      </c>
      <c r="U87" s="35">
        <v>7.68</v>
      </c>
      <c r="V87" s="35">
        <v>198000000</v>
      </c>
      <c r="W87" s="35">
        <v>9.08</v>
      </c>
      <c r="X87" s="35">
        <v>204000000</v>
      </c>
      <c r="Y87" s="35">
        <v>9.15</v>
      </c>
      <c r="Z87" s="35">
        <v>224000000</v>
      </c>
      <c r="AA87" s="35">
        <v>10.3</v>
      </c>
      <c r="AB87" s="35">
        <v>242000000</v>
      </c>
      <c r="AC87" s="35">
        <v>11.2</v>
      </c>
      <c r="AD87" s="35">
        <v>210000000</v>
      </c>
      <c r="AE87" s="35">
        <v>4.01</v>
      </c>
      <c r="AF87" s="35">
        <v>220000000</v>
      </c>
      <c r="AG87" s="35">
        <v>3.83</v>
      </c>
      <c r="AH87" s="35">
        <v>312000000</v>
      </c>
      <c r="AI87" s="35">
        <v>11.6</v>
      </c>
      <c r="AJ87" s="35">
        <v>160000000</v>
      </c>
      <c r="AK87" s="35">
        <v>7.01</v>
      </c>
      <c r="AL87" s="35">
        <v>147000000</v>
      </c>
      <c r="AM87" s="35">
        <v>11.4</v>
      </c>
      <c r="AN87" s="35">
        <v>211000000</v>
      </c>
      <c r="AO87" s="35">
        <v>9.08</v>
      </c>
      <c r="AP87" s="35">
        <v>225000000</v>
      </c>
      <c r="AQ87" s="35">
        <v>3.87</v>
      </c>
      <c r="AR87" s="35">
        <v>157000000</v>
      </c>
      <c r="AS87" s="35">
        <v>3.65</v>
      </c>
      <c r="AT87" s="35">
        <v>233000000</v>
      </c>
      <c r="AU87" s="35">
        <v>15</v>
      </c>
      <c r="AV87" s="35">
        <v>204000000</v>
      </c>
      <c r="AW87" s="35">
        <v>4.9800000000000004</v>
      </c>
      <c r="AX87" s="35">
        <v>213000000</v>
      </c>
      <c r="AY87" s="35">
        <v>7.84</v>
      </c>
      <c r="AZ87" s="3"/>
      <c r="BA87" s="35">
        <v>179000000</v>
      </c>
      <c r="BB87" s="35">
        <v>9.16</v>
      </c>
      <c r="BC87" s="35">
        <v>328000000</v>
      </c>
      <c r="BD87" s="35">
        <v>7.01</v>
      </c>
      <c r="BE87" s="35">
        <v>464000000</v>
      </c>
      <c r="BF87" s="35">
        <v>8.66</v>
      </c>
      <c r="BG87" s="35">
        <v>475000000</v>
      </c>
      <c r="BH87" s="35">
        <v>7.76</v>
      </c>
      <c r="BI87" s="35">
        <v>398000000</v>
      </c>
      <c r="BJ87" s="35">
        <v>9.0399999999999991</v>
      </c>
      <c r="BK87" s="3"/>
      <c r="BL87" s="35">
        <v>321000000</v>
      </c>
      <c r="BM87" s="35">
        <v>7.58</v>
      </c>
      <c r="BN87" s="35">
        <v>344000000</v>
      </c>
      <c r="BO87" s="35">
        <v>2.72</v>
      </c>
      <c r="BP87" s="35">
        <v>170000000</v>
      </c>
      <c r="BQ87" s="35">
        <v>9.39</v>
      </c>
      <c r="BR87" s="35">
        <v>253000000</v>
      </c>
      <c r="BS87" s="35">
        <v>6.11</v>
      </c>
      <c r="BT87" s="35">
        <v>253000000</v>
      </c>
      <c r="BU87" s="35">
        <v>3.56</v>
      </c>
      <c r="BV87" s="35">
        <v>188000000</v>
      </c>
      <c r="BW87" s="35">
        <v>9.8000000000000007</v>
      </c>
      <c r="BX87" s="35">
        <v>198000000</v>
      </c>
      <c r="BY87" s="35">
        <v>8.1300000000000008</v>
      </c>
      <c r="BZ87" s="35">
        <v>124000000</v>
      </c>
      <c r="CA87" s="35">
        <v>7.08</v>
      </c>
      <c r="CB87" s="35">
        <v>144000000</v>
      </c>
      <c r="CC87" s="35">
        <v>14.4</v>
      </c>
      <c r="CD87" s="35">
        <v>141000000</v>
      </c>
      <c r="CE87" s="35">
        <v>13.6</v>
      </c>
      <c r="CF87" s="35">
        <v>142000000</v>
      </c>
      <c r="CG87" s="35">
        <v>7.77</v>
      </c>
      <c r="CH87" s="35">
        <v>174000000</v>
      </c>
      <c r="CI87" s="35">
        <v>13.3</v>
      </c>
      <c r="CJ87" s="35">
        <v>186000000</v>
      </c>
      <c r="CK87" s="35">
        <v>7.01</v>
      </c>
      <c r="CL87" s="35">
        <v>184000000</v>
      </c>
      <c r="CM87" s="35">
        <v>9.07</v>
      </c>
      <c r="CN87" s="35">
        <v>189000000</v>
      </c>
      <c r="CO87" s="35">
        <v>14.9</v>
      </c>
      <c r="CP87" s="3"/>
      <c r="CQ87" s="35">
        <v>201000000</v>
      </c>
      <c r="CR87" s="35">
        <v>65000000</v>
      </c>
      <c r="CS87" s="45">
        <v>32.4</v>
      </c>
    </row>
    <row r="88" spans="1:97">
      <c r="A88" s="13" t="s">
        <v>209</v>
      </c>
      <c r="B88" s="36">
        <v>103000000</v>
      </c>
      <c r="C88" s="36">
        <v>7.58</v>
      </c>
      <c r="D88" s="36">
        <v>118000000</v>
      </c>
      <c r="E88" s="36">
        <v>7.6</v>
      </c>
      <c r="F88" s="36">
        <v>138000000</v>
      </c>
      <c r="G88" s="36">
        <v>12</v>
      </c>
      <c r="H88" s="36">
        <v>152000000</v>
      </c>
      <c r="I88" s="36">
        <v>7.1</v>
      </c>
      <c r="J88" s="36">
        <v>138000000</v>
      </c>
      <c r="K88" s="36">
        <v>7.8</v>
      </c>
      <c r="L88" s="36">
        <v>141000000</v>
      </c>
      <c r="M88" s="36">
        <v>11.5</v>
      </c>
      <c r="N88" s="36">
        <v>128000000</v>
      </c>
      <c r="O88" s="36">
        <v>12.6</v>
      </c>
      <c r="P88" s="36">
        <v>132000000</v>
      </c>
      <c r="Q88" s="36">
        <v>8.09</v>
      </c>
      <c r="R88" s="36">
        <v>136000000</v>
      </c>
      <c r="S88" s="36">
        <v>11.7</v>
      </c>
      <c r="T88" s="36">
        <v>104000000</v>
      </c>
      <c r="U88" s="36">
        <v>11.1</v>
      </c>
      <c r="V88" s="36">
        <v>126000000</v>
      </c>
      <c r="W88" s="36">
        <v>9.2799999999999994</v>
      </c>
      <c r="X88" s="36">
        <v>119000000</v>
      </c>
      <c r="Y88" s="36">
        <v>9.17</v>
      </c>
      <c r="Z88" s="36">
        <v>119000000</v>
      </c>
      <c r="AA88" s="36">
        <v>12.1</v>
      </c>
      <c r="AB88" s="36">
        <v>124000000</v>
      </c>
      <c r="AC88" s="36">
        <v>12.3</v>
      </c>
      <c r="AD88" s="36">
        <v>111000000</v>
      </c>
      <c r="AE88" s="36">
        <v>5.3</v>
      </c>
      <c r="AF88" s="36">
        <v>128000000</v>
      </c>
      <c r="AG88" s="36">
        <v>7.8</v>
      </c>
      <c r="AH88" s="36">
        <v>122000000</v>
      </c>
      <c r="AI88" s="36">
        <v>8.4</v>
      </c>
      <c r="AJ88" s="36">
        <v>109000000</v>
      </c>
      <c r="AK88" s="36">
        <v>12.4</v>
      </c>
      <c r="AL88" s="36">
        <v>185000000</v>
      </c>
      <c r="AM88" s="36">
        <v>5.04</v>
      </c>
      <c r="AN88" s="36">
        <v>168000000</v>
      </c>
      <c r="AO88" s="36">
        <v>11.4</v>
      </c>
      <c r="AP88" s="36">
        <v>117000000</v>
      </c>
      <c r="AQ88" s="36">
        <v>4.43</v>
      </c>
      <c r="AR88" s="36">
        <v>176000000</v>
      </c>
      <c r="AS88" s="36">
        <v>9.68</v>
      </c>
      <c r="AT88" s="36">
        <v>148000000</v>
      </c>
      <c r="AU88" s="36">
        <v>11.2</v>
      </c>
      <c r="AV88" s="36">
        <v>114000000</v>
      </c>
      <c r="AW88" s="36">
        <v>4.2</v>
      </c>
      <c r="AX88" s="36">
        <v>117000000</v>
      </c>
      <c r="AY88" s="36">
        <v>9</v>
      </c>
      <c r="AZ88" s="5"/>
      <c r="BA88" s="36">
        <v>117000000</v>
      </c>
      <c r="BB88" s="36">
        <v>8.6199999999999992</v>
      </c>
      <c r="BC88" s="36">
        <v>128000000</v>
      </c>
      <c r="BD88" s="36">
        <v>5.95</v>
      </c>
      <c r="BE88" s="36">
        <v>157000000</v>
      </c>
      <c r="BF88" s="36">
        <v>10.6</v>
      </c>
      <c r="BG88" s="36">
        <v>133000000</v>
      </c>
      <c r="BH88" s="36">
        <v>6.37</v>
      </c>
      <c r="BI88" s="36">
        <v>147000000</v>
      </c>
      <c r="BJ88" s="36">
        <v>7.27</v>
      </c>
      <c r="BK88" s="5"/>
      <c r="BL88" s="36">
        <v>262000000</v>
      </c>
      <c r="BM88" s="36">
        <v>5.24</v>
      </c>
      <c r="BN88" s="36">
        <v>200000000</v>
      </c>
      <c r="BO88" s="36">
        <v>4.26</v>
      </c>
      <c r="BP88" s="36">
        <v>213000000</v>
      </c>
      <c r="BQ88" s="36">
        <v>9.0299999999999994</v>
      </c>
      <c r="BR88" s="36">
        <v>162000000</v>
      </c>
      <c r="BS88" s="36">
        <v>4.74</v>
      </c>
      <c r="BT88" s="36">
        <v>140000000</v>
      </c>
      <c r="BU88" s="36">
        <v>4.5599999999999996</v>
      </c>
      <c r="BV88" s="36">
        <v>151000000</v>
      </c>
      <c r="BW88" s="36">
        <v>10.8</v>
      </c>
      <c r="BX88" s="36">
        <v>126000000</v>
      </c>
      <c r="BY88" s="36">
        <v>4.3</v>
      </c>
      <c r="BZ88" s="36">
        <v>200000000</v>
      </c>
      <c r="CA88" s="36">
        <v>6.53</v>
      </c>
      <c r="CB88" s="36">
        <v>156000000</v>
      </c>
      <c r="CC88" s="36">
        <v>11.1</v>
      </c>
      <c r="CD88" s="36">
        <v>150000000</v>
      </c>
      <c r="CE88" s="36">
        <v>6.84</v>
      </c>
      <c r="CF88" s="36">
        <v>164000000</v>
      </c>
      <c r="CG88" s="36">
        <v>13.6</v>
      </c>
      <c r="CH88" s="36">
        <v>168000000</v>
      </c>
      <c r="CI88" s="36">
        <v>8.56</v>
      </c>
      <c r="CJ88" s="36">
        <v>126000000</v>
      </c>
      <c r="CK88" s="36">
        <v>13.4</v>
      </c>
      <c r="CL88" s="36">
        <v>153000000</v>
      </c>
      <c r="CM88" s="36">
        <v>9.9700000000000006</v>
      </c>
      <c r="CN88" s="36">
        <v>143000000</v>
      </c>
      <c r="CO88" s="36">
        <v>13.7</v>
      </c>
      <c r="CP88" s="5"/>
      <c r="CQ88" s="36">
        <v>168000000</v>
      </c>
      <c r="CR88" s="36">
        <v>36800000</v>
      </c>
      <c r="CS88" s="46">
        <v>22</v>
      </c>
    </row>
    <row r="89" spans="1:97" ht="15.95" thickBot="1">
      <c r="A89" s="47" t="s">
        <v>210</v>
      </c>
      <c r="B89" s="48">
        <v>91800000</v>
      </c>
      <c r="C89" s="48">
        <v>10.3</v>
      </c>
      <c r="D89" s="48">
        <v>287000000</v>
      </c>
      <c r="E89" s="48">
        <v>8.5299999999999994</v>
      </c>
      <c r="F89" s="48">
        <v>137000000</v>
      </c>
      <c r="G89" s="48">
        <v>5.83</v>
      </c>
      <c r="H89" s="48">
        <v>55200000</v>
      </c>
      <c r="I89" s="48">
        <v>10</v>
      </c>
      <c r="J89" s="48">
        <v>60000000</v>
      </c>
      <c r="K89" s="48">
        <v>10.6</v>
      </c>
      <c r="L89" s="48">
        <v>124000000</v>
      </c>
      <c r="M89" s="48">
        <v>11</v>
      </c>
      <c r="N89" s="48">
        <v>159000000</v>
      </c>
      <c r="O89" s="48">
        <v>11.5</v>
      </c>
      <c r="P89" s="48">
        <v>221000000</v>
      </c>
      <c r="Q89" s="48">
        <v>6.05</v>
      </c>
      <c r="R89" s="48">
        <v>168000000</v>
      </c>
      <c r="S89" s="48">
        <v>10.199999999999999</v>
      </c>
      <c r="T89" s="48">
        <v>273000000</v>
      </c>
      <c r="U89" s="48">
        <v>6.51</v>
      </c>
      <c r="V89" s="48">
        <v>261000000</v>
      </c>
      <c r="W89" s="48">
        <v>11.9</v>
      </c>
      <c r="X89" s="48">
        <v>258000000</v>
      </c>
      <c r="Y89" s="48">
        <v>15.1</v>
      </c>
      <c r="Z89" s="48">
        <v>205000000</v>
      </c>
      <c r="AA89" s="48">
        <v>14</v>
      </c>
      <c r="AB89" s="48">
        <v>250000000</v>
      </c>
      <c r="AC89" s="48">
        <v>13.7</v>
      </c>
      <c r="AD89" s="48">
        <v>193000000</v>
      </c>
      <c r="AE89" s="48">
        <v>9.1199999999999992</v>
      </c>
      <c r="AF89" s="48">
        <v>187000000</v>
      </c>
      <c r="AG89" s="48">
        <v>5.89</v>
      </c>
      <c r="AH89" s="48">
        <v>72700000</v>
      </c>
      <c r="AI89" s="48">
        <v>8</v>
      </c>
      <c r="AJ89" s="48">
        <v>187000000</v>
      </c>
      <c r="AK89" s="48">
        <v>13.8</v>
      </c>
      <c r="AL89" s="48">
        <v>27400000</v>
      </c>
      <c r="AM89" s="48">
        <v>8.41</v>
      </c>
      <c r="AN89" s="48">
        <v>223000000</v>
      </c>
      <c r="AO89" s="48">
        <v>3.11</v>
      </c>
      <c r="AP89" s="48">
        <v>208000000</v>
      </c>
      <c r="AQ89" s="48">
        <v>7.64</v>
      </c>
      <c r="AR89" s="48">
        <v>68000000</v>
      </c>
      <c r="AS89" s="48">
        <v>3.78</v>
      </c>
      <c r="AT89" s="48">
        <v>194000000</v>
      </c>
      <c r="AU89" s="48">
        <v>12.9</v>
      </c>
      <c r="AV89" s="48">
        <v>178000000</v>
      </c>
      <c r="AW89" s="48">
        <v>4.4800000000000004</v>
      </c>
      <c r="AX89" s="48">
        <v>247000000</v>
      </c>
      <c r="AY89" s="48">
        <v>12</v>
      </c>
      <c r="AZ89" s="49"/>
      <c r="BA89" s="48">
        <v>93800000</v>
      </c>
      <c r="BB89" s="48">
        <v>6.45</v>
      </c>
      <c r="BC89" s="48">
        <v>332000000</v>
      </c>
      <c r="BD89" s="48">
        <v>8.85</v>
      </c>
      <c r="BE89" s="48">
        <v>570000000</v>
      </c>
      <c r="BF89" s="48">
        <v>7.76</v>
      </c>
      <c r="BG89" s="48">
        <v>360000000</v>
      </c>
      <c r="BH89" s="48">
        <v>7.7</v>
      </c>
      <c r="BI89" s="48">
        <v>277000000</v>
      </c>
      <c r="BJ89" s="48">
        <v>6.28</v>
      </c>
      <c r="BK89" s="49"/>
      <c r="BL89" s="48">
        <v>254000000</v>
      </c>
      <c r="BM89" s="48">
        <v>10.4</v>
      </c>
      <c r="BN89" s="48">
        <v>292000000</v>
      </c>
      <c r="BO89" s="48">
        <v>13.9</v>
      </c>
      <c r="BP89" s="48">
        <v>291000000</v>
      </c>
      <c r="BQ89" s="48">
        <v>9</v>
      </c>
      <c r="BR89" s="48">
        <v>364000000</v>
      </c>
      <c r="BS89" s="48">
        <v>6.96</v>
      </c>
      <c r="BT89" s="48">
        <v>332000000</v>
      </c>
      <c r="BU89" s="48">
        <v>4.24</v>
      </c>
      <c r="BV89" s="48">
        <v>343000000</v>
      </c>
      <c r="BW89" s="48">
        <v>10.4</v>
      </c>
      <c r="BX89" s="48">
        <v>286000000</v>
      </c>
      <c r="BY89" s="48">
        <v>8.81</v>
      </c>
      <c r="BZ89" s="48">
        <v>204000000</v>
      </c>
      <c r="CA89" s="48">
        <v>8.5</v>
      </c>
      <c r="CB89" s="48">
        <v>190000000</v>
      </c>
      <c r="CC89" s="48">
        <v>11.2</v>
      </c>
      <c r="CD89" s="48">
        <v>237000000</v>
      </c>
      <c r="CE89" s="48">
        <v>15.3</v>
      </c>
      <c r="CF89" s="48">
        <v>304000000</v>
      </c>
      <c r="CG89" s="48">
        <v>5.55</v>
      </c>
      <c r="CH89" s="48">
        <v>258000000</v>
      </c>
      <c r="CI89" s="48">
        <v>7.93</v>
      </c>
      <c r="CJ89" s="48">
        <v>303000000</v>
      </c>
      <c r="CK89" s="48">
        <v>6.68</v>
      </c>
      <c r="CL89" s="48">
        <v>324000000</v>
      </c>
      <c r="CM89" s="48">
        <v>8.1199999999999992</v>
      </c>
      <c r="CN89" s="48">
        <v>377000000</v>
      </c>
      <c r="CO89" s="48">
        <v>9.8699999999999992</v>
      </c>
      <c r="CP89" s="49"/>
      <c r="CQ89" s="48">
        <v>291000000</v>
      </c>
      <c r="CR89" s="48">
        <v>54500000</v>
      </c>
      <c r="CS89" s="50">
        <v>18.8</v>
      </c>
    </row>
    <row r="92" spans="1:97" ht="30.95">
      <c r="A92" s="5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A1416"/>
  <sheetViews>
    <sheetView tabSelected="1" workbookViewId="0">
      <selection activeCell="C7" sqref="C7"/>
    </sheetView>
  </sheetViews>
  <sheetFormatPr defaultColWidth="8.85546875" defaultRowHeight="15"/>
  <cols>
    <col min="1" max="1" width="9.7109375" bestFit="1" customWidth="1"/>
    <col min="3" max="3" width="10.85546875" customWidth="1"/>
  </cols>
  <sheetData>
    <row r="1" spans="1:79">
      <c r="A1" s="97" t="s">
        <v>72</v>
      </c>
      <c r="B1" s="38" t="s">
        <v>73</v>
      </c>
      <c r="C1" s="39"/>
      <c r="D1" s="38" t="s">
        <v>74</v>
      </c>
      <c r="E1" s="39"/>
      <c r="F1" s="38" t="s">
        <v>75</v>
      </c>
      <c r="G1" s="39"/>
      <c r="H1" s="38" t="s">
        <v>76</v>
      </c>
      <c r="I1" s="39"/>
      <c r="J1" s="38" t="s">
        <v>77</v>
      </c>
      <c r="K1" s="39"/>
      <c r="L1" s="38" t="s">
        <v>78</v>
      </c>
      <c r="M1" s="39"/>
      <c r="N1" s="38" t="s">
        <v>79</v>
      </c>
      <c r="O1" s="39"/>
      <c r="P1" s="38" t="s">
        <v>80</v>
      </c>
      <c r="Q1" s="39"/>
      <c r="R1" s="38" t="s">
        <v>81</v>
      </c>
      <c r="S1" s="39"/>
      <c r="T1" s="38" t="s">
        <v>82</v>
      </c>
      <c r="U1" s="39"/>
      <c r="V1" s="38" t="s">
        <v>83</v>
      </c>
      <c r="W1" s="39"/>
      <c r="X1" s="38" t="s">
        <v>84</v>
      </c>
      <c r="Y1" s="39"/>
      <c r="Z1" s="38" t="s">
        <v>85</v>
      </c>
      <c r="AA1" s="39"/>
      <c r="AB1" s="38" t="s">
        <v>86</v>
      </c>
      <c r="AC1" s="39"/>
      <c r="AD1" s="38" t="s">
        <v>87</v>
      </c>
      <c r="AE1" s="39"/>
      <c r="AF1" s="38" t="s">
        <v>88</v>
      </c>
      <c r="AG1" s="39"/>
      <c r="AH1" s="38" t="s">
        <v>89</v>
      </c>
      <c r="AI1" s="39"/>
      <c r="AJ1" s="38" t="s">
        <v>90</v>
      </c>
      <c r="AK1" s="39"/>
      <c r="AL1" s="38" t="s">
        <v>91</v>
      </c>
      <c r="AM1" s="39"/>
      <c r="AN1" s="38" t="s">
        <v>92</v>
      </c>
      <c r="AO1" s="39"/>
      <c r="AP1" s="38" t="s">
        <v>93</v>
      </c>
      <c r="AQ1" s="39"/>
      <c r="AR1" s="38" t="s">
        <v>94</v>
      </c>
      <c r="AS1" s="39"/>
      <c r="AT1" s="38" t="s">
        <v>95</v>
      </c>
      <c r="AU1" s="39"/>
      <c r="AV1" s="38" t="s">
        <v>96</v>
      </c>
      <c r="AW1" s="39"/>
      <c r="AX1" s="38" t="s">
        <v>97</v>
      </c>
      <c r="AY1" s="39"/>
      <c r="AZ1" s="40"/>
      <c r="BA1" s="38" t="s">
        <v>98</v>
      </c>
      <c r="BB1" s="39"/>
      <c r="BC1" s="38" t="s">
        <v>99</v>
      </c>
      <c r="BD1" s="39"/>
      <c r="BE1" s="38" t="s">
        <v>100</v>
      </c>
      <c r="BF1" s="39"/>
      <c r="BG1" s="38" t="s">
        <v>101</v>
      </c>
      <c r="BH1" s="39"/>
      <c r="BI1" s="38" t="s">
        <v>102</v>
      </c>
      <c r="BJ1" s="39"/>
      <c r="BK1" s="40"/>
      <c r="BL1" s="38" t="s">
        <v>103</v>
      </c>
      <c r="BM1" s="39"/>
      <c r="BN1" s="38" t="s">
        <v>105</v>
      </c>
      <c r="BO1" s="39"/>
      <c r="BP1" s="38" t="s">
        <v>105</v>
      </c>
      <c r="BQ1" s="39"/>
      <c r="BR1" s="38" t="s">
        <v>105</v>
      </c>
      <c r="BS1" s="39"/>
      <c r="BT1" s="38" t="s">
        <v>105</v>
      </c>
      <c r="BU1" s="39"/>
      <c r="BV1" s="38" t="s">
        <v>105</v>
      </c>
      <c r="BW1" s="39"/>
      <c r="BX1" s="40"/>
      <c r="BY1" s="40"/>
      <c r="BZ1" s="40"/>
      <c r="CA1" s="41"/>
    </row>
    <row r="2" spans="1:79">
      <c r="A2" s="42" t="s">
        <v>110</v>
      </c>
      <c r="B2" s="32">
        <v>2</v>
      </c>
      <c r="C2" s="31"/>
      <c r="D2" s="32">
        <v>5</v>
      </c>
      <c r="E2" s="31"/>
      <c r="F2" s="32">
        <v>5</v>
      </c>
      <c r="G2" s="31"/>
      <c r="H2" s="32">
        <v>5</v>
      </c>
      <c r="I2" s="31"/>
      <c r="J2" s="31"/>
      <c r="K2" s="31"/>
      <c r="L2" s="32">
        <v>5</v>
      </c>
      <c r="M2" s="31"/>
      <c r="N2" s="32">
        <v>5</v>
      </c>
      <c r="O2" s="31"/>
      <c r="P2" s="32">
        <v>6</v>
      </c>
      <c r="Q2" s="31"/>
      <c r="R2" s="32">
        <v>6</v>
      </c>
      <c r="S2" s="31"/>
      <c r="T2" s="32">
        <v>6</v>
      </c>
      <c r="U2" s="31"/>
      <c r="V2" s="32">
        <v>3</v>
      </c>
      <c r="W2" s="31"/>
      <c r="X2" s="32">
        <v>3</v>
      </c>
      <c r="Y2" s="31"/>
      <c r="Z2" s="32">
        <v>2</v>
      </c>
      <c r="AA2" s="31"/>
      <c r="AB2" s="32">
        <v>2</v>
      </c>
      <c r="AC2" s="31"/>
      <c r="AD2" s="32">
        <v>2</v>
      </c>
      <c r="AE2" s="31"/>
      <c r="AF2" s="32">
        <v>3</v>
      </c>
      <c r="AG2" s="31"/>
      <c r="AH2" s="32">
        <v>6</v>
      </c>
      <c r="AI2" s="31"/>
      <c r="AJ2" s="32">
        <v>1</v>
      </c>
      <c r="AK2" s="31"/>
      <c r="AL2" s="32">
        <v>1</v>
      </c>
      <c r="AM2" s="31"/>
      <c r="AN2" s="32">
        <v>1</v>
      </c>
      <c r="AO2" s="31"/>
      <c r="AP2" s="32">
        <v>1</v>
      </c>
      <c r="AQ2" s="31"/>
      <c r="AR2" s="32">
        <v>1</v>
      </c>
      <c r="AS2" s="31"/>
      <c r="AT2" s="32">
        <v>1</v>
      </c>
      <c r="AU2" s="31"/>
      <c r="AV2" s="32">
        <v>1</v>
      </c>
      <c r="AW2" s="31"/>
      <c r="AX2" s="32">
        <v>1</v>
      </c>
      <c r="AY2" s="31"/>
      <c r="AZ2" s="5"/>
      <c r="BA2" s="32">
        <v>4</v>
      </c>
      <c r="BB2" s="31"/>
      <c r="BC2" s="32">
        <v>4</v>
      </c>
      <c r="BD2" s="31"/>
      <c r="BE2" s="32">
        <v>4</v>
      </c>
      <c r="BF2" s="31"/>
      <c r="BG2" s="32">
        <v>4</v>
      </c>
      <c r="BH2" s="31"/>
      <c r="BI2" s="31"/>
      <c r="BJ2" s="31"/>
      <c r="BK2" s="5"/>
      <c r="BL2" s="32">
        <v>1</v>
      </c>
      <c r="BM2" s="31"/>
      <c r="BN2" s="32">
        <v>2</v>
      </c>
      <c r="BO2" s="31"/>
      <c r="BP2" s="32">
        <v>3</v>
      </c>
      <c r="BQ2" s="31"/>
      <c r="BR2" s="32">
        <v>4</v>
      </c>
      <c r="BS2" s="31"/>
      <c r="BT2" s="32">
        <v>5</v>
      </c>
      <c r="BU2" s="31"/>
      <c r="BV2" s="32">
        <v>6</v>
      </c>
      <c r="BW2" s="31"/>
      <c r="BX2" s="5"/>
      <c r="BY2" s="5"/>
      <c r="BZ2" s="5"/>
      <c r="CA2" s="16"/>
    </row>
    <row r="3" spans="1:79" ht="27.95">
      <c r="A3" s="22"/>
      <c r="B3" s="1" t="s">
        <v>111</v>
      </c>
      <c r="C3" s="2"/>
      <c r="D3" s="1" t="s">
        <v>112</v>
      </c>
      <c r="E3" s="2"/>
      <c r="F3" s="1" t="s">
        <v>113</v>
      </c>
      <c r="G3" s="2"/>
      <c r="H3" s="1" t="s">
        <v>114</v>
      </c>
      <c r="I3" s="2"/>
      <c r="J3" s="1" t="s">
        <v>115</v>
      </c>
      <c r="K3" s="2"/>
      <c r="L3" s="1" t="s">
        <v>116</v>
      </c>
      <c r="M3" s="2"/>
      <c r="N3" s="1" t="s">
        <v>117</v>
      </c>
      <c r="O3" s="2"/>
      <c r="P3" s="1" t="s">
        <v>118</v>
      </c>
      <c r="Q3" s="2"/>
      <c r="R3" s="1" t="s">
        <v>119</v>
      </c>
      <c r="S3" s="2"/>
      <c r="T3" s="1" t="s">
        <v>120</v>
      </c>
      <c r="U3" s="2"/>
      <c r="V3" s="1" t="s">
        <v>121</v>
      </c>
      <c r="W3" s="2"/>
      <c r="X3" s="1" t="s">
        <v>122</v>
      </c>
      <c r="Y3" s="2"/>
      <c r="Z3" s="1" t="s">
        <v>123</v>
      </c>
      <c r="AA3" s="2"/>
      <c r="AB3" s="1" t="s">
        <v>124</v>
      </c>
      <c r="AC3" s="2"/>
      <c r="AD3" s="1" t="s">
        <v>125</v>
      </c>
      <c r="AE3" s="2"/>
      <c r="AF3" s="1" t="s">
        <v>126</v>
      </c>
      <c r="AG3" s="2"/>
      <c r="AH3" s="1" t="s">
        <v>127</v>
      </c>
      <c r="AI3" s="2"/>
      <c r="AJ3" s="1" t="s">
        <v>128</v>
      </c>
      <c r="AK3" s="2"/>
      <c r="AL3" s="1" t="s">
        <v>129</v>
      </c>
      <c r="AM3" s="2"/>
      <c r="AN3" s="1" t="s">
        <v>130</v>
      </c>
      <c r="AO3" s="2"/>
      <c r="AP3" s="1" t="s">
        <v>131</v>
      </c>
      <c r="AQ3" s="2"/>
      <c r="AR3" s="1" t="s">
        <v>132</v>
      </c>
      <c r="AS3" s="2"/>
      <c r="AT3" s="1" t="s">
        <v>133</v>
      </c>
      <c r="AU3" s="2"/>
      <c r="AV3" s="1" t="s">
        <v>134</v>
      </c>
      <c r="AW3" s="2"/>
      <c r="AX3" s="1" t="s">
        <v>135</v>
      </c>
      <c r="AY3" s="2"/>
      <c r="AZ3" s="3"/>
      <c r="BA3" s="1" t="s">
        <v>136</v>
      </c>
      <c r="BB3" s="2"/>
      <c r="BC3" s="1" t="s">
        <v>137</v>
      </c>
      <c r="BD3" s="2"/>
      <c r="BE3" s="1" t="s">
        <v>138</v>
      </c>
      <c r="BF3" s="2"/>
      <c r="BG3" s="1" t="s">
        <v>139</v>
      </c>
      <c r="BH3" s="2"/>
      <c r="BI3" s="2"/>
      <c r="BJ3" s="2"/>
      <c r="BK3" s="3"/>
      <c r="BL3" s="1" t="s">
        <v>140</v>
      </c>
      <c r="BM3" s="2"/>
      <c r="BN3" s="1" t="s">
        <v>142</v>
      </c>
      <c r="BO3" s="2"/>
      <c r="BP3" s="1" t="s">
        <v>142</v>
      </c>
      <c r="BQ3" s="2"/>
      <c r="BR3" s="1" t="s">
        <v>142</v>
      </c>
      <c r="BS3" s="2"/>
      <c r="BT3" s="1" t="s">
        <v>142</v>
      </c>
      <c r="BU3" s="2"/>
      <c r="BV3" s="1" t="s">
        <v>142</v>
      </c>
      <c r="BW3" s="2"/>
      <c r="BX3" s="3"/>
      <c r="BY3" s="33" t="s">
        <v>147</v>
      </c>
      <c r="BZ3" s="34"/>
      <c r="CA3" s="43"/>
    </row>
    <row r="4" spans="1:79">
      <c r="A4" s="18"/>
      <c r="B4" s="1" t="s">
        <v>1</v>
      </c>
      <c r="C4" s="1" t="s">
        <v>7</v>
      </c>
      <c r="D4" s="1" t="s">
        <v>1</v>
      </c>
      <c r="E4" s="1" t="s">
        <v>7</v>
      </c>
      <c r="F4" s="1" t="s">
        <v>1</v>
      </c>
      <c r="G4" s="1" t="s">
        <v>7</v>
      </c>
      <c r="H4" s="1" t="s">
        <v>1</v>
      </c>
      <c r="I4" s="1" t="s">
        <v>7</v>
      </c>
      <c r="J4" s="1" t="s">
        <v>1</v>
      </c>
      <c r="K4" s="1" t="s">
        <v>7</v>
      </c>
      <c r="L4" s="1" t="s">
        <v>1</v>
      </c>
      <c r="M4" s="1" t="s">
        <v>7</v>
      </c>
      <c r="N4" s="1" t="s">
        <v>1</v>
      </c>
      <c r="O4" s="1" t="s">
        <v>7</v>
      </c>
      <c r="P4" s="1" t="s">
        <v>1</v>
      </c>
      <c r="Q4" s="1" t="s">
        <v>7</v>
      </c>
      <c r="R4" s="1" t="s">
        <v>1</v>
      </c>
      <c r="S4" s="1" t="s">
        <v>7</v>
      </c>
      <c r="T4" s="1" t="s">
        <v>1</v>
      </c>
      <c r="U4" s="1" t="s">
        <v>7</v>
      </c>
      <c r="V4" s="1" t="s">
        <v>1</v>
      </c>
      <c r="W4" s="1" t="s">
        <v>7</v>
      </c>
      <c r="X4" s="1" t="s">
        <v>1</v>
      </c>
      <c r="Y4" s="1" t="s">
        <v>7</v>
      </c>
      <c r="Z4" s="1" t="s">
        <v>1</v>
      </c>
      <c r="AA4" s="1" t="s">
        <v>7</v>
      </c>
      <c r="AB4" s="1" t="s">
        <v>1</v>
      </c>
      <c r="AC4" s="1" t="s">
        <v>7</v>
      </c>
      <c r="AD4" s="1" t="s">
        <v>1</v>
      </c>
      <c r="AE4" s="1" t="s">
        <v>7</v>
      </c>
      <c r="AF4" s="1" t="s">
        <v>1</v>
      </c>
      <c r="AG4" s="1" t="s">
        <v>7</v>
      </c>
      <c r="AH4" s="1" t="s">
        <v>1</v>
      </c>
      <c r="AI4" s="1" t="s">
        <v>7</v>
      </c>
      <c r="AJ4" s="1" t="s">
        <v>1</v>
      </c>
      <c r="AK4" s="1" t="s">
        <v>7</v>
      </c>
      <c r="AL4" s="1" t="s">
        <v>1</v>
      </c>
      <c r="AM4" s="1" t="s">
        <v>7</v>
      </c>
      <c r="AN4" s="1" t="s">
        <v>1</v>
      </c>
      <c r="AO4" s="1" t="s">
        <v>7</v>
      </c>
      <c r="AP4" s="1" t="s">
        <v>1</v>
      </c>
      <c r="AQ4" s="1" t="s">
        <v>7</v>
      </c>
      <c r="AR4" s="1" t="s">
        <v>1</v>
      </c>
      <c r="AS4" s="1" t="s">
        <v>7</v>
      </c>
      <c r="AT4" s="1" t="s">
        <v>1</v>
      </c>
      <c r="AU4" s="1" t="s">
        <v>7</v>
      </c>
      <c r="AV4" s="1" t="s">
        <v>1</v>
      </c>
      <c r="AW4" s="1" t="s">
        <v>7</v>
      </c>
      <c r="AX4" s="1" t="s">
        <v>1</v>
      </c>
      <c r="AY4" s="1" t="s">
        <v>7</v>
      </c>
      <c r="AZ4" s="5"/>
      <c r="BA4" s="1" t="s">
        <v>1</v>
      </c>
      <c r="BB4" s="1" t="s">
        <v>7</v>
      </c>
      <c r="BC4" s="1" t="s">
        <v>1</v>
      </c>
      <c r="BD4" s="1" t="s">
        <v>7</v>
      </c>
      <c r="BE4" s="1" t="s">
        <v>1</v>
      </c>
      <c r="BF4" s="1" t="s">
        <v>7</v>
      </c>
      <c r="BG4" s="1" t="s">
        <v>1</v>
      </c>
      <c r="BH4" s="1" t="s">
        <v>7</v>
      </c>
      <c r="BI4" s="2"/>
      <c r="BJ4" s="2"/>
      <c r="BK4" s="5"/>
      <c r="BL4" s="1" t="s">
        <v>1</v>
      </c>
      <c r="BM4" s="1" t="s">
        <v>7</v>
      </c>
      <c r="BN4" s="1" t="s">
        <v>1</v>
      </c>
      <c r="BO4" s="1" t="s">
        <v>7</v>
      </c>
      <c r="BP4" s="1" t="s">
        <v>1</v>
      </c>
      <c r="BQ4" s="1" t="s">
        <v>7</v>
      </c>
      <c r="BR4" s="1" t="s">
        <v>1</v>
      </c>
      <c r="BS4" s="1" t="s">
        <v>7</v>
      </c>
      <c r="BT4" s="1" t="s">
        <v>1</v>
      </c>
      <c r="BU4" s="1" t="s">
        <v>7</v>
      </c>
      <c r="BV4" s="1" t="s">
        <v>1</v>
      </c>
      <c r="BW4" s="1" t="s">
        <v>7</v>
      </c>
      <c r="BX4" s="5"/>
      <c r="BY4" s="1" t="s">
        <v>3</v>
      </c>
      <c r="BZ4" s="1" t="s">
        <v>5</v>
      </c>
      <c r="CA4" s="44" t="s">
        <v>7</v>
      </c>
    </row>
    <row r="5" spans="1:79">
      <c r="A5" s="13" t="s">
        <v>111</v>
      </c>
      <c r="B5" s="35">
        <v>1.6299999999999999E-3</v>
      </c>
      <c r="C5" s="35">
        <v>14.5</v>
      </c>
      <c r="D5" s="35">
        <v>0.22800000000000001</v>
      </c>
      <c r="E5" s="35">
        <v>1.35</v>
      </c>
      <c r="F5" s="35">
        <v>0.28100000000000003</v>
      </c>
      <c r="G5" s="35">
        <v>29.6</v>
      </c>
      <c r="H5" s="35">
        <v>0.17399999999999999</v>
      </c>
      <c r="I5" s="35">
        <v>17.600000000000001</v>
      </c>
      <c r="J5" s="3"/>
      <c r="K5" s="3"/>
      <c r="L5" s="35">
        <v>0.13700000000000001</v>
      </c>
      <c r="M5" s="35">
        <v>41.9</v>
      </c>
      <c r="N5" s="35">
        <v>0.112</v>
      </c>
      <c r="O5" s="35">
        <v>0.79300000000000004</v>
      </c>
      <c r="P5" s="35">
        <v>3.8399999999999997E-2</v>
      </c>
      <c r="Q5" s="35">
        <v>12.6</v>
      </c>
      <c r="R5" s="35">
        <v>0.12</v>
      </c>
      <c r="S5" s="35">
        <v>58.7</v>
      </c>
      <c r="T5" s="35">
        <v>0.106</v>
      </c>
      <c r="U5" s="35">
        <v>79.2</v>
      </c>
      <c r="V5" s="35">
        <v>7.8899999999999998E-2</v>
      </c>
      <c r="W5" s="35">
        <v>20.2</v>
      </c>
      <c r="X5" s="35">
        <v>4.7199999999999999E-2</v>
      </c>
      <c r="Y5" s="35">
        <v>15.6</v>
      </c>
      <c r="Z5" s="35">
        <v>4.53E-2</v>
      </c>
      <c r="AA5" s="35">
        <v>22.3</v>
      </c>
      <c r="AB5" s="35">
        <v>4.2999999999999997E-2</v>
      </c>
      <c r="AC5" s="35">
        <v>17.2</v>
      </c>
      <c r="AD5" s="35">
        <v>3.3099999999999997E-2</v>
      </c>
      <c r="AE5" s="35">
        <v>20.100000000000001</v>
      </c>
      <c r="AF5" s="35">
        <v>8.2699999999999996E-2</v>
      </c>
      <c r="AG5" s="35">
        <v>23.8</v>
      </c>
      <c r="AH5" s="35">
        <v>6.0900000000000003E-2</v>
      </c>
      <c r="AI5" s="35">
        <v>14.5</v>
      </c>
      <c r="AJ5" s="35">
        <v>3.8600000000000002E-2</v>
      </c>
      <c r="AK5" s="35">
        <v>41.9</v>
      </c>
      <c r="AL5" s="35">
        <v>5.5100000000000003E-2</v>
      </c>
      <c r="AM5" s="35">
        <v>1.23</v>
      </c>
      <c r="AN5" s="35">
        <v>6.13E-2</v>
      </c>
      <c r="AO5" s="35">
        <v>38.6</v>
      </c>
      <c r="AP5" s="35">
        <v>6.0400000000000002E-2</v>
      </c>
      <c r="AQ5" s="35">
        <v>16.600000000000001</v>
      </c>
      <c r="AR5" s="35">
        <v>5.33E-2</v>
      </c>
      <c r="AS5" s="35">
        <v>16.899999999999999</v>
      </c>
      <c r="AT5" s="35">
        <v>3.5900000000000001E-2</v>
      </c>
      <c r="AU5" s="35">
        <v>29.8</v>
      </c>
      <c r="AV5" s="35">
        <v>5.5E-2</v>
      </c>
      <c r="AW5" s="35">
        <v>46.1</v>
      </c>
      <c r="AX5" s="35">
        <v>4.5199999999999997E-2</v>
      </c>
      <c r="AY5" s="35">
        <v>22.2</v>
      </c>
      <c r="AZ5" s="3"/>
      <c r="BA5" s="35">
        <v>1.66E-2</v>
      </c>
      <c r="BB5" s="35">
        <v>13.2</v>
      </c>
      <c r="BC5" s="35">
        <v>1.8200000000000001E-2</v>
      </c>
      <c r="BD5" s="35">
        <v>12.1</v>
      </c>
      <c r="BE5" s="35">
        <v>2.5499999999999998E-2</v>
      </c>
      <c r="BF5" s="35">
        <v>6.33</v>
      </c>
      <c r="BG5" s="35">
        <v>4.2299999999999997E-2</v>
      </c>
      <c r="BH5" s="35">
        <v>51.6</v>
      </c>
      <c r="BI5" s="3"/>
      <c r="BJ5" s="3"/>
      <c r="BK5" s="3"/>
      <c r="BL5" s="35">
        <v>3.0200000000000001E-2</v>
      </c>
      <c r="BM5" s="35">
        <v>32.799999999999997</v>
      </c>
      <c r="BN5" s="35">
        <v>4.19E-2</v>
      </c>
      <c r="BO5" s="35">
        <v>28.8</v>
      </c>
      <c r="BP5" s="35">
        <v>9.8500000000000004E-2</v>
      </c>
      <c r="BQ5" s="35">
        <v>1.27</v>
      </c>
      <c r="BR5" s="35">
        <v>2.6700000000000002E-2</v>
      </c>
      <c r="BS5" s="35">
        <v>8.99</v>
      </c>
      <c r="BT5" s="35">
        <v>0.23799999999999999</v>
      </c>
      <c r="BU5" s="35">
        <v>4.6399999999999997</v>
      </c>
      <c r="BV5" s="35">
        <v>6.9900000000000004E-2</v>
      </c>
      <c r="BW5" s="35">
        <v>92</v>
      </c>
      <c r="BX5" s="3"/>
      <c r="BY5" s="35">
        <v>8.4199999999999997E-2</v>
      </c>
      <c r="BZ5" s="35">
        <v>0.08</v>
      </c>
      <c r="CA5" s="45">
        <v>95.1</v>
      </c>
    </row>
    <row r="6" spans="1:79">
      <c r="A6" s="13" t="s">
        <v>112</v>
      </c>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16"/>
    </row>
    <row r="7" spans="1:79">
      <c r="A7" s="13" t="s">
        <v>113</v>
      </c>
      <c r="B7" s="35">
        <v>3.1600000000000003E-2</v>
      </c>
      <c r="C7" s="35">
        <v>26.3</v>
      </c>
      <c r="D7" s="35">
        <v>0.13800000000000001</v>
      </c>
      <c r="E7" s="35">
        <v>35.9</v>
      </c>
      <c r="F7" s="3"/>
      <c r="G7" s="3"/>
      <c r="H7" s="35">
        <v>8.8499999999999995E-2</v>
      </c>
      <c r="I7" s="35">
        <v>1.29</v>
      </c>
      <c r="J7" s="3"/>
      <c r="K7" s="3"/>
      <c r="L7" s="35">
        <v>0.108</v>
      </c>
      <c r="M7" s="35">
        <v>61.3</v>
      </c>
      <c r="N7" s="35">
        <v>0.17499999999999999</v>
      </c>
      <c r="O7" s="35">
        <v>3.39</v>
      </c>
      <c r="P7" s="35">
        <v>8.3099999999999993E-2</v>
      </c>
      <c r="Q7" s="35">
        <v>5.71</v>
      </c>
      <c r="R7" s="35">
        <v>0.114</v>
      </c>
      <c r="S7" s="35">
        <v>2.77</v>
      </c>
      <c r="T7" s="35">
        <v>7.7799999999999994E-2</v>
      </c>
      <c r="U7" s="35">
        <v>27.3</v>
      </c>
      <c r="V7" s="35">
        <v>4.7500000000000001E-2</v>
      </c>
      <c r="W7" s="35">
        <v>9.56</v>
      </c>
      <c r="X7" s="35">
        <v>4.2799999999999998E-2</v>
      </c>
      <c r="Y7" s="35">
        <v>47.4</v>
      </c>
      <c r="Z7" s="35">
        <v>2.5600000000000001E-2</v>
      </c>
      <c r="AA7" s="35">
        <v>22.4</v>
      </c>
      <c r="AB7" s="35">
        <v>3.1399999999999997E-2</v>
      </c>
      <c r="AC7" s="35">
        <v>21.1</v>
      </c>
      <c r="AD7" s="35">
        <v>2.0500000000000001E-2</v>
      </c>
      <c r="AE7" s="35">
        <v>38.6</v>
      </c>
      <c r="AF7" s="35">
        <v>0.08</v>
      </c>
      <c r="AG7" s="35">
        <v>12.2</v>
      </c>
      <c r="AH7" s="35">
        <v>0.126</v>
      </c>
      <c r="AI7" s="35">
        <v>24.6</v>
      </c>
      <c r="AJ7" s="35">
        <v>4.5900000000000003E-2</v>
      </c>
      <c r="AK7" s="35">
        <v>45.6</v>
      </c>
      <c r="AL7" s="35">
        <v>9.11E-2</v>
      </c>
      <c r="AM7" s="35">
        <v>14.8</v>
      </c>
      <c r="AN7" s="35">
        <v>8.1500000000000003E-2</v>
      </c>
      <c r="AO7" s="35">
        <v>20.9</v>
      </c>
      <c r="AP7" s="35">
        <v>8.5300000000000001E-2</v>
      </c>
      <c r="AQ7" s="35">
        <v>22</v>
      </c>
      <c r="AR7" s="35">
        <v>9.1200000000000003E-2</v>
      </c>
      <c r="AS7" s="35">
        <v>31.6</v>
      </c>
      <c r="AT7" s="35">
        <v>4.5499999999999999E-2</v>
      </c>
      <c r="AU7" s="35">
        <v>20.100000000000001</v>
      </c>
      <c r="AV7" s="35">
        <v>6.2E-2</v>
      </c>
      <c r="AW7" s="35">
        <v>39.799999999999997</v>
      </c>
      <c r="AX7" s="35">
        <v>4.9099999999999998E-2</v>
      </c>
      <c r="AY7" s="35">
        <v>46.8</v>
      </c>
      <c r="AZ7" s="3"/>
      <c r="BA7" s="35">
        <v>3.09E-2</v>
      </c>
      <c r="BB7" s="35">
        <v>1.18</v>
      </c>
      <c r="BC7" s="35">
        <v>1.8800000000000001E-2</v>
      </c>
      <c r="BD7" s="35">
        <v>33.1</v>
      </c>
      <c r="BE7" s="35">
        <v>5.1700000000000003E-2</v>
      </c>
      <c r="BF7" s="35">
        <v>65.2</v>
      </c>
      <c r="BG7" s="35">
        <v>2.8400000000000002E-2</v>
      </c>
      <c r="BH7" s="35">
        <v>91.4</v>
      </c>
      <c r="BI7" s="3"/>
      <c r="BJ7" s="3"/>
      <c r="BK7" s="3"/>
      <c r="BL7" s="35">
        <v>7.3200000000000001E-2</v>
      </c>
      <c r="BM7" s="35">
        <v>15.2</v>
      </c>
      <c r="BN7" s="35">
        <v>3.9199999999999999E-2</v>
      </c>
      <c r="BO7" s="35">
        <v>26.6</v>
      </c>
      <c r="BP7" s="35">
        <v>3.9399999999999998E-2</v>
      </c>
      <c r="BQ7" s="35">
        <v>15</v>
      </c>
      <c r="BR7" s="35">
        <v>1.3899999999999999E-2</v>
      </c>
      <c r="BS7" s="35">
        <v>25.9</v>
      </c>
      <c r="BT7" s="35">
        <v>0.185</v>
      </c>
      <c r="BU7" s="35">
        <v>2.1800000000000002</v>
      </c>
      <c r="BV7" s="35">
        <v>9.2200000000000004E-2</v>
      </c>
      <c r="BW7" s="35">
        <v>56.3</v>
      </c>
      <c r="BX7" s="3"/>
      <c r="BY7" s="35">
        <v>7.3800000000000004E-2</v>
      </c>
      <c r="BZ7" s="35">
        <v>6.0999999999999999E-2</v>
      </c>
      <c r="CA7" s="45">
        <v>82.6</v>
      </c>
    </row>
    <row r="8" spans="1:79">
      <c r="A8" s="13" t="s">
        <v>114</v>
      </c>
      <c r="B8" s="36">
        <v>0.129</v>
      </c>
      <c r="C8" s="36">
        <v>5.95</v>
      </c>
      <c r="D8" s="36">
        <v>0.68</v>
      </c>
      <c r="E8" s="36">
        <v>8.14</v>
      </c>
      <c r="F8" s="36">
        <v>0.46500000000000002</v>
      </c>
      <c r="G8" s="36">
        <v>19.2</v>
      </c>
      <c r="H8" s="36">
        <v>1.66E-2</v>
      </c>
      <c r="I8" s="5"/>
      <c r="J8" s="5"/>
      <c r="K8" s="5"/>
      <c r="L8" s="36">
        <v>0.308</v>
      </c>
      <c r="M8" s="36">
        <v>29.2</v>
      </c>
      <c r="N8" s="36">
        <v>0.57299999999999995</v>
      </c>
      <c r="O8" s="36">
        <v>10</v>
      </c>
      <c r="P8" s="36">
        <v>0.22500000000000001</v>
      </c>
      <c r="Q8" s="36">
        <v>39.4</v>
      </c>
      <c r="R8" s="36">
        <v>0.316</v>
      </c>
      <c r="S8" s="36">
        <v>3.12</v>
      </c>
      <c r="T8" s="36">
        <v>0.23499999999999999</v>
      </c>
      <c r="U8" s="36">
        <v>11.1</v>
      </c>
      <c r="V8" s="36">
        <v>0.47</v>
      </c>
      <c r="W8" s="36">
        <v>10.6</v>
      </c>
      <c r="X8" s="36">
        <v>0.438</v>
      </c>
      <c r="Y8" s="36">
        <v>5.19</v>
      </c>
      <c r="Z8" s="36">
        <v>0.13200000000000001</v>
      </c>
      <c r="AA8" s="36">
        <v>4.62</v>
      </c>
      <c r="AB8" s="36">
        <v>0.157</v>
      </c>
      <c r="AC8" s="36">
        <v>6.59</v>
      </c>
      <c r="AD8" s="36">
        <v>0.126</v>
      </c>
      <c r="AE8" s="36">
        <v>0.443</v>
      </c>
      <c r="AF8" s="36">
        <v>0.442</v>
      </c>
      <c r="AG8" s="36">
        <v>2.8</v>
      </c>
      <c r="AH8" s="36">
        <v>0.21</v>
      </c>
      <c r="AI8" s="36">
        <v>14.4</v>
      </c>
      <c r="AJ8" s="36">
        <v>0.435</v>
      </c>
      <c r="AK8" s="36">
        <v>18.600000000000001</v>
      </c>
      <c r="AL8" s="36">
        <v>0.496</v>
      </c>
      <c r="AM8" s="36">
        <v>1.67</v>
      </c>
      <c r="AN8" s="36">
        <v>0.19</v>
      </c>
      <c r="AO8" s="36">
        <v>1.63</v>
      </c>
      <c r="AP8" s="36">
        <v>0.23699999999999999</v>
      </c>
      <c r="AQ8" s="36">
        <v>34.5</v>
      </c>
      <c r="AR8" s="36">
        <v>0.32300000000000001</v>
      </c>
      <c r="AS8" s="36">
        <v>3.09</v>
      </c>
      <c r="AT8" s="36">
        <v>0.45400000000000001</v>
      </c>
      <c r="AU8" s="36">
        <v>9.92</v>
      </c>
      <c r="AV8" s="36">
        <v>0.51200000000000001</v>
      </c>
      <c r="AW8" s="36">
        <v>12.4</v>
      </c>
      <c r="AX8" s="36">
        <v>0.42199999999999999</v>
      </c>
      <c r="AY8" s="36">
        <v>6.24</v>
      </c>
      <c r="AZ8" s="5"/>
      <c r="BA8" s="36">
        <v>0.17499999999999999</v>
      </c>
      <c r="BB8" s="36">
        <v>7.83</v>
      </c>
      <c r="BC8" s="36">
        <v>0.113</v>
      </c>
      <c r="BD8" s="36">
        <v>8.5500000000000007</v>
      </c>
      <c r="BE8" s="36">
        <v>0.157</v>
      </c>
      <c r="BF8" s="36">
        <v>8.64</v>
      </c>
      <c r="BG8" s="36">
        <v>0.309</v>
      </c>
      <c r="BH8" s="36">
        <v>11.5</v>
      </c>
      <c r="BI8" s="5"/>
      <c r="BJ8" s="5"/>
      <c r="BK8" s="5"/>
      <c r="BL8" s="36">
        <v>0.23599999999999999</v>
      </c>
      <c r="BM8" s="36">
        <v>11.3</v>
      </c>
      <c r="BN8" s="36">
        <v>0.223</v>
      </c>
      <c r="BO8" s="36">
        <v>32.9</v>
      </c>
      <c r="BP8" s="36">
        <v>0.371</v>
      </c>
      <c r="BQ8" s="36">
        <v>8.6300000000000008</v>
      </c>
      <c r="BR8" s="36">
        <v>0.111</v>
      </c>
      <c r="BS8" s="36">
        <v>5.37</v>
      </c>
      <c r="BT8" s="36">
        <v>0.51400000000000001</v>
      </c>
      <c r="BU8" s="36">
        <v>6.06</v>
      </c>
      <c r="BV8" s="36">
        <v>0.17299999999999999</v>
      </c>
      <c r="BW8" s="36">
        <v>4.07</v>
      </c>
      <c r="BX8" s="5"/>
      <c r="BY8" s="36">
        <v>0.27100000000000002</v>
      </c>
      <c r="BZ8" s="36">
        <v>0.14699999999999999</v>
      </c>
      <c r="CA8" s="46">
        <v>54.2</v>
      </c>
    </row>
    <row r="9" spans="1:79">
      <c r="A9" s="13" t="s">
        <v>148</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5">
        <v>1.6899999999999998E-2</v>
      </c>
      <c r="BO9" s="35">
        <v>71.3</v>
      </c>
      <c r="BP9" s="3"/>
      <c r="BQ9" s="3"/>
      <c r="BR9" s="3"/>
      <c r="BS9" s="3"/>
      <c r="BT9" s="3"/>
      <c r="BU9" s="3"/>
      <c r="BV9" s="3"/>
      <c r="BW9" s="3"/>
      <c r="BX9" s="3"/>
      <c r="BY9" s="35">
        <v>1.6899999999999998E-2</v>
      </c>
      <c r="BZ9" s="3"/>
      <c r="CA9" s="14"/>
    </row>
    <row r="10" spans="1:79">
      <c r="A10" s="13" t="s">
        <v>117</v>
      </c>
      <c r="B10" s="36">
        <v>3.3099999999999997E-2</v>
      </c>
      <c r="C10" s="36">
        <v>23.4</v>
      </c>
      <c r="D10" s="36">
        <v>3.6999999999999998E-2</v>
      </c>
      <c r="E10" s="36">
        <v>11.6</v>
      </c>
      <c r="F10" s="36">
        <v>0.128</v>
      </c>
      <c r="G10" s="36">
        <v>8.65</v>
      </c>
      <c r="H10" s="36">
        <v>0.19900000000000001</v>
      </c>
      <c r="I10" s="36">
        <v>43.9</v>
      </c>
      <c r="J10" s="5"/>
      <c r="K10" s="5"/>
      <c r="L10" s="36">
        <v>2.17</v>
      </c>
      <c r="M10" s="36">
        <v>10.3</v>
      </c>
      <c r="N10" s="5"/>
      <c r="O10" s="5"/>
      <c r="P10" s="36">
        <v>0.13400000000000001</v>
      </c>
      <c r="Q10" s="36">
        <v>58.2</v>
      </c>
      <c r="R10" s="36">
        <v>0.17799999999999999</v>
      </c>
      <c r="S10" s="36">
        <v>31.1</v>
      </c>
      <c r="T10" s="36">
        <v>0.11700000000000001</v>
      </c>
      <c r="U10" s="36">
        <v>38.9</v>
      </c>
      <c r="V10" s="36">
        <v>1.89E-2</v>
      </c>
      <c r="W10" s="36">
        <v>7.71</v>
      </c>
      <c r="X10" s="36">
        <v>2.9000000000000001E-2</v>
      </c>
      <c r="Y10" s="36">
        <v>65.099999999999994</v>
      </c>
      <c r="Z10" s="36">
        <v>3.5700000000000003E-2</v>
      </c>
      <c r="AA10" s="36">
        <v>39.4</v>
      </c>
      <c r="AB10" s="36">
        <v>3.95E-2</v>
      </c>
      <c r="AC10" s="36">
        <v>46.4</v>
      </c>
      <c r="AD10" s="36">
        <v>2.9100000000000001E-2</v>
      </c>
      <c r="AE10" s="36">
        <v>38.299999999999997</v>
      </c>
      <c r="AF10" s="36">
        <v>2.5600000000000001E-2</v>
      </c>
      <c r="AG10" s="36">
        <v>165</v>
      </c>
      <c r="AH10" s="36">
        <v>6.0100000000000001E-2</v>
      </c>
      <c r="AI10" s="36">
        <v>49.9</v>
      </c>
      <c r="AJ10" s="36">
        <v>0.106</v>
      </c>
      <c r="AK10" s="36">
        <v>6.59</v>
      </c>
      <c r="AL10" s="36">
        <v>0.13800000000000001</v>
      </c>
      <c r="AM10" s="36">
        <v>10.9</v>
      </c>
      <c r="AN10" s="36">
        <v>5.7299999999999997E-2</v>
      </c>
      <c r="AO10" s="36">
        <v>33.1</v>
      </c>
      <c r="AP10" s="36">
        <v>7.0599999999999996E-2</v>
      </c>
      <c r="AQ10" s="36">
        <v>22.4</v>
      </c>
      <c r="AR10" s="36">
        <v>0.10100000000000001</v>
      </c>
      <c r="AS10" s="36">
        <v>28.5</v>
      </c>
      <c r="AT10" s="36">
        <v>8.8599999999999998E-2</v>
      </c>
      <c r="AU10" s="36">
        <v>10.4</v>
      </c>
      <c r="AV10" s="36">
        <v>6.9199999999999998E-2</v>
      </c>
      <c r="AW10" s="36">
        <v>5.96</v>
      </c>
      <c r="AX10" s="36">
        <v>7.1999999999999995E-2</v>
      </c>
      <c r="AY10" s="36">
        <v>31.4</v>
      </c>
      <c r="AZ10" s="5"/>
      <c r="BA10" s="36">
        <v>8.3099999999999997E-3</v>
      </c>
      <c r="BB10" s="36">
        <v>54.7</v>
      </c>
      <c r="BC10" s="36">
        <v>1.9800000000000002E-2</v>
      </c>
      <c r="BD10" s="36">
        <v>64</v>
      </c>
      <c r="BE10" s="36">
        <v>9.4599999999999997E-3</v>
      </c>
      <c r="BF10" s="36">
        <v>5.74</v>
      </c>
      <c r="BG10" s="36">
        <v>4.6100000000000002E-2</v>
      </c>
      <c r="BH10" s="36">
        <v>1.42</v>
      </c>
      <c r="BI10" s="5"/>
      <c r="BJ10" s="5"/>
      <c r="BK10" s="5"/>
      <c r="BL10" s="36">
        <v>5.5500000000000001E-2</v>
      </c>
      <c r="BM10" s="36">
        <v>46.7</v>
      </c>
      <c r="BN10" s="36">
        <v>4.1200000000000001E-2</v>
      </c>
      <c r="BO10" s="36">
        <v>20.3</v>
      </c>
      <c r="BP10" s="36">
        <v>3.61E-2</v>
      </c>
      <c r="BQ10" s="36">
        <v>5.74</v>
      </c>
      <c r="BR10" s="36">
        <v>1.6899999999999998E-2</v>
      </c>
      <c r="BS10" s="36">
        <v>38.799999999999997</v>
      </c>
      <c r="BT10" s="36">
        <v>0.48399999999999999</v>
      </c>
      <c r="BU10" s="36">
        <v>24.9</v>
      </c>
      <c r="BV10" s="36">
        <v>8.0100000000000005E-2</v>
      </c>
      <c r="BW10" s="36">
        <v>41.4</v>
      </c>
      <c r="BX10" s="5"/>
      <c r="BY10" s="36">
        <v>0.11899999999999999</v>
      </c>
      <c r="BZ10" s="36">
        <v>0.18</v>
      </c>
      <c r="CA10" s="46">
        <v>151</v>
      </c>
    </row>
    <row r="11" spans="1:79">
      <c r="A11" s="13" t="s">
        <v>118</v>
      </c>
      <c r="B11" s="35">
        <v>0.14299999999999999</v>
      </c>
      <c r="C11" s="35">
        <v>13.2</v>
      </c>
      <c r="D11" s="35">
        <v>0.34399999999999997</v>
      </c>
      <c r="E11" s="35">
        <v>13.4</v>
      </c>
      <c r="F11" s="35">
        <v>0.34300000000000003</v>
      </c>
      <c r="G11" s="35">
        <v>4.4800000000000004</v>
      </c>
      <c r="H11" s="35">
        <v>0.32</v>
      </c>
      <c r="I11" s="35">
        <v>20.8</v>
      </c>
      <c r="J11" s="3"/>
      <c r="K11" s="3"/>
      <c r="L11" s="35">
        <v>0.25</v>
      </c>
      <c r="M11" s="35">
        <v>12</v>
      </c>
      <c r="N11" s="35">
        <v>0.30099999999999999</v>
      </c>
      <c r="O11" s="35">
        <v>22.6</v>
      </c>
      <c r="P11" s="3"/>
      <c r="Q11" s="3"/>
      <c r="R11" s="35">
        <v>0.114</v>
      </c>
      <c r="S11" s="35">
        <v>29.3</v>
      </c>
      <c r="T11" s="35">
        <v>0.24</v>
      </c>
      <c r="U11" s="35">
        <v>6.43</v>
      </c>
      <c r="V11" s="35">
        <v>0.156</v>
      </c>
      <c r="W11" s="35">
        <v>30.1</v>
      </c>
      <c r="X11" s="35">
        <v>0.217</v>
      </c>
      <c r="Y11" s="35">
        <v>1.1299999999999999</v>
      </c>
      <c r="Z11" s="35">
        <v>0.13700000000000001</v>
      </c>
      <c r="AA11" s="35">
        <v>0</v>
      </c>
      <c r="AB11" s="35">
        <v>0.14599999999999999</v>
      </c>
      <c r="AC11" s="35">
        <v>11</v>
      </c>
      <c r="AD11" s="35">
        <v>0.13</v>
      </c>
      <c r="AE11" s="35">
        <v>14.6</v>
      </c>
      <c r="AF11" s="35">
        <v>0.188</v>
      </c>
      <c r="AG11" s="35">
        <v>22.2</v>
      </c>
      <c r="AH11" s="35">
        <v>0.21199999999999999</v>
      </c>
      <c r="AI11" s="35">
        <v>10.4</v>
      </c>
      <c r="AJ11" s="35">
        <v>0.17699999999999999</v>
      </c>
      <c r="AK11" s="35">
        <v>8.36</v>
      </c>
      <c r="AL11" s="35">
        <v>0.189</v>
      </c>
      <c r="AM11" s="35">
        <v>17.600000000000001</v>
      </c>
      <c r="AN11" s="35">
        <v>0.26</v>
      </c>
      <c r="AO11" s="35">
        <v>13.9</v>
      </c>
      <c r="AP11" s="35">
        <v>0.20899999999999999</v>
      </c>
      <c r="AQ11" s="35">
        <v>3.47</v>
      </c>
      <c r="AR11" s="35">
        <v>0.21299999999999999</v>
      </c>
      <c r="AS11" s="35">
        <v>8.0399999999999991</v>
      </c>
      <c r="AT11" s="35">
        <v>0.154</v>
      </c>
      <c r="AU11" s="35">
        <v>3.13</v>
      </c>
      <c r="AV11" s="35">
        <v>0.21199999999999999</v>
      </c>
      <c r="AW11" s="35">
        <v>26.6</v>
      </c>
      <c r="AX11" s="35">
        <v>0.19700000000000001</v>
      </c>
      <c r="AY11" s="35">
        <v>11.1</v>
      </c>
      <c r="AZ11" s="3"/>
      <c r="BA11" s="35">
        <v>9.9099999999999994E-2</v>
      </c>
      <c r="BB11" s="35">
        <v>23.4</v>
      </c>
      <c r="BC11" s="35">
        <v>0.108</v>
      </c>
      <c r="BD11" s="35">
        <v>16.5</v>
      </c>
      <c r="BE11" s="35">
        <v>0.158</v>
      </c>
      <c r="BF11" s="35">
        <v>14.9</v>
      </c>
      <c r="BG11" s="35">
        <v>0.20200000000000001</v>
      </c>
      <c r="BH11" s="35">
        <v>10.8</v>
      </c>
      <c r="BI11" s="3"/>
      <c r="BJ11" s="3"/>
      <c r="BK11" s="3"/>
      <c r="BL11" s="35">
        <v>0.13800000000000001</v>
      </c>
      <c r="BM11" s="35">
        <v>27.2</v>
      </c>
      <c r="BN11" s="35">
        <v>0.13600000000000001</v>
      </c>
      <c r="BO11" s="35">
        <v>6.91</v>
      </c>
      <c r="BP11" s="35">
        <v>0.18099999999999999</v>
      </c>
      <c r="BQ11" s="35">
        <v>19.100000000000001</v>
      </c>
      <c r="BR11" s="35">
        <v>0.113</v>
      </c>
      <c r="BS11" s="35">
        <v>4.5</v>
      </c>
      <c r="BT11" s="35">
        <v>0.29299999999999998</v>
      </c>
      <c r="BU11" s="35">
        <v>55.6</v>
      </c>
      <c r="BV11" s="35">
        <v>0.224</v>
      </c>
      <c r="BW11" s="35">
        <v>18.8</v>
      </c>
      <c r="BX11" s="3"/>
      <c r="BY11" s="35">
        <v>0.18099999999999999</v>
      </c>
      <c r="BZ11" s="35">
        <v>6.7400000000000002E-2</v>
      </c>
      <c r="CA11" s="45">
        <v>37.200000000000003</v>
      </c>
    </row>
    <row r="12" spans="1:79">
      <c r="A12" s="13" t="s">
        <v>149</v>
      </c>
      <c r="B12" s="36">
        <v>1.81</v>
      </c>
      <c r="C12" s="36">
        <v>13.4</v>
      </c>
      <c r="D12" s="36">
        <v>1.25</v>
      </c>
      <c r="E12" s="36">
        <v>30.3</v>
      </c>
      <c r="F12" s="36">
        <v>2.33</v>
      </c>
      <c r="G12" s="36">
        <v>26.4</v>
      </c>
      <c r="H12" s="36">
        <v>1.76</v>
      </c>
      <c r="I12" s="36">
        <v>5.98</v>
      </c>
      <c r="J12" s="5"/>
      <c r="K12" s="5"/>
      <c r="L12" s="36">
        <v>1.84</v>
      </c>
      <c r="M12" s="36">
        <v>9.8000000000000007</v>
      </c>
      <c r="N12" s="36">
        <v>1.64</v>
      </c>
      <c r="O12" s="36">
        <v>13.3</v>
      </c>
      <c r="P12" s="36">
        <v>0.90200000000000002</v>
      </c>
      <c r="Q12" s="36">
        <v>12.2</v>
      </c>
      <c r="R12" s="36">
        <v>1.27</v>
      </c>
      <c r="S12" s="36">
        <v>9.85</v>
      </c>
      <c r="T12" s="36">
        <v>1.22</v>
      </c>
      <c r="U12" s="36">
        <v>3.31</v>
      </c>
      <c r="V12" s="36">
        <v>0.76400000000000001</v>
      </c>
      <c r="W12" s="36">
        <v>21.1</v>
      </c>
      <c r="X12" s="36">
        <v>0.9</v>
      </c>
      <c r="Y12" s="36">
        <v>58</v>
      </c>
      <c r="Z12" s="36">
        <v>1.79</v>
      </c>
      <c r="AA12" s="36">
        <v>39.1</v>
      </c>
      <c r="AB12" s="36">
        <v>1.89</v>
      </c>
      <c r="AC12" s="36">
        <v>24.3</v>
      </c>
      <c r="AD12" s="36">
        <v>1.66</v>
      </c>
      <c r="AE12" s="36">
        <v>6.73</v>
      </c>
      <c r="AF12" s="36">
        <v>0.874</v>
      </c>
      <c r="AG12" s="36">
        <v>28.3</v>
      </c>
      <c r="AH12" s="36">
        <v>1.06</v>
      </c>
      <c r="AI12" s="36">
        <v>3.82</v>
      </c>
      <c r="AJ12" s="36">
        <v>1.17</v>
      </c>
      <c r="AK12" s="36">
        <v>29.6</v>
      </c>
      <c r="AL12" s="36">
        <v>1.25</v>
      </c>
      <c r="AM12" s="36">
        <v>15</v>
      </c>
      <c r="AN12" s="36">
        <v>0.99</v>
      </c>
      <c r="AO12" s="36">
        <v>1.26</v>
      </c>
      <c r="AP12" s="36">
        <v>0.94099999999999995</v>
      </c>
      <c r="AQ12" s="36">
        <v>12.3</v>
      </c>
      <c r="AR12" s="36">
        <v>1.27</v>
      </c>
      <c r="AS12" s="36">
        <v>8.43</v>
      </c>
      <c r="AT12" s="36">
        <v>1.3</v>
      </c>
      <c r="AU12" s="36">
        <v>25.9</v>
      </c>
      <c r="AV12" s="36">
        <v>1.39</v>
      </c>
      <c r="AW12" s="36">
        <v>29.8</v>
      </c>
      <c r="AX12" s="36">
        <v>1.21</v>
      </c>
      <c r="AY12" s="36">
        <v>31</v>
      </c>
      <c r="AZ12" s="5"/>
      <c r="BA12" s="36">
        <v>0.874</v>
      </c>
      <c r="BB12" s="36">
        <v>35.5</v>
      </c>
      <c r="BC12" s="36">
        <v>0.94599999999999995</v>
      </c>
      <c r="BD12" s="36">
        <v>26.5</v>
      </c>
      <c r="BE12" s="36">
        <v>1.07</v>
      </c>
      <c r="BF12" s="36">
        <v>36</v>
      </c>
      <c r="BG12" s="36">
        <v>1.97</v>
      </c>
      <c r="BH12" s="36">
        <v>36.299999999999997</v>
      </c>
      <c r="BI12" s="5"/>
      <c r="BJ12" s="5"/>
      <c r="BK12" s="5"/>
      <c r="BL12" s="36">
        <v>0.97699999999999998</v>
      </c>
      <c r="BM12" s="36">
        <v>20.399999999999999</v>
      </c>
      <c r="BN12" s="36">
        <v>1.39</v>
      </c>
      <c r="BO12" s="36">
        <v>18.899999999999999</v>
      </c>
      <c r="BP12" s="36">
        <v>0.66800000000000004</v>
      </c>
      <c r="BQ12" s="36">
        <v>57.7</v>
      </c>
      <c r="BR12" s="36">
        <v>1.31</v>
      </c>
      <c r="BS12" s="36">
        <v>28.9</v>
      </c>
      <c r="BT12" s="36">
        <v>2.0099999999999998</v>
      </c>
      <c r="BU12" s="36">
        <v>15.5</v>
      </c>
      <c r="BV12" s="36">
        <v>0.95299999999999996</v>
      </c>
      <c r="BW12" s="36">
        <v>10.199999999999999</v>
      </c>
      <c r="BX12" s="5"/>
      <c r="BY12" s="36">
        <v>1.22</v>
      </c>
      <c r="BZ12" s="36">
        <v>0.46800000000000003</v>
      </c>
      <c r="CA12" s="46">
        <v>38.4</v>
      </c>
    </row>
    <row r="13" spans="1:79">
      <c r="A13" s="13" t="s">
        <v>150</v>
      </c>
      <c r="B13" s="35">
        <v>0.44900000000000001</v>
      </c>
      <c r="C13" s="35">
        <v>16.3</v>
      </c>
      <c r="D13" s="35">
        <v>0.42299999999999999</v>
      </c>
      <c r="E13" s="35">
        <v>16</v>
      </c>
      <c r="F13" s="35">
        <v>1.1599999999999999</v>
      </c>
      <c r="G13" s="35">
        <v>10.5</v>
      </c>
      <c r="H13" s="35">
        <v>0.873</v>
      </c>
      <c r="I13" s="35">
        <v>5.72</v>
      </c>
      <c r="J13" s="3"/>
      <c r="K13" s="3"/>
      <c r="L13" s="35">
        <v>0.76100000000000001</v>
      </c>
      <c r="M13" s="35">
        <v>23.5</v>
      </c>
      <c r="N13" s="35">
        <v>0.48699999999999999</v>
      </c>
      <c r="O13" s="35">
        <v>16.8</v>
      </c>
      <c r="P13" s="35">
        <v>0.42699999999999999</v>
      </c>
      <c r="Q13" s="35">
        <v>2.94</v>
      </c>
      <c r="R13" s="35">
        <v>0.73799999999999999</v>
      </c>
      <c r="S13" s="35">
        <v>34.1</v>
      </c>
      <c r="T13" s="35">
        <v>0.56499999999999995</v>
      </c>
      <c r="U13" s="35">
        <v>19.8</v>
      </c>
      <c r="V13" s="35">
        <v>1.02</v>
      </c>
      <c r="W13" s="35">
        <v>16.100000000000001</v>
      </c>
      <c r="X13" s="35">
        <v>1.19</v>
      </c>
      <c r="Y13" s="35">
        <v>25.1</v>
      </c>
      <c r="Z13" s="35">
        <v>0.436</v>
      </c>
      <c r="AA13" s="35">
        <v>4.93</v>
      </c>
      <c r="AB13" s="35">
        <v>0.47</v>
      </c>
      <c r="AC13" s="35">
        <v>8.33</v>
      </c>
      <c r="AD13" s="35">
        <v>0.373</v>
      </c>
      <c r="AE13" s="35">
        <v>18.7</v>
      </c>
      <c r="AF13" s="35">
        <v>0.79100000000000004</v>
      </c>
      <c r="AG13" s="35">
        <v>21.9</v>
      </c>
      <c r="AH13" s="35">
        <v>0.64300000000000002</v>
      </c>
      <c r="AI13" s="35">
        <v>14.6</v>
      </c>
      <c r="AJ13" s="35">
        <v>0.434</v>
      </c>
      <c r="AK13" s="35">
        <v>15.2</v>
      </c>
      <c r="AL13" s="35">
        <v>0.40799999999999997</v>
      </c>
      <c r="AM13" s="35">
        <v>35.200000000000003</v>
      </c>
      <c r="AN13" s="35">
        <v>0.33500000000000002</v>
      </c>
      <c r="AO13" s="35">
        <v>39.5</v>
      </c>
      <c r="AP13" s="35">
        <v>0.379</v>
      </c>
      <c r="AQ13" s="35">
        <v>26.3</v>
      </c>
      <c r="AR13" s="35">
        <v>0.499</v>
      </c>
      <c r="AS13" s="35">
        <v>10.7</v>
      </c>
      <c r="AT13" s="35">
        <v>0.38100000000000001</v>
      </c>
      <c r="AU13" s="35">
        <v>16.7</v>
      </c>
      <c r="AV13" s="35">
        <v>0.43</v>
      </c>
      <c r="AW13" s="35">
        <v>5.8</v>
      </c>
      <c r="AX13" s="35">
        <v>0.41599999999999998</v>
      </c>
      <c r="AY13" s="35">
        <v>7.82</v>
      </c>
      <c r="AZ13" s="3"/>
      <c r="BA13" s="35">
        <v>3.3300000000000003E-2</v>
      </c>
      <c r="BB13" s="35">
        <v>1.53</v>
      </c>
      <c r="BC13" s="35">
        <v>2.7400000000000001E-2</v>
      </c>
      <c r="BD13" s="35">
        <v>41.6</v>
      </c>
      <c r="BE13" s="35">
        <v>4.0800000000000003E-2</v>
      </c>
      <c r="BF13" s="35">
        <v>18.7</v>
      </c>
      <c r="BG13" s="35">
        <v>6.3100000000000003E-2</v>
      </c>
      <c r="BH13" s="35">
        <v>4.3499999999999996</v>
      </c>
      <c r="BI13" s="3"/>
      <c r="BJ13" s="3"/>
      <c r="BK13" s="3"/>
      <c r="BL13" s="35">
        <v>0.36199999999999999</v>
      </c>
      <c r="BM13" s="35">
        <v>17.5</v>
      </c>
      <c r="BN13" s="35">
        <v>0.40200000000000002</v>
      </c>
      <c r="BO13" s="35">
        <v>21.5</v>
      </c>
      <c r="BP13" s="35">
        <v>0.59099999999999997</v>
      </c>
      <c r="BQ13" s="35">
        <v>18.5</v>
      </c>
      <c r="BR13" s="35">
        <v>4.9399999999999999E-2</v>
      </c>
      <c r="BS13" s="35">
        <v>15.2</v>
      </c>
      <c r="BT13" s="35">
        <v>0.92100000000000004</v>
      </c>
      <c r="BU13" s="35">
        <v>38.1</v>
      </c>
      <c r="BV13" s="35">
        <v>0.43</v>
      </c>
      <c r="BW13" s="35">
        <v>12.6</v>
      </c>
      <c r="BX13" s="3"/>
      <c r="BY13" s="35">
        <v>0.45900000000000002</v>
      </c>
      <c r="BZ13" s="35">
        <v>0.28699999999999998</v>
      </c>
      <c r="CA13" s="45">
        <v>62.5</v>
      </c>
    </row>
    <row r="14" spans="1:79">
      <c r="A14" s="13" t="s">
        <v>151</v>
      </c>
      <c r="B14" s="36">
        <v>3.37</v>
      </c>
      <c r="C14" s="36">
        <v>21.4</v>
      </c>
      <c r="D14" s="36">
        <v>4.59</v>
      </c>
      <c r="E14" s="36">
        <v>1.34</v>
      </c>
      <c r="F14" s="36">
        <v>8.3800000000000008</v>
      </c>
      <c r="G14" s="36">
        <v>26.4</v>
      </c>
      <c r="H14" s="36">
        <v>5.26</v>
      </c>
      <c r="I14" s="36">
        <v>20.5</v>
      </c>
      <c r="J14" s="5"/>
      <c r="K14" s="5"/>
      <c r="L14" s="36">
        <v>5.72</v>
      </c>
      <c r="M14" s="36">
        <v>21.5</v>
      </c>
      <c r="N14" s="36">
        <v>4.68</v>
      </c>
      <c r="O14" s="36">
        <v>4.8600000000000003</v>
      </c>
      <c r="P14" s="36">
        <v>3.2</v>
      </c>
      <c r="Q14" s="36">
        <v>12.9</v>
      </c>
      <c r="R14" s="36">
        <v>4.3499999999999996</v>
      </c>
      <c r="S14" s="36">
        <v>30.8</v>
      </c>
      <c r="T14" s="36">
        <v>5.27</v>
      </c>
      <c r="U14" s="36">
        <v>5.12</v>
      </c>
      <c r="V14" s="36">
        <v>4.91</v>
      </c>
      <c r="W14" s="36">
        <v>1.98</v>
      </c>
      <c r="X14" s="36">
        <v>4.42</v>
      </c>
      <c r="Y14" s="36">
        <v>2.2200000000000002</v>
      </c>
      <c r="Z14" s="36">
        <v>3.23</v>
      </c>
      <c r="AA14" s="36">
        <v>24.7</v>
      </c>
      <c r="AB14" s="36">
        <v>3.37</v>
      </c>
      <c r="AC14" s="36">
        <v>21.2</v>
      </c>
      <c r="AD14" s="36">
        <v>2.87</v>
      </c>
      <c r="AE14" s="36">
        <v>18.7</v>
      </c>
      <c r="AF14" s="36">
        <v>5.0599999999999996</v>
      </c>
      <c r="AG14" s="36">
        <v>19.3</v>
      </c>
      <c r="AH14" s="36">
        <v>3.57</v>
      </c>
      <c r="AI14" s="36">
        <v>22.9</v>
      </c>
      <c r="AJ14" s="36">
        <v>3.35</v>
      </c>
      <c r="AK14" s="36">
        <v>13.5</v>
      </c>
      <c r="AL14" s="36">
        <v>4.99</v>
      </c>
      <c r="AM14" s="36">
        <v>27.9</v>
      </c>
      <c r="AN14" s="36">
        <v>2.99</v>
      </c>
      <c r="AO14" s="36">
        <v>8.93</v>
      </c>
      <c r="AP14" s="36">
        <v>3.48</v>
      </c>
      <c r="AQ14" s="36">
        <v>24.7</v>
      </c>
      <c r="AR14" s="36">
        <v>4</v>
      </c>
      <c r="AS14" s="36">
        <v>15.8</v>
      </c>
      <c r="AT14" s="36">
        <v>3.28</v>
      </c>
      <c r="AU14" s="36">
        <v>14.4</v>
      </c>
      <c r="AV14" s="36">
        <v>4.1500000000000004</v>
      </c>
      <c r="AW14" s="36">
        <v>16.5</v>
      </c>
      <c r="AX14" s="36">
        <v>3.49</v>
      </c>
      <c r="AY14" s="36">
        <v>22.6</v>
      </c>
      <c r="AZ14" s="5"/>
      <c r="BA14" s="36">
        <v>1.72</v>
      </c>
      <c r="BB14" s="36">
        <v>1.76</v>
      </c>
      <c r="BC14" s="36">
        <v>3.16</v>
      </c>
      <c r="BD14" s="36">
        <v>23.5</v>
      </c>
      <c r="BE14" s="36">
        <v>5.25</v>
      </c>
      <c r="BF14" s="36">
        <v>22.2</v>
      </c>
      <c r="BG14" s="36">
        <v>7.41</v>
      </c>
      <c r="BH14" s="36">
        <v>15</v>
      </c>
      <c r="BI14" s="5"/>
      <c r="BJ14" s="5"/>
      <c r="BK14" s="5"/>
      <c r="BL14" s="36">
        <v>2.4500000000000002</v>
      </c>
      <c r="BM14" s="36">
        <v>3.2</v>
      </c>
      <c r="BN14" s="36">
        <v>2.97</v>
      </c>
      <c r="BO14" s="36">
        <v>0</v>
      </c>
      <c r="BP14" s="36">
        <v>4.45</v>
      </c>
      <c r="BQ14" s="36">
        <v>7.75</v>
      </c>
      <c r="BR14" s="36">
        <v>3.14</v>
      </c>
      <c r="BS14" s="36">
        <v>5.38</v>
      </c>
      <c r="BT14" s="36">
        <v>9.91</v>
      </c>
      <c r="BU14" s="36">
        <v>33.700000000000003</v>
      </c>
      <c r="BV14" s="36">
        <v>3.34</v>
      </c>
      <c r="BW14" s="36">
        <v>11.4</v>
      </c>
      <c r="BX14" s="5"/>
      <c r="BY14" s="36">
        <v>4.38</v>
      </c>
      <c r="BZ14" s="36">
        <v>2.79</v>
      </c>
      <c r="CA14" s="46">
        <v>63.7</v>
      </c>
    </row>
    <row r="15" spans="1:79">
      <c r="A15" s="13" t="s">
        <v>154</v>
      </c>
      <c r="B15" s="35">
        <v>0.49399999999999999</v>
      </c>
      <c r="C15" s="35">
        <v>13.6</v>
      </c>
      <c r="D15" s="35">
        <v>0.99099999999999999</v>
      </c>
      <c r="E15" s="35">
        <v>21.2</v>
      </c>
      <c r="F15" s="35">
        <v>1.08</v>
      </c>
      <c r="G15" s="35">
        <v>26.6</v>
      </c>
      <c r="H15" s="35">
        <v>1.41</v>
      </c>
      <c r="I15" s="35">
        <v>48.2</v>
      </c>
      <c r="J15" s="3"/>
      <c r="K15" s="3"/>
      <c r="L15" s="35">
        <v>0.97799999999999998</v>
      </c>
      <c r="M15" s="35">
        <v>37.200000000000003</v>
      </c>
      <c r="N15" s="35">
        <v>1.02</v>
      </c>
      <c r="O15" s="35">
        <v>6.1</v>
      </c>
      <c r="P15" s="35">
        <v>0.68400000000000005</v>
      </c>
      <c r="Q15" s="35">
        <v>6.29</v>
      </c>
      <c r="R15" s="35">
        <v>1.03</v>
      </c>
      <c r="S15" s="35">
        <v>25.2</v>
      </c>
      <c r="T15" s="35">
        <v>0.67600000000000005</v>
      </c>
      <c r="U15" s="35">
        <v>10.5</v>
      </c>
      <c r="V15" s="35">
        <v>0.30399999999999999</v>
      </c>
      <c r="W15" s="35">
        <v>9.06</v>
      </c>
      <c r="X15" s="35">
        <v>0.251</v>
      </c>
      <c r="Y15" s="35">
        <v>9.5399999999999991</v>
      </c>
      <c r="Z15" s="35">
        <v>0.45</v>
      </c>
      <c r="AA15" s="35">
        <v>25.7</v>
      </c>
      <c r="AB15" s="35">
        <v>0.51700000000000002</v>
      </c>
      <c r="AC15" s="35">
        <v>9.99</v>
      </c>
      <c r="AD15" s="35">
        <v>0.46100000000000002</v>
      </c>
      <c r="AE15" s="35">
        <v>18.2</v>
      </c>
      <c r="AF15" s="35">
        <v>0.33500000000000002</v>
      </c>
      <c r="AG15" s="35">
        <v>46.4</v>
      </c>
      <c r="AH15" s="35">
        <v>0.63400000000000001</v>
      </c>
      <c r="AI15" s="35">
        <v>8.1300000000000008</v>
      </c>
      <c r="AJ15" s="35">
        <v>0.41599999999999998</v>
      </c>
      <c r="AK15" s="35">
        <v>22.2</v>
      </c>
      <c r="AL15" s="35">
        <v>0.745</v>
      </c>
      <c r="AM15" s="35">
        <v>24.7</v>
      </c>
      <c r="AN15" s="35">
        <v>0.34699999999999998</v>
      </c>
      <c r="AO15" s="35">
        <v>12.7</v>
      </c>
      <c r="AP15" s="35">
        <v>0.35199999999999998</v>
      </c>
      <c r="AQ15" s="35">
        <v>22.4</v>
      </c>
      <c r="AR15" s="35">
        <v>0.42799999999999999</v>
      </c>
      <c r="AS15" s="35">
        <v>24.7</v>
      </c>
      <c r="AT15" s="35">
        <v>0.49399999999999999</v>
      </c>
      <c r="AU15" s="35">
        <v>28.8</v>
      </c>
      <c r="AV15" s="35">
        <v>0.54200000000000004</v>
      </c>
      <c r="AW15" s="35">
        <v>25.2</v>
      </c>
      <c r="AX15" s="35">
        <v>0.47799999999999998</v>
      </c>
      <c r="AY15" s="35">
        <v>36.9</v>
      </c>
      <c r="AZ15" s="3"/>
      <c r="BA15" s="35">
        <v>0.32700000000000001</v>
      </c>
      <c r="BB15" s="35">
        <v>58.9</v>
      </c>
      <c r="BC15" s="35">
        <v>0.253</v>
      </c>
      <c r="BD15" s="35">
        <v>49</v>
      </c>
      <c r="BE15" s="35">
        <v>0.41299999999999998</v>
      </c>
      <c r="BF15" s="35">
        <v>53.1</v>
      </c>
      <c r="BG15" s="35">
        <v>0.56100000000000005</v>
      </c>
      <c r="BH15" s="35">
        <v>75.3</v>
      </c>
      <c r="BI15" s="3"/>
      <c r="BJ15" s="3"/>
      <c r="BK15" s="3"/>
      <c r="BL15" s="35">
        <v>0.32300000000000001</v>
      </c>
      <c r="BM15" s="35">
        <v>8.43</v>
      </c>
      <c r="BN15" s="35">
        <v>0.53100000000000003</v>
      </c>
      <c r="BO15" s="35">
        <v>13.4</v>
      </c>
      <c r="BP15" s="35">
        <v>0.22500000000000001</v>
      </c>
      <c r="BQ15" s="35">
        <v>13</v>
      </c>
      <c r="BR15" s="35">
        <v>0.41499999999999998</v>
      </c>
      <c r="BS15" s="35">
        <v>79.2</v>
      </c>
      <c r="BT15" s="35">
        <v>1.91</v>
      </c>
      <c r="BU15" s="35">
        <v>65</v>
      </c>
      <c r="BV15" s="35">
        <v>0.748</v>
      </c>
      <c r="BW15" s="35">
        <v>41.2</v>
      </c>
      <c r="BX15" s="3"/>
      <c r="BY15" s="35">
        <v>0.69099999999999995</v>
      </c>
      <c r="BZ15" s="35">
        <v>0.622</v>
      </c>
      <c r="CA15" s="45">
        <v>90</v>
      </c>
    </row>
    <row r="16" spans="1:79">
      <c r="A16" s="13" t="s">
        <v>121</v>
      </c>
      <c r="B16" s="36">
        <v>0.52700000000000002</v>
      </c>
      <c r="C16" s="36">
        <v>10.6</v>
      </c>
      <c r="D16" s="36">
        <v>1.02</v>
      </c>
      <c r="E16" s="5"/>
      <c r="F16" s="36">
        <v>0.79</v>
      </c>
      <c r="G16" s="5"/>
      <c r="H16" s="36">
        <v>0.73599999999999999</v>
      </c>
      <c r="I16" s="5"/>
      <c r="J16" s="5"/>
      <c r="K16" s="5"/>
      <c r="L16" s="36">
        <v>0.64100000000000001</v>
      </c>
      <c r="M16" s="5"/>
      <c r="N16" s="36">
        <v>0.745</v>
      </c>
      <c r="O16" s="5"/>
      <c r="P16" s="36">
        <v>1.82</v>
      </c>
      <c r="Q16" s="36">
        <v>27.5</v>
      </c>
      <c r="R16" s="36">
        <v>1.85</v>
      </c>
      <c r="S16" s="36">
        <v>13.8</v>
      </c>
      <c r="T16" s="36">
        <v>1.68</v>
      </c>
      <c r="U16" s="36">
        <v>6.3</v>
      </c>
      <c r="V16" s="36">
        <v>2.8000000000000001E-2</v>
      </c>
      <c r="W16" s="36">
        <v>0</v>
      </c>
      <c r="X16" s="36">
        <v>1.48</v>
      </c>
      <c r="Y16" s="36">
        <v>52.4</v>
      </c>
      <c r="Z16" s="36">
        <v>0.52200000000000002</v>
      </c>
      <c r="AA16" s="36">
        <v>24.4</v>
      </c>
      <c r="AB16" s="36">
        <v>0.57999999999999996</v>
      </c>
      <c r="AC16" s="36">
        <v>3.16</v>
      </c>
      <c r="AD16" s="36">
        <v>0.59099999999999997</v>
      </c>
      <c r="AE16" s="36">
        <v>18.2</v>
      </c>
      <c r="AF16" s="36">
        <v>1.57</v>
      </c>
      <c r="AG16" s="36">
        <v>31.9</v>
      </c>
      <c r="AH16" s="36">
        <v>1.45</v>
      </c>
      <c r="AI16" s="36">
        <v>25.4</v>
      </c>
      <c r="AJ16" s="36">
        <v>1.27</v>
      </c>
      <c r="AK16" s="36">
        <v>52.5</v>
      </c>
      <c r="AL16" s="36">
        <v>1.46</v>
      </c>
      <c r="AM16" s="36">
        <v>9.2899999999999991</v>
      </c>
      <c r="AN16" s="36">
        <v>1.48</v>
      </c>
      <c r="AO16" s="36">
        <v>14.7</v>
      </c>
      <c r="AP16" s="36">
        <v>1.8</v>
      </c>
      <c r="AQ16" s="36">
        <v>12.5</v>
      </c>
      <c r="AR16" s="36">
        <v>1.72</v>
      </c>
      <c r="AS16" s="36">
        <v>6.66</v>
      </c>
      <c r="AT16" s="36">
        <v>1.45</v>
      </c>
      <c r="AU16" s="36">
        <v>42.2</v>
      </c>
      <c r="AV16" s="36">
        <v>1.5</v>
      </c>
      <c r="AW16" s="36">
        <v>30.9</v>
      </c>
      <c r="AX16" s="36">
        <v>1.08</v>
      </c>
      <c r="AY16" s="36">
        <v>23.2</v>
      </c>
      <c r="AZ16" s="5"/>
      <c r="BA16" s="36">
        <v>1.28</v>
      </c>
      <c r="BB16" s="36">
        <v>17.399999999999999</v>
      </c>
      <c r="BC16" s="36">
        <v>1.24</v>
      </c>
      <c r="BD16" s="36">
        <v>11.6</v>
      </c>
      <c r="BE16" s="36">
        <v>1.36</v>
      </c>
      <c r="BF16" s="36">
        <v>3.2</v>
      </c>
      <c r="BG16" s="36">
        <v>1.37</v>
      </c>
      <c r="BH16" s="36">
        <v>26.1</v>
      </c>
      <c r="BI16" s="5"/>
      <c r="BJ16" s="5"/>
      <c r="BK16" s="5"/>
      <c r="BL16" s="36">
        <v>1.72</v>
      </c>
      <c r="BM16" s="36">
        <v>7.92</v>
      </c>
      <c r="BN16" s="36">
        <v>0.96799999999999997</v>
      </c>
      <c r="BO16" s="36">
        <v>21.9</v>
      </c>
      <c r="BP16" s="36">
        <v>0.94099999999999995</v>
      </c>
      <c r="BQ16" s="36">
        <v>0</v>
      </c>
      <c r="BR16" s="36">
        <v>1.06</v>
      </c>
      <c r="BS16" s="36">
        <v>15.7</v>
      </c>
      <c r="BT16" s="36">
        <v>0.9</v>
      </c>
      <c r="BU16" s="36">
        <v>0</v>
      </c>
      <c r="BV16" s="36">
        <v>1.27</v>
      </c>
      <c r="BW16" s="36">
        <v>11.1</v>
      </c>
      <c r="BX16" s="5"/>
      <c r="BY16" s="36">
        <v>1.1399999999999999</v>
      </c>
      <c r="BZ16" s="36">
        <v>0.311</v>
      </c>
      <c r="CA16" s="46">
        <v>27.2</v>
      </c>
    </row>
    <row r="17" spans="1:79">
      <c r="A17" s="13" t="s">
        <v>211</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14"/>
    </row>
    <row r="18" spans="1:79">
      <c r="A18" s="13" t="s">
        <v>155</v>
      </c>
      <c r="B18" s="36">
        <v>1.29</v>
      </c>
      <c r="C18" s="36">
        <v>4.59</v>
      </c>
      <c r="D18" s="36">
        <v>3.31</v>
      </c>
      <c r="E18" s="36">
        <v>23.8</v>
      </c>
      <c r="F18" s="36">
        <v>4.8899999999999997</v>
      </c>
      <c r="G18" s="36">
        <v>22.4</v>
      </c>
      <c r="H18" s="36">
        <v>4.18</v>
      </c>
      <c r="I18" s="36">
        <v>25.8</v>
      </c>
      <c r="J18" s="5"/>
      <c r="K18" s="5"/>
      <c r="L18" s="36">
        <v>4.8600000000000003</v>
      </c>
      <c r="M18" s="36">
        <v>20.100000000000001</v>
      </c>
      <c r="N18" s="36">
        <v>4.55</v>
      </c>
      <c r="O18" s="36">
        <v>20.6</v>
      </c>
      <c r="P18" s="36">
        <v>2.4500000000000002</v>
      </c>
      <c r="Q18" s="36">
        <v>35.799999999999997</v>
      </c>
      <c r="R18" s="36">
        <v>4.3499999999999996</v>
      </c>
      <c r="S18" s="36">
        <v>26.7</v>
      </c>
      <c r="T18" s="36">
        <v>3.23</v>
      </c>
      <c r="U18" s="36">
        <v>67.7</v>
      </c>
      <c r="V18" s="36">
        <v>1.7</v>
      </c>
      <c r="W18" s="36">
        <v>26.4</v>
      </c>
      <c r="X18" s="36">
        <v>1.6</v>
      </c>
      <c r="Y18" s="36">
        <v>20</v>
      </c>
      <c r="Z18" s="36">
        <v>1.25</v>
      </c>
      <c r="AA18" s="36">
        <v>8.89</v>
      </c>
      <c r="AB18" s="36">
        <v>1.33</v>
      </c>
      <c r="AC18" s="36">
        <v>12.9</v>
      </c>
      <c r="AD18" s="36">
        <v>1.2</v>
      </c>
      <c r="AE18" s="36">
        <v>12.1</v>
      </c>
      <c r="AF18" s="36">
        <v>1.69</v>
      </c>
      <c r="AG18" s="36">
        <v>15</v>
      </c>
      <c r="AH18" s="36">
        <v>2.36</v>
      </c>
      <c r="AI18" s="36">
        <v>57</v>
      </c>
      <c r="AJ18" s="36">
        <v>2.08</v>
      </c>
      <c r="AK18" s="36">
        <v>14.8</v>
      </c>
      <c r="AL18" s="36">
        <v>3.82</v>
      </c>
      <c r="AM18" s="36">
        <v>6.54</v>
      </c>
      <c r="AN18" s="36">
        <v>1.58</v>
      </c>
      <c r="AO18" s="36">
        <v>10.1</v>
      </c>
      <c r="AP18" s="36">
        <v>1.71</v>
      </c>
      <c r="AQ18" s="36">
        <v>8.9600000000000009</v>
      </c>
      <c r="AR18" s="36">
        <v>2.11</v>
      </c>
      <c r="AS18" s="36">
        <v>3.69</v>
      </c>
      <c r="AT18" s="36">
        <v>2.1</v>
      </c>
      <c r="AU18" s="36">
        <v>27.4</v>
      </c>
      <c r="AV18" s="36">
        <v>2.13</v>
      </c>
      <c r="AW18" s="36">
        <v>17.3</v>
      </c>
      <c r="AX18" s="36">
        <v>1.9</v>
      </c>
      <c r="AY18" s="36">
        <v>14.5</v>
      </c>
      <c r="AZ18" s="5"/>
      <c r="BA18" s="36">
        <v>1.33</v>
      </c>
      <c r="BB18" s="36">
        <v>24.1</v>
      </c>
      <c r="BC18" s="36">
        <v>1.1200000000000001</v>
      </c>
      <c r="BD18" s="36">
        <v>34.200000000000003</v>
      </c>
      <c r="BE18" s="36">
        <v>1.88</v>
      </c>
      <c r="BF18" s="36">
        <v>50.8</v>
      </c>
      <c r="BG18" s="36">
        <v>3.44</v>
      </c>
      <c r="BH18" s="36">
        <v>45</v>
      </c>
      <c r="BI18" s="5"/>
      <c r="BJ18" s="5"/>
      <c r="BK18" s="5"/>
      <c r="BL18" s="36">
        <v>1.48</v>
      </c>
      <c r="BM18" s="36">
        <v>13.1</v>
      </c>
      <c r="BN18" s="36">
        <v>1.24</v>
      </c>
      <c r="BO18" s="36">
        <v>21.1</v>
      </c>
      <c r="BP18" s="36">
        <v>1.37</v>
      </c>
      <c r="BQ18" s="36">
        <v>26.1</v>
      </c>
      <c r="BR18" s="36">
        <v>1.31</v>
      </c>
      <c r="BS18" s="36">
        <v>41.6</v>
      </c>
      <c r="BT18" s="36">
        <v>4.38</v>
      </c>
      <c r="BU18" s="36">
        <v>6.19</v>
      </c>
      <c r="BV18" s="36">
        <v>2.2599999999999998</v>
      </c>
      <c r="BW18" s="36">
        <v>58.3</v>
      </c>
      <c r="BX18" s="5"/>
      <c r="BY18" s="36">
        <v>2.0099999999999998</v>
      </c>
      <c r="BZ18" s="36">
        <v>1.22</v>
      </c>
      <c r="CA18" s="46">
        <v>60.8</v>
      </c>
    </row>
    <row r="19" spans="1:79">
      <c r="A19" s="13" t="s">
        <v>123</v>
      </c>
      <c r="B19" s="35">
        <v>0.13200000000000001</v>
      </c>
      <c r="C19" s="35">
        <v>5.8</v>
      </c>
      <c r="D19" s="35">
        <v>0.60099999999999998</v>
      </c>
      <c r="E19" s="35">
        <v>2.73</v>
      </c>
      <c r="F19" s="35">
        <v>0.46200000000000002</v>
      </c>
      <c r="G19" s="35">
        <v>54.1</v>
      </c>
      <c r="H19" s="35">
        <v>0.25700000000000001</v>
      </c>
      <c r="I19" s="35">
        <v>67.099999999999994</v>
      </c>
      <c r="J19" s="3"/>
      <c r="K19" s="3"/>
      <c r="L19" s="35">
        <v>0.34899999999999998</v>
      </c>
      <c r="M19" s="35">
        <v>60.4</v>
      </c>
      <c r="N19" s="35">
        <v>0.42599999999999999</v>
      </c>
      <c r="O19" s="35">
        <v>25.3</v>
      </c>
      <c r="P19" s="35">
        <v>0.35399999999999998</v>
      </c>
      <c r="Q19" s="3"/>
      <c r="R19" s="35">
        <v>0.372</v>
      </c>
      <c r="S19" s="3"/>
      <c r="T19" s="35">
        <v>0.35099999999999998</v>
      </c>
      <c r="U19" s="3"/>
      <c r="V19" s="35">
        <v>0.156</v>
      </c>
      <c r="W19" s="35">
        <v>11.8</v>
      </c>
      <c r="X19" s="35">
        <v>0.16400000000000001</v>
      </c>
      <c r="Y19" s="35">
        <v>9.73</v>
      </c>
      <c r="Z19" s="3"/>
      <c r="AA19" s="3"/>
      <c r="AB19" s="35">
        <v>0.153</v>
      </c>
      <c r="AC19" s="35">
        <v>20.6</v>
      </c>
      <c r="AD19" s="35">
        <v>0.114</v>
      </c>
      <c r="AE19" s="35">
        <v>13.7</v>
      </c>
      <c r="AF19" s="35">
        <v>0.16900000000000001</v>
      </c>
      <c r="AG19" s="35">
        <v>38.4</v>
      </c>
      <c r="AH19" s="35">
        <v>0.29499999999999998</v>
      </c>
      <c r="AI19" s="3"/>
      <c r="AJ19" s="35">
        <v>0.253</v>
      </c>
      <c r="AK19" s="35">
        <v>9.83</v>
      </c>
      <c r="AL19" s="35">
        <v>0.187</v>
      </c>
      <c r="AM19" s="35">
        <v>16.5</v>
      </c>
      <c r="AN19" s="35">
        <v>0.15</v>
      </c>
      <c r="AO19" s="35">
        <v>35.799999999999997</v>
      </c>
      <c r="AP19" s="35">
        <v>0.20399999999999999</v>
      </c>
      <c r="AQ19" s="35">
        <v>38.4</v>
      </c>
      <c r="AR19" s="35">
        <v>0.23100000000000001</v>
      </c>
      <c r="AS19" s="35">
        <v>2.79</v>
      </c>
      <c r="AT19" s="35">
        <v>0.27700000000000002</v>
      </c>
      <c r="AU19" s="35">
        <v>30.8</v>
      </c>
      <c r="AV19" s="35">
        <v>0.29199999999999998</v>
      </c>
      <c r="AW19" s="35">
        <v>14.7</v>
      </c>
      <c r="AX19" s="35">
        <v>0.25</v>
      </c>
      <c r="AY19" s="35">
        <v>3.2</v>
      </c>
      <c r="AZ19" s="3"/>
      <c r="BA19" s="35">
        <v>0.106</v>
      </c>
      <c r="BB19" s="35">
        <v>18.2</v>
      </c>
      <c r="BC19" s="35">
        <v>0.14899999999999999</v>
      </c>
      <c r="BD19" s="35">
        <v>31.1</v>
      </c>
      <c r="BE19" s="35">
        <v>0.217</v>
      </c>
      <c r="BF19" s="35">
        <v>11.4</v>
      </c>
      <c r="BG19" s="35">
        <v>0.13400000000000001</v>
      </c>
      <c r="BH19" s="35">
        <v>22.5</v>
      </c>
      <c r="BI19" s="3"/>
      <c r="BJ19" s="3"/>
      <c r="BK19" s="3"/>
      <c r="BL19" s="35">
        <v>0.129</v>
      </c>
      <c r="BM19" s="35">
        <v>38.5</v>
      </c>
      <c r="BN19" s="35">
        <v>0.13600000000000001</v>
      </c>
      <c r="BO19" s="35">
        <v>6.91</v>
      </c>
      <c r="BP19" s="35">
        <v>0.112</v>
      </c>
      <c r="BQ19" s="35">
        <v>51.8</v>
      </c>
      <c r="BR19" s="35">
        <v>0.187</v>
      </c>
      <c r="BS19" s="35">
        <v>25.9</v>
      </c>
      <c r="BT19" s="35">
        <v>0.69599999999999995</v>
      </c>
      <c r="BU19" s="35">
        <v>1.59</v>
      </c>
      <c r="BV19" s="35">
        <v>0.26600000000000001</v>
      </c>
      <c r="BW19" s="35">
        <v>0</v>
      </c>
      <c r="BX19" s="3"/>
      <c r="BY19" s="35">
        <v>0.254</v>
      </c>
      <c r="BZ19" s="35">
        <v>0.224</v>
      </c>
      <c r="CA19" s="45">
        <v>87.9</v>
      </c>
    </row>
    <row r="20" spans="1:79">
      <c r="A20" s="13" t="s">
        <v>124</v>
      </c>
      <c r="B20" s="36">
        <v>0.28799999999999998</v>
      </c>
      <c r="C20" s="36">
        <v>11.9</v>
      </c>
      <c r="D20" s="36">
        <v>1.3</v>
      </c>
      <c r="E20" s="5"/>
      <c r="F20" s="36">
        <v>0.94499999999999995</v>
      </c>
      <c r="G20" s="5"/>
      <c r="H20" s="36">
        <v>0.75700000000000001</v>
      </c>
      <c r="I20" s="5"/>
      <c r="J20" s="5"/>
      <c r="K20" s="5"/>
      <c r="L20" s="36">
        <v>1</v>
      </c>
      <c r="M20" s="5"/>
      <c r="N20" s="36">
        <v>0.627</v>
      </c>
      <c r="O20" s="5"/>
      <c r="P20" s="36">
        <v>0.34699999999999998</v>
      </c>
      <c r="Q20" s="5"/>
      <c r="R20" s="36">
        <v>0.55700000000000005</v>
      </c>
      <c r="S20" s="5"/>
      <c r="T20" s="5"/>
      <c r="U20" s="5"/>
      <c r="V20" s="36">
        <v>0.124</v>
      </c>
      <c r="W20" s="36">
        <v>17.5</v>
      </c>
      <c r="X20" s="36">
        <v>0.14199999999999999</v>
      </c>
      <c r="Y20" s="36">
        <v>17.8</v>
      </c>
      <c r="Z20" s="36">
        <v>0.32</v>
      </c>
      <c r="AA20" s="36">
        <v>5.38</v>
      </c>
      <c r="AB20" s="36">
        <v>5.9899999999999997E-3</v>
      </c>
      <c r="AC20" s="36">
        <v>47.1</v>
      </c>
      <c r="AD20" s="36">
        <v>0.24199999999999999</v>
      </c>
      <c r="AE20" s="36">
        <v>16.600000000000001</v>
      </c>
      <c r="AF20" s="36">
        <v>0.219</v>
      </c>
      <c r="AG20" s="36">
        <v>48.1</v>
      </c>
      <c r="AH20" s="36">
        <v>0.152</v>
      </c>
      <c r="AI20" s="5"/>
      <c r="AJ20" s="36">
        <v>0.26</v>
      </c>
      <c r="AK20" s="36">
        <v>61.1</v>
      </c>
      <c r="AL20" s="36">
        <v>0.93400000000000005</v>
      </c>
      <c r="AM20" s="36">
        <v>5.24</v>
      </c>
      <c r="AN20" s="36">
        <v>0.443</v>
      </c>
      <c r="AO20" s="36">
        <v>49.9</v>
      </c>
      <c r="AP20" s="36">
        <v>0.54400000000000004</v>
      </c>
      <c r="AQ20" s="36">
        <v>11.6</v>
      </c>
      <c r="AR20" s="36">
        <v>0.502</v>
      </c>
      <c r="AS20" s="36">
        <v>23.2</v>
      </c>
      <c r="AT20" s="36">
        <v>0.46600000000000003</v>
      </c>
      <c r="AU20" s="36">
        <v>16.100000000000001</v>
      </c>
      <c r="AV20" s="36">
        <v>0.38900000000000001</v>
      </c>
      <c r="AW20" s="36">
        <v>11.8</v>
      </c>
      <c r="AX20" s="36">
        <v>0.219</v>
      </c>
      <c r="AY20" s="36">
        <v>14.4</v>
      </c>
      <c r="AZ20" s="5"/>
      <c r="BA20" s="36">
        <v>0.63500000000000001</v>
      </c>
      <c r="BB20" s="36">
        <v>23.8</v>
      </c>
      <c r="BC20" s="36">
        <v>0.34100000000000003</v>
      </c>
      <c r="BD20" s="36">
        <v>41.7</v>
      </c>
      <c r="BE20" s="36">
        <v>0.80400000000000005</v>
      </c>
      <c r="BF20" s="36">
        <v>37</v>
      </c>
      <c r="BG20" s="36">
        <v>1.18</v>
      </c>
      <c r="BH20" s="36">
        <v>39.200000000000003</v>
      </c>
      <c r="BI20" s="5"/>
      <c r="BJ20" s="5"/>
      <c r="BK20" s="5"/>
      <c r="BL20" s="36">
        <v>0.56599999999999995</v>
      </c>
      <c r="BM20" s="36">
        <v>15.1</v>
      </c>
      <c r="BN20" s="36">
        <v>0.376</v>
      </c>
      <c r="BO20" s="36">
        <v>14.7</v>
      </c>
      <c r="BP20" s="36">
        <v>0.28799999999999998</v>
      </c>
      <c r="BQ20" s="36">
        <v>59.5</v>
      </c>
      <c r="BR20" s="36">
        <v>0.82499999999999996</v>
      </c>
      <c r="BS20" s="36">
        <v>19.600000000000001</v>
      </c>
      <c r="BT20" s="36">
        <v>1.45</v>
      </c>
      <c r="BU20" s="36">
        <v>0</v>
      </c>
      <c r="BV20" s="36">
        <v>0.55400000000000005</v>
      </c>
      <c r="BW20" s="36">
        <v>0</v>
      </c>
      <c r="BX20" s="5"/>
      <c r="BY20" s="36">
        <v>0.67600000000000005</v>
      </c>
      <c r="BZ20" s="36">
        <v>0.42099999999999999</v>
      </c>
      <c r="CA20" s="46">
        <v>62.2</v>
      </c>
    </row>
    <row r="21" spans="1:79">
      <c r="A21" s="13" t="s">
        <v>125</v>
      </c>
      <c r="B21" s="35">
        <v>0.16500000000000001</v>
      </c>
      <c r="C21" s="35">
        <v>27.9</v>
      </c>
      <c r="D21" s="35">
        <v>0.49</v>
      </c>
      <c r="E21" s="35">
        <v>49.3</v>
      </c>
      <c r="F21" s="35">
        <v>0.61</v>
      </c>
      <c r="G21" s="35">
        <v>26.3</v>
      </c>
      <c r="H21" s="35">
        <v>0.53</v>
      </c>
      <c r="I21" s="35">
        <v>33.799999999999997</v>
      </c>
      <c r="J21" s="3"/>
      <c r="K21" s="3"/>
      <c r="L21" s="35">
        <v>0.38300000000000001</v>
      </c>
      <c r="M21" s="35">
        <v>34.799999999999997</v>
      </c>
      <c r="N21" s="35">
        <v>0.66700000000000004</v>
      </c>
      <c r="O21" s="35">
        <v>18.899999999999999</v>
      </c>
      <c r="P21" s="35">
        <v>0.24199999999999999</v>
      </c>
      <c r="Q21" s="35">
        <v>91.2</v>
      </c>
      <c r="R21" s="35">
        <v>0.33900000000000002</v>
      </c>
      <c r="S21" s="35">
        <v>38.5</v>
      </c>
      <c r="T21" s="35">
        <v>0.54100000000000004</v>
      </c>
      <c r="U21" s="35">
        <v>24.2</v>
      </c>
      <c r="V21" s="35">
        <v>0.26200000000000001</v>
      </c>
      <c r="W21" s="35">
        <v>17.399999999999999</v>
      </c>
      <c r="X21" s="35">
        <v>0.33800000000000002</v>
      </c>
      <c r="Y21" s="35">
        <v>33.200000000000003</v>
      </c>
      <c r="Z21" s="35">
        <v>0.16200000000000001</v>
      </c>
      <c r="AA21" s="35">
        <v>27.8</v>
      </c>
      <c r="AB21" s="35">
        <v>0.17199999999999999</v>
      </c>
      <c r="AC21" s="35">
        <v>29.5</v>
      </c>
      <c r="AD21" s="35">
        <v>4.45E-3</v>
      </c>
      <c r="AE21" s="35">
        <v>40.700000000000003</v>
      </c>
      <c r="AF21" s="35">
        <v>0.34300000000000003</v>
      </c>
      <c r="AG21" s="35">
        <v>36.6</v>
      </c>
      <c r="AH21" s="35">
        <v>0.27600000000000002</v>
      </c>
      <c r="AI21" s="35">
        <v>9.99</v>
      </c>
      <c r="AJ21" s="35">
        <v>0.34300000000000003</v>
      </c>
      <c r="AK21" s="35">
        <v>20.9</v>
      </c>
      <c r="AL21" s="35">
        <v>0.154</v>
      </c>
      <c r="AM21" s="35">
        <v>20.100000000000001</v>
      </c>
      <c r="AN21" s="35">
        <v>0.223</v>
      </c>
      <c r="AO21" s="35">
        <v>21.2</v>
      </c>
      <c r="AP21" s="35">
        <v>0.23699999999999999</v>
      </c>
      <c r="AQ21" s="35">
        <v>31.5</v>
      </c>
      <c r="AR21" s="35">
        <v>0.377</v>
      </c>
      <c r="AS21" s="35">
        <v>18.2</v>
      </c>
      <c r="AT21" s="35">
        <v>0.224</v>
      </c>
      <c r="AU21" s="35">
        <v>9.64</v>
      </c>
      <c r="AV21" s="35">
        <v>0.39700000000000002</v>
      </c>
      <c r="AW21" s="35">
        <v>10.199999999999999</v>
      </c>
      <c r="AX21" s="35">
        <v>0.32300000000000001</v>
      </c>
      <c r="AY21" s="35">
        <v>25.2</v>
      </c>
      <c r="AZ21" s="3"/>
      <c r="BA21" s="35">
        <v>0.13900000000000001</v>
      </c>
      <c r="BB21" s="35">
        <v>37.4</v>
      </c>
      <c r="BC21" s="35">
        <v>0.112</v>
      </c>
      <c r="BD21" s="35">
        <v>31.8</v>
      </c>
      <c r="BE21" s="35">
        <v>6.2199999999999998E-2</v>
      </c>
      <c r="BF21" s="35">
        <v>27.3</v>
      </c>
      <c r="BG21" s="35">
        <v>0.10100000000000001</v>
      </c>
      <c r="BH21" s="35">
        <v>81</v>
      </c>
      <c r="BI21" s="3"/>
      <c r="BJ21" s="3"/>
      <c r="BK21" s="3"/>
      <c r="BL21" s="35">
        <v>0.34499999999999997</v>
      </c>
      <c r="BM21" s="35">
        <v>5.31</v>
      </c>
      <c r="BN21" s="35">
        <v>0.18099999999999999</v>
      </c>
      <c r="BO21" s="35">
        <v>42.9</v>
      </c>
      <c r="BP21" s="35">
        <v>0.23899999999999999</v>
      </c>
      <c r="BQ21" s="35">
        <v>31</v>
      </c>
      <c r="BR21" s="35">
        <v>0.155</v>
      </c>
      <c r="BS21" s="35">
        <v>31.3</v>
      </c>
      <c r="BT21" s="35">
        <v>0.56499999999999995</v>
      </c>
      <c r="BU21" s="35">
        <v>42.8</v>
      </c>
      <c r="BV21" s="35">
        <v>0.44900000000000001</v>
      </c>
      <c r="BW21" s="35">
        <v>12.1</v>
      </c>
      <c r="BX21" s="3"/>
      <c r="BY21" s="35">
        <v>0.32200000000000001</v>
      </c>
      <c r="BZ21" s="35">
        <v>0.16200000000000001</v>
      </c>
      <c r="CA21" s="45">
        <v>50.1</v>
      </c>
    </row>
    <row r="22" spans="1:79">
      <c r="A22" s="13" t="s">
        <v>126</v>
      </c>
      <c r="B22" s="36">
        <v>3.2000000000000001E-2</v>
      </c>
      <c r="C22" s="36">
        <v>17.7</v>
      </c>
      <c r="D22" s="36">
        <v>0.14299999999999999</v>
      </c>
      <c r="E22" s="36">
        <v>1</v>
      </c>
      <c r="F22" s="36">
        <v>0.16500000000000001</v>
      </c>
      <c r="G22" s="36">
        <v>14.3</v>
      </c>
      <c r="H22" s="36">
        <v>0.111</v>
      </c>
      <c r="I22" s="36">
        <v>18</v>
      </c>
      <c r="J22" s="5"/>
      <c r="K22" s="5"/>
      <c r="L22" s="36">
        <v>0.106</v>
      </c>
      <c r="M22" s="36">
        <v>9.83</v>
      </c>
      <c r="N22" s="36">
        <v>0.10299999999999999</v>
      </c>
      <c r="O22" s="36">
        <v>24.5</v>
      </c>
      <c r="P22" s="36">
        <v>0.152</v>
      </c>
      <c r="Q22" s="36">
        <v>4.71</v>
      </c>
      <c r="R22" s="36">
        <v>0.17799999999999999</v>
      </c>
      <c r="S22" s="36">
        <v>8.84</v>
      </c>
      <c r="T22" s="36">
        <v>0.219</v>
      </c>
      <c r="U22" s="36">
        <v>1.76</v>
      </c>
      <c r="V22" s="36">
        <v>7.7399999999999997E-2</v>
      </c>
      <c r="W22" s="36">
        <v>19.100000000000001</v>
      </c>
      <c r="X22" s="36">
        <v>6.6699999999999995E-2</v>
      </c>
      <c r="Y22" s="36">
        <v>25.6</v>
      </c>
      <c r="Z22" s="36">
        <v>4.1399999999999999E-2</v>
      </c>
      <c r="AA22" s="36">
        <v>2.82</v>
      </c>
      <c r="AB22" s="36">
        <v>3.8300000000000001E-2</v>
      </c>
      <c r="AC22" s="36">
        <v>1.8</v>
      </c>
      <c r="AD22" s="36">
        <v>4.0500000000000001E-2</v>
      </c>
      <c r="AE22" s="36">
        <v>6.21</v>
      </c>
      <c r="AF22" s="5"/>
      <c r="AG22" s="5"/>
      <c r="AH22" s="36">
        <v>0.19800000000000001</v>
      </c>
      <c r="AI22" s="36">
        <v>45.6</v>
      </c>
      <c r="AJ22" s="36">
        <v>7.2400000000000006E-2</v>
      </c>
      <c r="AK22" s="36">
        <v>2.21</v>
      </c>
      <c r="AL22" s="36">
        <v>9.2799999999999994E-2</v>
      </c>
      <c r="AM22" s="36">
        <v>29.1</v>
      </c>
      <c r="AN22" s="36">
        <v>6.1699999999999998E-2</v>
      </c>
      <c r="AO22" s="36">
        <v>50.9</v>
      </c>
      <c r="AP22" s="36">
        <v>0.10199999999999999</v>
      </c>
      <c r="AQ22" s="36">
        <v>2.71</v>
      </c>
      <c r="AR22" s="36">
        <v>7.5499999999999998E-2</v>
      </c>
      <c r="AS22" s="36">
        <v>31.8</v>
      </c>
      <c r="AT22" s="36">
        <v>6.4799999999999996E-2</v>
      </c>
      <c r="AU22" s="36">
        <v>58.4</v>
      </c>
      <c r="AV22" s="36">
        <v>7.7100000000000002E-2</v>
      </c>
      <c r="AW22" s="36">
        <v>3.13</v>
      </c>
      <c r="AX22" s="36">
        <v>5.3800000000000001E-2</v>
      </c>
      <c r="AY22" s="36">
        <v>33.4</v>
      </c>
      <c r="AZ22" s="5"/>
      <c r="BA22" s="36">
        <v>0</v>
      </c>
      <c r="BB22" s="36">
        <v>19.100000000000001</v>
      </c>
      <c r="BC22" s="36">
        <v>0</v>
      </c>
      <c r="BD22" s="36">
        <v>14.5</v>
      </c>
      <c r="BE22" s="36">
        <v>0</v>
      </c>
      <c r="BF22" s="36">
        <v>18.899999999999999</v>
      </c>
      <c r="BG22" s="36">
        <v>0</v>
      </c>
      <c r="BH22" s="36">
        <v>9.84</v>
      </c>
      <c r="BI22" s="5"/>
      <c r="BJ22" s="5"/>
      <c r="BK22" s="5"/>
      <c r="BL22" s="36">
        <v>6.8599999999999994E-2</v>
      </c>
      <c r="BM22" s="36">
        <v>35.700000000000003</v>
      </c>
      <c r="BN22" s="36">
        <v>4.2799999999999998E-2</v>
      </c>
      <c r="BO22" s="36">
        <v>2.35</v>
      </c>
      <c r="BP22" s="36">
        <v>5.5199999999999999E-2</v>
      </c>
      <c r="BQ22" s="36">
        <v>6.37</v>
      </c>
      <c r="BR22" s="36">
        <v>0</v>
      </c>
      <c r="BS22" s="36">
        <v>12.6</v>
      </c>
      <c r="BT22" s="36">
        <v>0.13600000000000001</v>
      </c>
      <c r="BU22" s="36">
        <v>3.33</v>
      </c>
      <c r="BV22" s="36">
        <v>0.155</v>
      </c>
      <c r="BW22" s="36">
        <v>0.64600000000000002</v>
      </c>
      <c r="BX22" s="5"/>
      <c r="BY22" s="36">
        <v>7.6300000000000007E-2</v>
      </c>
      <c r="BZ22" s="36">
        <v>5.8700000000000002E-2</v>
      </c>
      <c r="CA22" s="46">
        <v>77</v>
      </c>
    </row>
    <row r="23" spans="1:79">
      <c r="A23" s="13" t="s">
        <v>127</v>
      </c>
      <c r="B23" s="35">
        <v>9.0800000000000006E-2</v>
      </c>
      <c r="C23" s="35">
        <v>17.2</v>
      </c>
      <c r="D23" s="35">
        <v>0.129</v>
      </c>
      <c r="E23" s="35">
        <v>53.7</v>
      </c>
      <c r="F23" s="35">
        <v>0.14699999999999999</v>
      </c>
      <c r="G23" s="35">
        <v>64.5</v>
      </c>
      <c r="H23" s="35">
        <v>0.16200000000000001</v>
      </c>
      <c r="I23" s="35">
        <v>8.1300000000000008</v>
      </c>
      <c r="J23" s="3"/>
      <c r="K23" s="3"/>
      <c r="L23" s="35">
        <v>0.34200000000000003</v>
      </c>
      <c r="M23" s="35">
        <v>5.52</v>
      </c>
      <c r="N23" s="35">
        <v>0.221</v>
      </c>
      <c r="O23" s="35">
        <v>7.16</v>
      </c>
      <c r="P23" s="35">
        <v>0.154</v>
      </c>
      <c r="Q23" s="35">
        <v>20.9</v>
      </c>
      <c r="R23" s="35">
        <v>0.19</v>
      </c>
      <c r="S23" s="35">
        <v>48.7</v>
      </c>
      <c r="T23" s="35">
        <v>0.17799999999999999</v>
      </c>
      <c r="U23" s="35">
        <v>51.1</v>
      </c>
      <c r="V23" s="35">
        <v>7.9600000000000004E-2</v>
      </c>
      <c r="W23" s="35">
        <v>21.5</v>
      </c>
      <c r="X23" s="35">
        <v>6.93E-2</v>
      </c>
      <c r="Y23" s="35">
        <v>18.399999999999999</v>
      </c>
      <c r="Z23" s="35">
        <v>8.7599999999999997E-2</v>
      </c>
      <c r="AA23" s="35">
        <v>4.4400000000000004</v>
      </c>
      <c r="AB23" s="35">
        <v>9.6100000000000005E-2</v>
      </c>
      <c r="AC23" s="35">
        <v>12.5</v>
      </c>
      <c r="AD23" s="35">
        <v>8.7999999999999995E-2</v>
      </c>
      <c r="AE23" s="35">
        <v>19.7</v>
      </c>
      <c r="AF23" s="35">
        <v>8.7499999999999994E-2</v>
      </c>
      <c r="AG23" s="35">
        <v>23.6</v>
      </c>
      <c r="AH23" s="35">
        <v>1.6899999999999998E-2</v>
      </c>
      <c r="AI23" s="35">
        <v>123</v>
      </c>
      <c r="AJ23" s="35">
        <v>0.107</v>
      </c>
      <c r="AK23" s="35">
        <v>24.6</v>
      </c>
      <c r="AL23" s="35">
        <v>9.5399999999999999E-2</v>
      </c>
      <c r="AM23" s="35">
        <v>0.47399999999999998</v>
      </c>
      <c r="AN23" s="35">
        <v>0.10199999999999999</v>
      </c>
      <c r="AO23" s="35">
        <v>13.4</v>
      </c>
      <c r="AP23" s="35">
        <v>9.9599999999999994E-2</v>
      </c>
      <c r="AQ23" s="35">
        <v>14.3</v>
      </c>
      <c r="AR23" s="35">
        <v>0.13300000000000001</v>
      </c>
      <c r="AS23" s="35">
        <v>23.1</v>
      </c>
      <c r="AT23" s="35">
        <v>0.123</v>
      </c>
      <c r="AU23" s="35">
        <v>18.600000000000001</v>
      </c>
      <c r="AV23" s="35">
        <v>0.13100000000000001</v>
      </c>
      <c r="AW23" s="35">
        <v>30.1</v>
      </c>
      <c r="AX23" s="35">
        <v>0.125</v>
      </c>
      <c r="AY23" s="35">
        <v>43.5</v>
      </c>
      <c r="AZ23" s="3"/>
      <c r="BA23" s="35">
        <v>0.105</v>
      </c>
      <c r="BB23" s="35">
        <v>18.7</v>
      </c>
      <c r="BC23" s="35">
        <v>3.5499999999999997E-2</v>
      </c>
      <c r="BD23" s="35">
        <v>16.399999999999999</v>
      </c>
      <c r="BE23" s="35">
        <v>3.4200000000000001E-2</v>
      </c>
      <c r="BF23" s="35">
        <v>31.8</v>
      </c>
      <c r="BG23" s="35">
        <v>3.2899999999999999E-2</v>
      </c>
      <c r="BH23" s="35">
        <v>14.4</v>
      </c>
      <c r="BI23" s="3"/>
      <c r="BJ23" s="3"/>
      <c r="BK23" s="3"/>
      <c r="BL23" s="35">
        <v>9.9599999999999994E-2</v>
      </c>
      <c r="BM23" s="35">
        <v>8.94</v>
      </c>
      <c r="BN23" s="35">
        <v>9.2700000000000005E-2</v>
      </c>
      <c r="BO23" s="35">
        <v>3.38</v>
      </c>
      <c r="BP23" s="35">
        <v>6.4100000000000004E-2</v>
      </c>
      <c r="BQ23" s="35">
        <v>6.75</v>
      </c>
      <c r="BR23" s="35">
        <v>8.6599999999999996E-2</v>
      </c>
      <c r="BS23" s="35">
        <v>62.2</v>
      </c>
      <c r="BT23" s="35">
        <v>0.38800000000000001</v>
      </c>
      <c r="BU23" s="35">
        <v>116</v>
      </c>
      <c r="BV23" s="35">
        <v>0.183</v>
      </c>
      <c r="BW23" s="35">
        <v>54.7</v>
      </c>
      <c r="BX23" s="3"/>
      <c r="BY23" s="35">
        <v>0.152</v>
      </c>
      <c r="BZ23" s="35">
        <v>0.122</v>
      </c>
      <c r="CA23" s="45">
        <v>80.3</v>
      </c>
    </row>
    <row r="24" spans="1:79">
      <c r="A24" s="13" t="s">
        <v>128</v>
      </c>
      <c r="B24" s="36">
        <v>7.8600000000000003E-2</v>
      </c>
      <c r="C24" s="36">
        <v>1.8</v>
      </c>
      <c r="D24" s="36">
        <v>0.443</v>
      </c>
      <c r="E24" s="36">
        <v>34.200000000000003</v>
      </c>
      <c r="F24" s="36">
        <v>0.88200000000000001</v>
      </c>
      <c r="G24" s="36">
        <v>0.34899999999999998</v>
      </c>
      <c r="H24" s="36">
        <v>0.81599999999999995</v>
      </c>
      <c r="I24" s="36">
        <v>20.100000000000001</v>
      </c>
      <c r="J24" s="5"/>
      <c r="K24" s="5"/>
      <c r="L24" s="36">
        <v>0.88400000000000001</v>
      </c>
      <c r="M24" s="36">
        <v>3.2</v>
      </c>
      <c r="N24" s="36">
        <v>0.69099999999999995</v>
      </c>
      <c r="O24" s="36">
        <v>21.8</v>
      </c>
      <c r="P24" s="36">
        <v>0.318</v>
      </c>
      <c r="Q24" s="36">
        <v>12.4</v>
      </c>
      <c r="R24" s="36">
        <v>0.48</v>
      </c>
      <c r="S24" s="36">
        <v>1.03</v>
      </c>
      <c r="T24" s="36">
        <v>0.38700000000000001</v>
      </c>
      <c r="U24" s="36">
        <v>38.299999999999997</v>
      </c>
      <c r="V24" s="36">
        <v>0.42099999999999999</v>
      </c>
      <c r="W24" s="36">
        <v>7.05</v>
      </c>
      <c r="X24" s="36">
        <v>0.40300000000000002</v>
      </c>
      <c r="Y24" s="36">
        <v>45.4</v>
      </c>
      <c r="Z24" s="36">
        <v>0.1</v>
      </c>
      <c r="AA24" s="36">
        <v>3.88</v>
      </c>
      <c r="AB24" s="36">
        <v>8.9200000000000002E-2</v>
      </c>
      <c r="AC24" s="36">
        <v>1.29</v>
      </c>
      <c r="AD24" s="36">
        <v>7.5399999999999995E-2</v>
      </c>
      <c r="AE24" s="36">
        <v>15.6</v>
      </c>
      <c r="AF24" s="36">
        <v>0.32800000000000001</v>
      </c>
      <c r="AG24" s="36">
        <v>6.55</v>
      </c>
      <c r="AH24" s="36">
        <v>0.32500000000000001</v>
      </c>
      <c r="AI24" s="36">
        <v>8.7899999999999991</v>
      </c>
      <c r="AJ24" s="5"/>
      <c r="AK24" s="5"/>
      <c r="AL24" s="36">
        <v>0.26300000000000001</v>
      </c>
      <c r="AM24" s="36">
        <v>35.200000000000003</v>
      </c>
      <c r="AN24" s="36">
        <v>7.9200000000000007E-2</v>
      </c>
      <c r="AO24" s="36">
        <v>29.8</v>
      </c>
      <c r="AP24" s="36">
        <v>0.11</v>
      </c>
      <c r="AQ24" s="36">
        <v>32.200000000000003</v>
      </c>
      <c r="AR24" s="36">
        <v>0.115</v>
      </c>
      <c r="AS24" s="36">
        <v>49.6</v>
      </c>
      <c r="AT24" s="36">
        <v>0.13300000000000001</v>
      </c>
      <c r="AU24" s="36">
        <v>45.6</v>
      </c>
      <c r="AV24" s="36">
        <v>0.126</v>
      </c>
      <c r="AW24" s="36">
        <v>32.299999999999997</v>
      </c>
      <c r="AX24" s="36">
        <v>0.105</v>
      </c>
      <c r="AY24" s="36">
        <v>7.11</v>
      </c>
      <c r="AZ24" s="5"/>
      <c r="BA24" s="36">
        <v>0.19600000000000001</v>
      </c>
      <c r="BB24" s="36">
        <v>34.799999999999997</v>
      </c>
      <c r="BC24" s="5"/>
      <c r="BD24" s="5"/>
      <c r="BE24" s="36">
        <v>0.58099999999999996</v>
      </c>
      <c r="BF24" s="36">
        <v>30</v>
      </c>
      <c r="BG24" s="36">
        <v>0.67500000000000004</v>
      </c>
      <c r="BH24" s="36">
        <v>22.2</v>
      </c>
      <c r="BI24" s="5"/>
      <c r="BJ24" s="5"/>
      <c r="BK24" s="5"/>
      <c r="BL24" s="36">
        <v>8.8800000000000004E-2</v>
      </c>
      <c r="BM24" s="36">
        <v>34.200000000000003</v>
      </c>
      <c r="BN24" s="36">
        <v>6.3500000000000001E-2</v>
      </c>
      <c r="BO24" s="36">
        <v>44.4</v>
      </c>
      <c r="BP24" s="36">
        <v>0.25600000000000001</v>
      </c>
      <c r="BQ24" s="36">
        <v>10.3</v>
      </c>
      <c r="BR24" s="36">
        <v>0.36499999999999999</v>
      </c>
      <c r="BS24" s="36">
        <v>16.100000000000001</v>
      </c>
      <c r="BT24" s="36">
        <v>0.88600000000000001</v>
      </c>
      <c r="BU24" s="36">
        <v>29</v>
      </c>
      <c r="BV24" s="36">
        <v>0.36599999999999999</v>
      </c>
      <c r="BW24" s="36">
        <v>1.92</v>
      </c>
      <c r="BX24" s="5"/>
      <c r="BY24" s="36">
        <v>0.33800000000000002</v>
      </c>
      <c r="BZ24" s="36">
        <v>0.29899999999999999</v>
      </c>
      <c r="CA24" s="46">
        <v>88.5</v>
      </c>
    </row>
    <row r="25" spans="1:79">
      <c r="A25" s="13" t="s">
        <v>129</v>
      </c>
      <c r="B25" s="35">
        <v>4.3299999999999998E-2</v>
      </c>
      <c r="C25" s="35">
        <v>21.8</v>
      </c>
      <c r="D25" s="35">
        <v>0.113</v>
      </c>
      <c r="E25" s="35">
        <v>35.9</v>
      </c>
      <c r="F25" s="35">
        <v>0.14499999999999999</v>
      </c>
      <c r="G25" s="35">
        <v>45.5</v>
      </c>
      <c r="H25" s="35">
        <v>9.0800000000000006E-2</v>
      </c>
      <c r="I25" s="35">
        <v>90.1</v>
      </c>
      <c r="J25" s="3"/>
      <c r="K25" s="3"/>
      <c r="L25" s="35">
        <v>0.186</v>
      </c>
      <c r="M25" s="35">
        <v>106</v>
      </c>
      <c r="N25" s="35">
        <v>0.10100000000000001</v>
      </c>
      <c r="O25" s="35">
        <v>84.5</v>
      </c>
      <c r="P25" s="35">
        <v>4.65E-2</v>
      </c>
      <c r="Q25" s="35">
        <v>52.1</v>
      </c>
      <c r="R25" s="35">
        <v>0.129</v>
      </c>
      <c r="S25" s="35">
        <v>13.5</v>
      </c>
      <c r="T25" s="35">
        <v>0.17100000000000001</v>
      </c>
      <c r="U25" s="35">
        <v>47.2</v>
      </c>
      <c r="V25" s="35">
        <v>0.123</v>
      </c>
      <c r="W25" s="35">
        <v>52.7</v>
      </c>
      <c r="X25" s="35">
        <v>8.6199999999999999E-2</v>
      </c>
      <c r="Y25" s="35">
        <v>59.5</v>
      </c>
      <c r="Z25" s="35">
        <v>4.99E-2</v>
      </c>
      <c r="AA25" s="35">
        <v>16.2</v>
      </c>
      <c r="AB25" s="35">
        <v>4.5699999999999998E-2</v>
      </c>
      <c r="AC25" s="35">
        <v>25.2</v>
      </c>
      <c r="AD25" s="35">
        <v>4.2900000000000001E-2</v>
      </c>
      <c r="AE25" s="35">
        <v>11.7</v>
      </c>
      <c r="AF25" s="35">
        <v>0.121</v>
      </c>
      <c r="AG25" s="35">
        <v>14</v>
      </c>
      <c r="AH25" s="35">
        <v>3.8399999999999997E-2</v>
      </c>
      <c r="AI25" s="35">
        <v>60.9</v>
      </c>
      <c r="AJ25" s="35">
        <v>7.22E-2</v>
      </c>
      <c r="AK25" s="35">
        <v>24.6</v>
      </c>
      <c r="AL25" s="35">
        <v>5.3800000000000002E-3</v>
      </c>
      <c r="AM25" s="35">
        <v>141</v>
      </c>
      <c r="AN25" s="35">
        <v>5.5599999999999997E-2</v>
      </c>
      <c r="AO25" s="35">
        <v>7.49</v>
      </c>
      <c r="AP25" s="35">
        <v>7.2599999999999998E-2</v>
      </c>
      <c r="AQ25" s="35">
        <v>33.799999999999997</v>
      </c>
      <c r="AR25" s="35">
        <v>6.4199999999999993E-2</v>
      </c>
      <c r="AS25" s="35">
        <v>45.1</v>
      </c>
      <c r="AT25" s="35">
        <v>8.8499999999999995E-2</v>
      </c>
      <c r="AU25" s="35">
        <v>23.1</v>
      </c>
      <c r="AV25" s="35">
        <v>8.5300000000000001E-2</v>
      </c>
      <c r="AW25" s="35">
        <v>2.0699999999999998</v>
      </c>
      <c r="AX25" s="35">
        <v>7.0599999999999996E-2</v>
      </c>
      <c r="AY25" s="35">
        <v>25.5</v>
      </c>
      <c r="AZ25" s="3"/>
      <c r="BA25" s="35">
        <v>3.1699999999999999E-2</v>
      </c>
      <c r="BB25" s="35">
        <v>16.3</v>
      </c>
      <c r="BC25" s="35">
        <v>1.1900000000000001E-2</v>
      </c>
      <c r="BD25" s="35">
        <v>8.85</v>
      </c>
      <c r="BE25" s="35">
        <v>4.2099999999999999E-2</v>
      </c>
      <c r="BF25" s="35">
        <v>16.600000000000001</v>
      </c>
      <c r="BG25" s="35">
        <v>3.8600000000000002E-2</v>
      </c>
      <c r="BH25" s="35">
        <v>17.8</v>
      </c>
      <c r="BI25" s="3"/>
      <c r="BJ25" s="3"/>
      <c r="BK25" s="3"/>
      <c r="BL25" s="35">
        <v>3.5700000000000003E-2</v>
      </c>
      <c r="BM25" s="35">
        <v>14.5</v>
      </c>
      <c r="BN25" s="35">
        <v>5.1900000000000002E-2</v>
      </c>
      <c r="BO25" s="35">
        <v>22.6</v>
      </c>
      <c r="BP25" s="35">
        <v>5.9499999999999997E-2</v>
      </c>
      <c r="BQ25" s="35">
        <v>10.7</v>
      </c>
      <c r="BR25" s="35">
        <v>5.0799999999999998E-2</v>
      </c>
      <c r="BS25" s="35">
        <v>12.1</v>
      </c>
      <c r="BT25" s="35">
        <v>0.30299999999999999</v>
      </c>
      <c r="BU25" s="35">
        <v>109</v>
      </c>
      <c r="BV25" s="35">
        <v>9.7000000000000003E-2</v>
      </c>
      <c r="BW25" s="35">
        <v>49.3</v>
      </c>
      <c r="BX25" s="3"/>
      <c r="BY25" s="35">
        <v>9.9599999999999994E-2</v>
      </c>
      <c r="BZ25" s="35">
        <v>0.10199999999999999</v>
      </c>
      <c r="CA25" s="45">
        <v>102</v>
      </c>
    </row>
    <row r="26" spans="1:79">
      <c r="A26" s="13" t="s">
        <v>130</v>
      </c>
      <c r="B26" s="36">
        <v>2.35E-2</v>
      </c>
      <c r="C26" s="36">
        <v>18.600000000000001</v>
      </c>
      <c r="D26" s="36">
        <v>0.121</v>
      </c>
      <c r="E26" s="5"/>
      <c r="F26" s="36">
        <v>6.0699999999999997E-2</v>
      </c>
      <c r="G26" s="5"/>
      <c r="H26" s="36">
        <v>4.5499999999999999E-2</v>
      </c>
      <c r="I26" s="5"/>
      <c r="J26" s="5"/>
      <c r="K26" s="5"/>
      <c r="L26" s="36">
        <v>7.6899999999999996E-2</v>
      </c>
      <c r="M26" s="5"/>
      <c r="N26" s="36">
        <v>0.11</v>
      </c>
      <c r="O26" s="5"/>
      <c r="P26" s="36">
        <v>0.108</v>
      </c>
      <c r="Q26" s="36">
        <v>24.9</v>
      </c>
      <c r="R26" s="36">
        <v>6.2399999999999997E-2</v>
      </c>
      <c r="S26" s="36">
        <v>30.9</v>
      </c>
      <c r="T26" s="5"/>
      <c r="U26" s="5"/>
      <c r="V26" s="36">
        <v>6.4999999999999997E-3</v>
      </c>
      <c r="W26" s="36">
        <v>17.7</v>
      </c>
      <c r="X26" s="36">
        <v>8.8000000000000005E-3</v>
      </c>
      <c r="Y26" s="36">
        <v>82.1</v>
      </c>
      <c r="Z26" s="36">
        <v>2.4E-2</v>
      </c>
      <c r="AA26" s="36">
        <v>6.25</v>
      </c>
      <c r="AB26" s="36">
        <v>1.72E-2</v>
      </c>
      <c r="AC26" s="36">
        <v>12.4</v>
      </c>
      <c r="AD26" s="36">
        <v>1.9400000000000001E-2</v>
      </c>
      <c r="AE26" s="36">
        <v>1.1499999999999999</v>
      </c>
      <c r="AF26" s="36">
        <v>2.01E-2</v>
      </c>
      <c r="AG26" s="36">
        <v>44.8</v>
      </c>
      <c r="AH26" s="36">
        <v>0.13300000000000001</v>
      </c>
      <c r="AI26" s="36">
        <v>15.8</v>
      </c>
      <c r="AJ26" s="36">
        <v>2.3E-2</v>
      </c>
      <c r="AK26" s="36">
        <v>42.7</v>
      </c>
      <c r="AL26" s="36">
        <v>6.1400000000000003E-2</v>
      </c>
      <c r="AM26" s="36">
        <v>3.93</v>
      </c>
      <c r="AN26" s="5"/>
      <c r="AO26" s="5"/>
      <c r="AP26" s="36">
        <v>3.6900000000000002E-2</v>
      </c>
      <c r="AQ26" s="36">
        <v>3.14</v>
      </c>
      <c r="AR26" s="36">
        <v>3.8800000000000001E-2</v>
      </c>
      <c r="AS26" s="36">
        <v>0</v>
      </c>
      <c r="AT26" s="36">
        <v>2.46E-2</v>
      </c>
      <c r="AU26" s="36">
        <v>15.2</v>
      </c>
      <c r="AV26" s="36">
        <v>2.6800000000000001E-2</v>
      </c>
      <c r="AW26" s="36">
        <v>0.439</v>
      </c>
      <c r="AX26" s="36">
        <v>1.8100000000000002E-2</v>
      </c>
      <c r="AY26" s="36">
        <v>36</v>
      </c>
      <c r="AZ26" s="5"/>
      <c r="BA26" s="36">
        <v>3.7199999999999997E-2</v>
      </c>
      <c r="BB26" s="36">
        <v>25.4</v>
      </c>
      <c r="BC26" s="36">
        <v>2.1600000000000001E-2</v>
      </c>
      <c r="BD26" s="36">
        <v>37.700000000000003</v>
      </c>
      <c r="BE26" s="36">
        <v>5.0999999999999997E-2</v>
      </c>
      <c r="BF26" s="36">
        <v>27.6</v>
      </c>
      <c r="BG26" s="36">
        <v>3.78E-2</v>
      </c>
      <c r="BH26" s="36">
        <v>32</v>
      </c>
      <c r="BI26" s="5"/>
      <c r="BJ26" s="5"/>
      <c r="BK26" s="5"/>
      <c r="BL26" s="36">
        <v>3.4299999999999997E-2</v>
      </c>
      <c r="BM26" s="36">
        <v>14.6</v>
      </c>
      <c r="BN26" s="36">
        <v>2.5399999999999999E-2</v>
      </c>
      <c r="BO26" s="36">
        <v>2.97</v>
      </c>
      <c r="BP26" s="36">
        <v>3.95E-2</v>
      </c>
      <c r="BQ26" s="36">
        <v>20.7</v>
      </c>
      <c r="BR26" s="36">
        <v>3.5999999999999997E-2</v>
      </c>
      <c r="BS26" s="36">
        <v>16.7</v>
      </c>
      <c r="BT26" s="36">
        <v>0.10299999999999999</v>
      </c>
      <c r="BU26" s="36">
        <v>0</v>
      </c>
      <c r="BV26" s="36">
        <v>0.125</v>
      </c>
      <c r="BW26" s="36">
        <v>78.2</v>
      </c>
      <c r="BX26" s="5"/>
      <c r="BY26" s="36">
        <v>6.0499999999999998E-2</v>
      </c>
      <c r="BZ26" s="36">
        <v>4.2299999999999997E-2</v>
      </c>
      <c r="CA26" s="46">
        <v>69.8</v>
      </c>
    </row>
    <row r="27" spans="1:79">
      <c r="A27" s="13" t="s">
        <v>131</v>
      </c>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5">
        <v>3.0099999999999998E-2</v>
      </c>
      <c r="AO27" s="35">
        <v>47.1</v>
      </c>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14"/>
    </row>
    <row r="28" spans="1:79">
      <c r="A28" s="13" t="s">
        <v>132</v>
      </c>
      <c r="B28" s="36">
        <v>0.16300000000000001</v>
      </c>
      <c r="C28" s="36">
        <v>13.9</v>
      </c>
      <c r="D28" s="36">
        <v>0.90100000000000002</v>
      </c>
      <c r="E28" s="36">
        <v>10.5</v>
      </c>
      <c r="F28" s="36">
        <v>0.32700000000000001</v>
      </c>
      <c r="G28" s="36">
        <v>7.21</v>
      </c>
      <c r="H28" s="36">
        <v>0.48399999999999999</v>
      </c>
      <c r="I28" s="36">
        <v>4.7</v>
      </c>
      <c r="J28" s="5"/>
      <c r="K28" s="5"/>
      <c r="L28" s="36">
        <v>0.627</v>
      </c>
      <c r="M28" s="36">
        <v>2.3199999999999998</v>
      </c>
      <c r="N28" s="36">
        <v>0.624</v>
      </c>
      <c r="O28" s="36">
        <v>4.59</v>
      </c>
      <c r="P28" s="36">
        <v>0.13400000000000001</v>
      </c>
      <c r="Q28" s="36">
        <v>2.0099999999999998</v>
      </c>
      <c r="R28" s="36">
        <v>0.47399999999999998</v>
      </c>
      <c r="S28" s="36">
        <v>3.74</v>
      </c>
      <c r="T28" s="36">
        <v>0.45600000000000002</v>
      </c>
      <c r="U28" s="36">
        <v>1.69</v>
      </c>
      <c r="V28" s="36">
        <v>0.158</v>
      </c>
      <c r="W28" s="36">
        <v>1.03</v>
      </c>
      <c r="X28" s="36">
        <v>0.28499999999999998</v>
      </c>
      <c r="Y28" s="36">
        <v>5.81</v>
      </c>
      <c r="Z28" s="36">
        <v>0.16800000000000001</v>
      </c>
      <c r="AA28" s="36">
        <v>13.6</v>
      </c>
      <c r="AB28" s="36">
        <v>0.20899999999999999</v>
      </c>
      <c r="AC28" s="36">
        <v>19.399999999999999</v>
      </c>
      <c r="AD28" s="36">
        <v>0.14599999999999999</v>
      </c>
      <c r="AE28" s="36">
        <v>16.399999999999999</v>
      </c>
      <c r="AF28" s="36">
        <v>0.17899999999999999</v>
      </c>
      <c r="AG28" s="36">
        <v>24.7</v>
      </c>
      <c r="AH28" s="36">
        <v>0.32</v>
      </c>
      <c r="AI28" s="36">
        <v>40.6</v>
      </c>
      <c r="AJ28" s="36">
        <v>0.3</v>
      </c>
      <c r="AK28" s="36">
        <v>15.4</v>
      </c>
      <c r="AL28" s="36">
        <v>0.39800000000000002</v>
      </c>
      <c r="AM28" s="36">
        <v>13.4</v>
      </c>
      <c r="AN28" s="36">
        <v>0.27400000000000002</v>
      </c>
      <c r="AO28" s="36">
        <v>26</v>
      </c>
      <c r="AP28" s="36">
        <v>0.36099999999999999</v>
      </c>
      <c r="AQ28" s="36">
        <v>26.5</v>
      </c>
      <c r="AR28" s="5"/>
      <c r="AS28" s="5"/>
      <c r="AT28" s="36">
        <v>0.24</v>
      </c>
      <c r="AU28" s="36">
        <v>36.4</v>
      </c>
      <c r="AV28" s="36">
        <v>0.312</v>
      </c>
      <c r="AW28" s="36">
        <v>31.5</v>
      </c>
      <c r="AX28" s="36">
        <v>0.26400000000000001</v>
      </c>
      <c r="AY28" s="36">
        <v>43.4</v>
      </c>
      <c r="AZ28" s="5"/>
      <c r="BA28" s="36">
        <v>0.61199999999999999</v>
      </c>
      <c r="BB28" s="36">
        <v>16.8</v>
      </c>
      <c r="BC28" s="36">
        <v>0.12</v>
      </c>
      <c r="BD28" s="36">
        <v>19.899999999999999</v>
      </c>
      <c r="BE28" s="36">
        <v>0.33600000000000002</v>
      </c>
      <c r="BF28" s="36">
        <v>25</v>
      </c>
      <c r="BG28" s="36">
        <v>0.58599999999999997</v>
      </c>
      <c r="BH28" s="36">
        <v>21</v>
      </c>
      <c r="BI28" s="5"/>
      <c r="BJ28" s="5"/>
      <c r="BK28" s="5"/>
      <c r="BL28" s="36">
        <v>0.29499999999999998</v>
      </c>
      <c r="BM28" s="36">
        <v>13.9</v>
      </c>
      <c r="BN28" s="36">
        <v>0.18</v>
      </c>
      <c r="BO28" s="36">
        <v>6.82</v>
      </c>
      <c r="BP28" s="36">
        <v>0.17399999999999999</v>
      </c>
      <c r="BQ28" s="36">
        <v>12.3</v>
      </c>
      <c r="BR28" s="36">
        <v>0.56299999999999994</v>
      </c>
      <c r="BS28" s="36">
        <v>21.8</v>
      </c>
      <c r="BT28" s="36">
        <v>0.83799999999999997</v>
      </c>
      <c r="BU28" s="36">
        <v>47.5</v>
      </c>
      <c r="BV28" s="36">
        <v>0.30099999999999999</v>
      </c>
      <c r="BW28" s="36">
        <v>6</v>
      </c>
      <c r="BX28" s="5"/>
      <c r="BY28" s="36">
        <v>0.39200000000000002</v>
      </c>
      <c r="BZ28" s="36">
        <v>0.26</v>
      </c>
      <c r="CA28" s="46">
        <v>66.400000000000006</v>
      </c>
    </row>
    <row r="29" spans="1:79">
      <c r="A29" s="13" t="s">
        <v>133</v>
      </c>
      <c r="B29" s="35">
        <v>0.45300000000000001</v>
      </c>
      <c r="C29" s="35">
        <v>0.52100000000000002</v>
      </c>
      <c r="D29" s="35">
        <v>1.2</v>
      </c>
      <c r="E29" s="3"/>
      <c r="F29" s="35">
        <v>4.71</v>
      </c>
      <c r="G29" s="3"/>
      <c r="H29" s="35">
        <v>3.93</v>
      </c>
      <c r="I29" s="3"/>
      <c r="J29" s="3"/>
      <c r="K29" s="3"/>
      <c r="L29" s="35">
        <v>3.23</v>
      </c>
      <c r="M29" s="3"/>
      <c r="N29" s="35">
        <v>1.82</v>
      </c>
      <c r="O29" s="3"/>
      <c r="P29" s="35">
        <v>0.77300000000000002</v>
      </c>
      <c r="Q29" s="3"/>
      <c r="R29" s="35">
        <v>1.0900000000000001</v>
      </c>
      <c r="S29" s="3"/>
      <c r="T29" s="35">
        <v>0.41499999999999998</v>
      </c>
      <c r="U29" s="3"/>
      <c r="V29" s="35">
        <v>0.94</v>
      </c>
      <c r="W29" s="35">
        <v>23</v>
      </c>
      <c r="X29" s="35">
        <v>0.75700000000000001</v>
      </c>
      <c r="Y29" s="35">
        <v>4.1399999999999997</v>
      </c>
      <c r="Z29" s="35">
        <v>0.54500000000000004</v>
      </c>
      <c r="AA29" s="35">
        <v>9.17</v>
      </c>
      <c r="AB29" s="35">
        <v>0.64200000000000002</v>
      </c>
      <c r="AC29" s="35">
        <v>21.3</v>
      </c>
      <c r="AD29" s="35">
        <v>0.497</v>
      </c>
      <c r="AE29" s="35">
        <v>9.2200000000000006</v>
      </c>
      <c r="AF29" s="35">
        <v>0.92500000000000004</v>
      </c>
      <c r="AG29" s="35">
        <v>31.7</v>
      </c>
      <c r="AH29" s="35">
        <v>0.39600000000000002</v>
      </c>
      <c r="AI29" s="3"/>
      <c r="AJ29" s="35">
        <v>0.67800000000000005</v>
      </c>
      <c r="AK29" s="35">
        <v>31.9</v>
      </c>
      <c r="AL29" s="35">
        <v>0.63400000000000001</v>
      </c>
      <c r="AM29" s="35">
        <v>1.9</v>
      </c>
      <c r="AN29" s="35">
        <v>0.65200000000000002</v>
      </c>
      <c r="AO29" s="35">
        <v>17.100000000000001</v>
      </c>
      <c r="AP29" s="35">
        <v>0.67600000000000005</v>
      </c>
      <c r="AQ29" s="35">
        <v>1.71</v>
      </c>
      <c r="AR29" s="35">
        <v>0.98399999999999999</v>
      </c>
      <c r="AS29" s="35">
        <v>16.8</v>
      </c>
      <c r="AT29" s="3"/>
      <c r="AU29" s="3"/>
      <c r="AV29" s="35">
        <v>1.56</v>
      </c>
      <c r="AW29" s="35">
        <v>35.200000000000003</v>
      </c>
      <c r="AX29" s="35">
        <v>0.66400000000000003</v>
      </c>
      <c r="AY29" s="35">
        <v>27.1</v>
      </c>
      <c r="AZ29" s="3"/>
      <c r="BA29" s="35">
        <v>0.38800000000000001</v>
      </c>
      <c r="BB29" s="35">
        <v>13.2</v>
      </c>
      <c r="BC29" s="35">
        <v>0.27300000000000002</v>
      </c>
      <c r="BD29" s="35">
        <v>10.199999999999999</v>
      </c>
      <c r="BE29" s="35">
        <v>0.32900000000000001</v>
      </c>
      <c r="BF29" s="35">
        <v>27.5</v>
      </c>
      <c r="BG29" s="35">
        <v>0.45700000000000002</v>
      </c>
      <c r="BH29" s="35">
        <v>38.200000000000003</v>
      </c>
      <c r="BI29" s="3"/>
      <c r="BJ29" s="3"/>
      <c r="BK29" s="3"/>
      <c r="BL29" s="35">
        <v>0.59099999999999997</v>
      </c>
      <c r="BM29" s="35">
        <v>0</v>
      </c>
      <c r="BN29" s="35">
        <v>0.48099999999999998</v>
      </c>
      <c r="BO29" s="35">
        <v>7.36</v>
      </c>
      <c r="BP29" s="35">
        <v>0.58299999999999996</v>
      </c>
      <c r="BQ29" s="35">
        <v>9.16</v>
      </c>
      <c r="BR29" s="35">
        <v>0.41499999999999998</v>
      </c>
      <c r="BS29" s="35">
        <v>3.14</v>
      </c>
      <c r="BT29" s="35">
        <v>1.23</v>
      </c>
      <c r="BU29" s="35">
        <v>0</v>
      </c>
      <c r="BV29" s="35">
        <v>0.63</v>
      </c>
      <c r="BW29" s="35">
        <v>0</v>
      </c>
      <c r="BX29" s="3"/>
      <c r="BY29" s="35">
        <v>0.65500000000000003</v>
      </c>
      <c r="BZ29" s="35">
        <v>0.29199999999999998</v>
      </c>
      <c r="CA29" s="45">
        <v>44.6</v>
      </c>
    </row>
    <row r="30" spans="1:79">
      <c r="A30" s="13" t="s">
        <v>134</v>
      </c>
      <c r="B30" s="36">
        <v>0.155</v>
      </c>
      <c r="C30" s="36">
        <v>28.2</v>
      </c>
      <c r="D30" s="36">
        <v>0.31</v>
      </c>
      <c r="E30" s="36">
        <v>52.2</v>
      </c>
      <c r="F30" s="36">
        <v>0.36199999999999999</v>
      </c>
      <c r="G30" s="36">
        <v>46.8</v>
      </c>
      <c r="H30" s="36">
        <v>0.376</v>
      </c>
      <c r="I30" s="36">
        <v>31.5</v>
      </c>
      <c r="J30" s="5"/>
      <c r="K30" s="5"/>
      <c r="L30" s="36">
        <v>0.30599999999999999</v>
      </c>
      <c r="M30" s="36">
        <v>17.100000000000001</v>
      </c>
      <c r="N30" s="36">
        <v>0.28399999999999997</v>
      </c>
      <c r="O30" s="36">
        <v>54.3</v>
      </c>
      <c r="P30" s="36">
        <v>0.57999999999999996</v>
      </c>
      <c r="Q30" s="36">
        <v>0.154</v>
      </c>
      <c r="R30" s="36">
        <v>0.59699999999999998</v>
      </c>
      <c r="S30" s="36">
        <v>15</v>
      </c>
      <c r="T30" s="36">
        <v>0.71899999999999997</v>
      </c>
      <c r="U30" s="36">
        <v>19</v>
      </c>
      <c r="V30" s="36">
        <v>0.25</v>
      </c>
      <c r="W30" s="36">
        <v>16.5</v>
      </c>
      <c r="X30" s="36">
        <v>0.152</v>
      </c>
      <c r="Y30" s="36">
        <v>44.7</v>
      </c>
      <c r="Z30" s="36">
        <v>0.14899999999999999</v>
      </c>
      <c r="AA30" s="36">
        <v>20.399999999999999</v>
      </c>
      <c r="AB30" s="36">
        <v>0.14899999999999999</v>
      </c>
      <c r="AC30" s="36">
        <v>25</v>
      </c>
      <c r="AD30" s="36">
        <v>0.156</v>
      </c>
      <c r="AE30" s="36">
        <v>13.4</v>
      </c>
      <c r="AF30" s="36">
        <v>0.22900000000000001</v>
      </c>
      <c r="AG30" s="36">
        <v>27.5</v>
      </c>
      <c r="AH30" s="36">
        <v>0.52700000000000002</v>
      </c>
      <c r="AI30" s="36">
        <v>6.82</v>
      </c>
      <c r="AJ30" s="36">
        <v>0.30199999999999999</v>
      </c>
      <c r="AK30" s="36">
        <v>11.4</v>
      </c>
      <c r="AL30" s="36">
        <v>0.51300000000000001</v>
      </c>
      <c r="AM30" s="36">
        <v>28.1</v>
      </c>
      <c r="AN30" s="36">
        <v>0.34399999999999997</v>
      </c>
      <c r="AO30" s="36">
        <v>29.3</v>
      </c>
      <c r="AP30" s="36">
        <v>0.30099999999999999</v>
      </c>
      <c r="AQ30" s="36">
        <v>22.3</v>
      </c>
      <c r="AR30" s="36">
        <v>0.317</v>
      </c>
      <c r="AS30" s="36">
        <v>31.9</v>
      </c>
      <c r="AT30" s="36">
        <v>0.22</v>
      </c>
      <c r="AU30" s="36">
        <v>24.3</v>
      </c>
      <c r="AV30" s="5"/>
      <c r="AW30" s="5"/>
      <c r="AX30" s="36">
        <v>0.23400000000000001</v>
      </c>
      <c r="AY30" s="36">
        <v>0.48899999999999999</v>
      </c>
      <c r="AZ30" s="5"/>
      <c r="BA30" s="36">
        <v>9.98E-2</v>
      </c>
      <c r="BB30" s="36">
        <v>11.9</v>
      </c>
      <c r="BC30" s="36">
        <v>0.14699999999999999</v>
      </c>
      <c r="BD30" s="36">
        <v>3.06</v>
      </c>
      <c r="BE30" s="36">
        <v>0.193</v>
      </c>
      <c r="BF30" s="36">
        <v>32.4</v>
      </c>
      <c r="BG30" s="36">
        <v>0.34699999999999998</v>
      </c>
      <c r="BH30" s="36">
        <v>41</v>
      </c>
      <c r="BI30" s="5"/>
      <c r="BJ30" s="5"/>
      <c r="BK30" s="5"/>
      <c r="BL30" s="36">
        <v>0.312</v>
      </c>
      <c r="BM30" s="36">
        <v>25.8</v>
      </c>
      <c r="BN30" s="36">
        <v>0.17100000000000001</v>
      </c>
      <c r="BO30" s="36">
        <v>10.6</v>
      </c>
      <c r="BP30" s="36">
        <v>0.18099999999999999</v>
      </c>
      <c r="BQ30" s="36">
        <v>56.4</v>
      </c>
      <c r="BR30" s="36">
        <v>0.15</v>
      </c>
      <c r="BS30" s="36">
        <v>20.399999999999999</v>
      </c>
      <c r="BT30" s="36">
        <v>0.36599999999999999</v>
      </c>
      <c r="BU30" s="36">
        <v>67.400000000000006</v>
      </c>
      <c r="BV30" s="36">
        <v>0.40500000000000003</v>
      </c>
      <c r="BW30" s="36">
        <v>23.3</v>
      </c>
      <c r="BX30" s="5"/>
      <c r="BY30" s="36">
        <v>0.26400000000000001</v>
      </c>
      <c r="BZ30" s="36">
        <v>0.111</v>
      </c>
      <c r="CA30" s="46">
        <v>41.9</v>
      </c>
    </row>
    <row r="31" spans="1:79">
      <c r="A31" s="13" t="s">
        <v>135</v>
      </c>
      <c r="B31" s="35">
        <v>0.125</v>
      </c>
      <c r="C31" s="35">
        <v>6.34</v>
      </c>
      <c r="D31" s="35">
        <v>0.46700000000000003</v>
      </c>
      <c r="E31" s="35">
        <v>14.7</v>
      </c>
      <c r="F31" s="35">
        <v>0.56899999999999995</v>
      </c>
      <c r="G31" s="35">
        <v>25.8</v>
      </c>
      <c r="H31" s="35">
        <v>0.41099999999999998</v>
      </c>
      <c r="I31" s="35">
        <v>31.8</v>
      </c>
      <c r="J31" s="3"/>
      <c r="K31" s="3"/>
      <c r="L31" s="35">
        <v>0.38300000000000001</v>
      </c>
      <c r="M31" s="35">
        <v>45.6</v>
      </c>
      <c r="N31" s="35">
        <v>0.48299999999999998</v>
      </c>
      <c r="O31" s="35">
        <v>36.9</v>
      </c>
      <c r="P31" s="35">
        <v>0.53500000000000003</v>
      </c>
      <c r="Q31" s="35">
        <v>17.7</v>
      </c>
      <c r="R31" s="35">
        <v>0.68600000000000005</v>
      </c>
      <c r="S31" s="35">
        <v>20.5</v>
      </c>
      <c r="T31" s="35">
        <v>0.626</v>
      </c>
      <c r="U31" s="35">
        <v>18.5</v>
      </c>
      <c r="V31" s="35">
        <v>0.21299999999999999</v>
      </c>
      <c r="W31" s="35">
        <v>3.54</v>
      </c>
      <c r="X31" s="35">
        <v>0.222</v>
      </c>
      <c r="Y31" s="35">
        <v>17.2</v>
      </c>
      <c r="Z31" s="35">
        <v>0.13800000000000001</v>
      </c>
      <c r="AA31" s="35">
        <v>7.76</v>
      </c>
      <c r="AB31" s="35">
        <v>0.14199999999999999</v>
      </c>
      <c r="AC31" s="35">
        <v>5.1100000000000003</v>
      </c>
      <c r="AD31" s="35">
        <v>0.14000000000000001</v>
      </c>
      <c r="AE31" s="35">
        <v>7.97</v>
      </c>
      <c r="AF31" s="35">
        <v>0.25600000000000001</v>
      </c>
      <c r="AG31" s="35">
        <v>4.32</v>
      </c>
      <c r="AH31" s="35">
        <v>0.52400000000000002</v>
      </c>
      <c r="AI31" s="35">
        <v>23.2</v>
      </c>
      <c r="AJ31" s="35">
        <v>0.214</v>
      </c>
      <c r="AK31" s="35">
        <v>18.7</v>
      </c>
      <c r="AL31" s="35">
        <v>0.49</v>
      </c>
      <c r="AM31" s="35">
        <v>6.96</v>
      </c>
      <c r="AN31" s="35">
        <v>0.20499999999999999</v>
      </c>
      <c r="AO31" s="35">
        <v>21.7</v>
      </c>
      <c r="AP31" s="35">
        <v>0.30099999999999999</v>
      </c>
      <c r="AQ31" s="35">
        <v>19.600000000000001</v>
      </c>
      <c r="AR31" s="35">
        <v>0.22500000000000001</v>
      </c>
      <c r="AS31" s="35">
        <v>24.3</v>
      </c>
      <c r="AT31" s="35">
        <v>0.18</v>
      </c>
      <c r="AU31" s="35">
        <v>28</v>
      </c>
      <c r="AV31" s="35">
        <v>0.19900000000000001</v>
      </c>
      <c r="AW31" s="35">
        <v>24.1</v>
      </c>
      <c r="AX31" s="35">
        <v>6.9699999999999996E-3</v>
      </c>
      <c r="AY31" s="35">
        <v>119</v>
      </c>
      <c r="AZ31" s="3"/>
      <c r="BA31" s="35">
        <v>0.245</v>
      </c>
      <c r="BB31" s="35">
        <v>41.9</v>
      </c>
      <c r="BC31" s="35">
        <v>0.36499999999999999</v>
      </c>
      <c r="BD31" s="35">
        <v>20.8</v>
      </c>
      <c r="BE31" s="35">
        <v>0.624</v>
      </c>
      <c r="BF31" s="35">
        <v>27.5</v>
      </c>
      <c r="BG31" s="35">
        <v>0.65400000000000003</v>
      </c>
      <c r="BH31" s="35">
        <v>18.8</v>
      </c>
      <c r="BI31" s="3"/>
      <c r="BJ31" s="3"/>
      <c r="BK31" s="3"/>
      <c r="BL31" s="35">
        <v>0.19</v>
      </c>
      <c r="BM31" s="35">
        <v>21</v>
      </c>
      <c r="BN31" s="35">
        <v>0.127</v>
      </c>
      <c r="BO31" s="35">
        <v>10.4</v>
      </c>
      <c r="BP31" s="35">
        <v>0.247</v>
      </c>
      <c r="BQ31" s="35">
        <v>20.6</v>
      </c>
      <c r="BR31" s="35">
        <v>0.503</v>
      </c>
      <c r="BS31" s="35">
        <v>33.1</v>
      </c>
      <c r="BT31" s="35">
        <v>0.47199999999999998</v>
      </c>
      <c r="BU31" s="35">
        <v>22.8</v>
      </c>
      <c r="BV31" s="35">
        <v>0.48299999999999998</v>
      </c>
      <c r="BW31" s="35">
        <v>6.03</v>
      </c>
      <c r="BX31" s="3"/>
      <c r="BY31" s="35">
        <v>0.33700000000000002</v>
      </c>
      <c r="BZ31" s="35">
        <v>0.16800000000000001</v>
      </c>
      <c r="CA31" s="45">
        <v>49.8</v>
      </c>
    </row>
    <row r="32" spans="1:79">
      <c r="A32" s="13" t="s">
        <v>157</v>
      </c>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16"/>
    </row>
    <row r="33" spans="1:79">
      <c r="A33" s="13" t="s">
        <v>156</v>
      </c>
      <c r="B33" s="35">
        <v>0.11600000000000001</v>
      </c>
      <c r="C33" s="35">
        <v>5.58</v>
      </c>
      <c r="D33" s="35">
        <v>0.58899999999999997</v>
      </c>
      <c r="E33" s="3"/>
      <c r="F33" s="35">
        <v>0.76700000000000002</v>
      </c>
      <c r="G33" s="3"/>
      <c r="H33" s="35">
        <v>0.67</v>
      </c>
      <c r="I33" s="3"/>
      <c r="J33" s="3"/>
      <c r="K33" s="3"/>
      <c r="L33" s="35">
        <v>0.55500000000000005</v>
      </c>
      <c r="M33" s="3"/>
      <c r="N33" s="35">
        <v>0.626</v>
      </c>
      <c r="O33" s="3"/>
      <c r="P33" s="35">
        <v>0.44900000000000001</v>
      </c>
      <c r="Q33" s="35">
        <v>7.78</v>
      </c>
      <c r="R33" s="35">
        <v>0.503</v>
      </c>
      <c r="S33" s="35">
        <v>20.399999999999999</v>
      </c>
      <c r="T33" s="35">
        <v>0.60599999999999998</v>
      </c>
      <c r="U33" s="35">
        <v>25.4</v>
      </c>
      <c r="V33" s="35">
        <v>0.371</v>
      </c>
      <c r="W33" s="35">
        <v>17</v>
      </c>
      <c r="X33" s="35">
        <v>0.34499999999999997</v>
      </c>
      <c r="Y33" s="35">
        <v>53.9</v>
      </c>
      <c r="Z33" s="35">
        <v>0.109</v>
      </c>
      <c r="AA33" s="35">
        <v>3.57</v>
      </c>
      <c r="AB33" s="35">
        <v>0.14499999999999999</v>
      </c>
      <c r="AC33" s="35">
        <v>25</v>
      </c>
      <c r="AD33" s="35">
        <v>0.11799999999999999</v>
      </c>
      <c r="AE33" s="35">
        <v>2.83</v>
      </c>
      <c r="AF33" s="35">
        <v>0.36199999999999999</v>
      </c>
      <c r="AG33" s="35">
        <v>76.3</v>
      </c>
      <c r="AH33" s="35">
        <v>0.44400000000000001</v>
      </c>
      <c r="AI33" s="35">
        <v>13.3</v>
      </c>
      <c r="AJ33" s="35">
        <v>0.56399999999999995</v>
      </c>
      <c r="AK33" s="35">
        <v>1.47</v>
      </c>
      <c r="AL33" s="35">
        <v>1.49</v>
      </c>
      <c r="AM33" s="35">
        <v>4.5599999999999996</v>
      </c>
      <c r="AN33" s="35">
        <v>0.182</v>
      </c>
      <c r="AO33" s="35">
        <v>11.3</v>
      </c>
      <c r="AP33" s="35">
        <v>0.25800000000000001</v>
      </c>
      <c r="AQ33" s="35">
        <v>40.799999999999997</v>
      </c>
      <c r="AR33" s="35">
        <v>0.28100000000000003</v>
      </c>
      <c r="AS33" s="35">
        <v>6.1</v>
      </c>
      <c r="AT33" s="35">
        <v>0.443</v>
      </c>
      <c r="AU33" s="35">
        <v>13.2</v>
      </c>
      <c r="AV33" s="35">
        <v>0.42499999999999999</v>
      </c>
      <c r="AW33" s="35">
        <v>16.2</v>
      </c>
      <c r="AX33" s="35">
        <v>0.42699999999999999</v>
      </c>
      <c r="AY33" s="35">
        <v>5.76</v>
      </c>
      <c r="AZ33" s="3"/>
      <c r="BA33" s="35">
        <v>0.251</v>
      </c>
      <c r="BB33" s="35">
        <v>11.4</v>
      </c>
      <c r="BC33" s="35">
        <v>0.127</v>
      </c>
      <c r="BD33" s="35">
        <v>10.9</v>
      </c>
      <c r="BE33" s="35">
        <v>0.29099999999999998</v>
      </c>
      <c r="BF33" s="35">
        <v>10.3</v>
      </c>
      <c r="BG33" s="35">
        <v>0.24399999999999999</v>
      </c>
      <c r="BH33" s="35">
        <v>13.6</v>
      </c>
      <c r="BI33" s="3"/>
      <c r="BJ33" s="3"/>
      <c r="BK33" s="3"/>
      <c r="BL33" s="35">
        <v>0.26300000000000001</v>
      </c>
      <c r="BM33" s="35">
        <v>43.2</v>
      </c>
      <c r="BN33" s="35">
        <v>0.126</v>
      </c>
      <c r="BO33" s="35">
        <v>4.9800000000000004</v>
      </c>
      <c r="BP33" s="35">
        <v>0.28000000000000003</v>
      </c>
      <c r="BQ33" s="35">
        <v>23.1</v>
      </c>
      <c r="BR33" s="35">
        <v>9.9299999999999999E-2</v>
      </c>
      <c r="BS33" s="35">
        <v>5.62</v>
      </c>
      <c r="BT33" s="35">
        <v>0.65500000000000003</v>
      </c>
      <c r="BU33" s="35">
        <v>0</v>
      </c>
      <c r="BV33" s="35">
        <v>0.52500000000000002</v>
      </c>
      <c r="BW33" s="35">
        <v>7.08</v>
      </c>
      <c r="BX33" s="3"/>
      <c r="BY33" s="35">
        <v>0.32500000000000001</v>
      </c>
      <c r="BZ33" s="35">
        <v>0.221</v>
      </c>
      <c r="CA33" s="45">
        <v>68.2</v>
      </c>
    </row>
    <row r="34" spans="1:79">
      <c r="A34" s="13" t="s">
        <v>159</v>
      </c>
      <c r="B34" s="36">
        <v>1.9</v>
      </c>
      <c r="C34" s="36">
        <v>17.399999999999999</v>
      </c>
      <c r="D34" s="36">
        <v>2.34</v>
      </c>
      <c r="E34" s="36">
        <v>22.3</v>
      </c>
      <c r="F34" s="36">
        <v>3.23</v>
      </c>
      <c r="G34" s="36">
        <v>2.2200000000000002</v>
      </c>
      <c r="H34" s="36">
        <v>2.56</v>
      </c>
      <c r="I34" s="36">
        <v>13.4</v>
      </c>
      <c r="J34" s="5"/>
      <c r="K34" s="5"/>
      <c r="L34" s="36">
        <v>2.82</v>
      </c>
      <c r="M34" s="36">
        <v>76.3</v>
      </c>
      <c r="N34" s="36">
        <v>2.4500000000000002</v>
      </c>
      <c r="O34" s="36">
        <v>40.700000000000003</v>
      </c>
      <c r="P34" s="36">
        <v>1.01</v>
      </c>
      <c r="Q34" s="36">
        <v>16.600000000000001</v>
      </c>
      <c r="R34" s="36">
        <v>1.31</v>
      </c>
      <c r="S34" s="36">
        <v>0.151</v>
      </c>
      <c r="T34" s="36">
        <v>1.04</v>
      </c>
      <c r="U34" s="36">
        <v>11.4</v>
      </c>
      <c r="V34" s="36">
        <v>1.7</v>
      </c>
      <c r="W34" s="36">
        <v>14</v>
      </c>
      <c r="X34" s="36">
        <v>1.69</v>
      </c>
      <c r="Y34" s="36">
        <v>4.7300000000000004</v>
      </c>
      <c r="Z34" s="36">
        <v>1.36</v>
      </c>
      <c r="AA34" s="36">
        <v>6.72</v>
      </c>
      <c r="AB34" s="36">
        <v>1.66</v>
      </c>
      <c r="AC34" s="36">
        <v>23.2</v>
      </c>
      <c r="AD34" s="36">
        <v>1.71</v>
      </c>
      <c r="AE34" s="36">
        <v>10.199999999999999</v>
      </c>
      <c r="AF34" s="36">
        <v>1.42</v>
      </c>
      <c r="AG34" s="36">
        <v>30.7</v>
      </c>
      <c r="AH34" s="36">
        <v>0.92600000000000005</v>
      </c>
      <c r="AI34" s="36">
        <v>14</v>
      </c>
      <c r="AJ34" s="36">
        <v>2.41</v>
      </c>
      <c r="AK34" s="36">
        <v>27</v>
      </c>
      <c r="AL34" s="36">
        <v>1.63</v>
      </c>
      <c r="AM34" s="36">
        <v>26.2</v>
      </c>
      <c r="AN34" s="36">
        <v>1.84</v>
      </c>
      <c r="AO34" s="36">
        <v>43.8</v>
      </c>
      <c r="AP34" s="36">
        <v>2.5</v>
      </c>
      <c r="AQ34" s="36">
        <v>19.600000000000001</v>
      </c>
      <c r="AR34" s="36">
        <v>2.86</v>
      </c>
      <c r="AS34" s="36">
        <v>22</v>
      </c>
      <c r="AT34" s="36">
        <v>2.44</v>
      </c>
      <c r="AU34" s="36">
        <v>32.1</v>
      </c>
      <c r="AV34" s="36">
        <v>2.56</v>
      </c>
      <c r="AW34" s="36">
        <v>36.1</v>
      </c>
      <c r="AX34" s="36">
        <v>2.1800000000000002</v>
      </c>
      <c r="AY34" s="36">
        <v>30.9</v>
      </c>
      <c r="AZ34" s="5"/>
      <c r="BA34" s="36">
        <v>2.54</v>
      </c>
      <c r="BB34" s="36">
        <v>23.5</v>
      </c>
      <c r="BC34" s="36">
        <v>1.34</v>
      </c>
      <c r="BD34" s="36">
        <v>27.9</v>
      </c>
      <c r="BE34" s="36">
        <v>3.39</v>
      </c>
      <c r="BF34" s="36">
        <v>12.4</v>
      </c>
      <c r="BG34" s="36">
        <v>2.63</v>
      </c>
      <c r="BH34" s="36">
        <v>12.6</v>
      </c>
      <c r="BI34" s="5"/>
      <c r="BJ34" s="5"/>
      <c r="BK34" s="5"/>
      <c r="BL34" s="36">
        <v>2.1800000000000002</v>
      </c>
      <c r="BM34" s="36">
        <v>47.1</v>
      </c>
      <c r="BN34" s="36">
        <v>1.55</v>
      </c>
      <c r="BO34" s="36">
        <v>16</v>
      </c>
      <c r="BP34" s="36">
        <v>1.42</v>
      </c>
      <c r="BQ34" s="36">
        <v>5.73</v>
      </c>
      <c r="BR34" s="36">
        <v>3.2</v>
      </c>
      <c r="BS34" s="36">
        <v>9.9700000000000006</v>
      </c>
      <c r="BT34" s="36">
        <v>3.37</v>
      </c>
      <c r="BU34" s="36">
        <v>29.8</v>
      </c>
      <c r="BV34" s="36">
        <v>1.01</v>
      </c>
      <c r="BW34" s="36">
        <v>14.5</v>
      </c>
      <c r="BX34" s="5"/>
      <c r="BY34" s="36">
        <v>2.12</v>
      </c>
      <c r="BZ34" s="36">
        <v>0.97699999999999998</v>
      </c>
      <c r="CA34" s="46">
        <v>46</v>
      </c>
    </row>
    <row r="35" spans="1:79">
      <c r="A35" s="13" t="s">
        <v>160</v>
      </c>
      <c r="B35" s="35">
        <v>0.66300000000000003</v>
      </c>
      <c r="C35" s="35">
        <v>10.7</v>
      </c>
      <c r="D35" s="35">
        <v>0.90700000000000003</v>
      </c>
      <c r="E35" s="35">
        <v>0.113</v>
      </c>
      <c r="F35" s="35">
        <v>1.08</v>
      </c>
      <c r="G35" s="35">
        <v>24.1</v>
      </c>
      <c r="H35" s="35">
        <v>0.88900000000000001</v>
      </c>
      <c r="I35" s="35">
        <v>2.56</v>
      </c>
      <c r="J35" s="3"/>
      <c r="K35" s="3"/>
      <c r="L35" s="35">
        <v>1.17</v>
      </c>
      <c r="M35" s="35">
        <v>6.75</v>
      </c>
      <c r="N35" s="35">
        <v>1.18</v>
      </c>
      <c r="O35" s="35">
        <v>18.7</v>
      </c>
      <c r="P35" s="35">
        <v>0.52</v>
      </c>
      <c r="Q35" s="35">
        <v>7.91</v>
      </c>
      <c r="R35" s="35">
        <v>0.65600000000000003</v>
      </c>
      <c r="S35" s="35">
        <v>24.9</v>
      </c>
      <c r="T35" s="35">
        <v>0.42</v>
      </c>
      <c r="U35" s="35">
        <v>4.8099999999999996</v>
      </c>
      <c r="V35" s="35">
        <v>0.83299999999999996</v>
      </c>
      <c r="W35" s="35">
        <v>28.6</v>
      </c>
      <c r="X35" s="35">
        <v>0.748</v>
      </c>
      <c r="Y35" s="35">
        <v>39</v>
      </c>
      <c r="Z35" s="35">
        <v>0.59</v>
      </c>
      <c r="AA35" s="35">
        <v>14.4</v>
      </c>
      <c r="AB35" s="35">
        <v>0.629</v>
      </c>
      <c r="AC35" s="35">
        <v>13.7</v>
      </c>
      <c r="AD35" s="35">
        <v>0.63500000000000001</v>
      </c>
      <c r="AE35" s="35">
        <v>8.44</v>
      </c>
      <c r="AF35" s="35">
        <v>0.749</v>
      </c>
      <c r="AG35" s="35">
        <v>27.7</v>
      </c>
      <c r="AH35" s="35">
        <v>0.502</v>
      </c>
      <c r="AI35" s="35">
        <v>11.4</v>
      </c>
      <c r="AJ35" s="35">
        <v>0.755</v>
      </c>
      <c r="AK35" s="35">
        <v>8.23</v>
      </c>
      <c r="AL35" s="35">
        <v>0.60499999999999998</v>
      </c>
      <c r="AM35" s="35">
        <v>17</v>
      </c>
      <c r="AN35" s="35">
        <v>0.58899999999999997</v>
      </c>
      <c r="AO35" s="35">
        <v>15</v>
      </c>
      <c r="AP35" s="35">
        <v>0.621</v>
      </c>
      <c r="AQ35" s="35">
        <v>14.6</v>
      </c>
      <c r="AR35" s="35">
        <v>0.78400000000000003</v>
      </c>
      <c r="AS35" s="35">
        <v>11.5</v>
      </c>
      <c r="AT35" s="35">
        <v>0.74399999999999999</v>
      </c>
      <c r="AU35" s="35">
        <v>9.93</v>
      </c>
      <c r="AV35" s="35">
        <v>0.81100000000000005</v>
      </c>
      <c r="AW35" s="35">
        <v>8.1300000000000008</v>
      </c>
      <c r="AX35" s="35">
        <v>0.73499999999999999</v>
      </c>
      <c r="AY35" s="35">
        <v>13</v>
      </c>
      <c r="AZ35" s="3"/>
      <c r="BA35" s="35">
        <v>0.45</v>
      </c>
      <c r="BB35" s="35">
        <v>9.1199999999999992</v>
      </c>
      <c r="BC35" s="35">
        <v>0.52700000000000002</v>
      </c>
      <c r="BD35" s="35">
        <v>1.85</v>
      </c>
      <c r="BE35" s="35">
        <v>0.61599999999999999</v>
      </c>
      <c r="BF35" s="35">
        <v>9.1</v>
      </c>
      <c r="BG35" s="35">
        <v>0.72399999999999998</v>
      </c>
      <c r="BH35" s="35">
        <v>1.38</v>
      </c>
      <c r="BI35" s="3"/>
      <c r="BJ35" s="3"/>
      <c r="BK35" s="3"/>
      <c r="BL35" s="35">
        <v>0.52200000000000002</v>
      </c>
      <c r="BM35" s="35">
        <v>10.7</v>
      </c>
      <c r="BN35" s="35">
        <v>0.624</v>
      </c>
      <c r="BO35" s="35">
        <v>16.399999999999999</v>
      </c>
      <c r="BP35" s="35">
        <v>0.65400000000000003</v>
      </c>
      <c r="BQ35" s="35">
        <v>13.1</v>
      </c>
      <c r="BR35" s="35">
        <v>0.60499999999999998</v>
      </c>
      <c r="BS35" s="35">
        <v>1.65</v>
      </c>
      <c r="BT35" s="35">
        <v>1.23</v>
      </c>
      <c r="BU35" s="35">
        <v>12.7</v>
      </c>
      <c r="BV35" s="35">
        <v>0.51700000000000002</v>
      </c>
      <c r="BW35" s="35">
        <v>40.799999999999997</v>
      </c>
      <c r="BX35" s="3"/>
      <c r="BY35" s="35">
        <v>0.69099999999999995</v>
      </c>
      <c r="BZ35" s="35">
        <v>0.26800000000000002</v>
      </c>
      <c r="CA35" s="45">
        <v>38.700000000000003</v>
      </c>
    </row>
    <row r="36" spans="1:79">
      <c r="A36" s="13" t="s">
        <v>161</v>
      </c>
      <c r="B36" s="36">
        <v>2.61</v>
      </c>
      <c r="C36" s="36">
        <v>18.399999999999999</v>
      </c>
      <c r="D36" s="36">
        <v>4.18</v>
      </c>
      <c r="E36" s="36">
        <v>0.245</v>
      </c>
      <c r="F36" s="36">
        <v>3.44</v>
      </c>
      <c r="G36" s="36">
        <v>2.08</v>
      </c>
      <c r="H36" s="36">
        <v>3.49</v>
      </c>
      <c r="I36" s="36">
        <v>14.3</v>
      </c>
      <c r="J36" s="5"/>
      <c r="K36" s="5"/>
      <c r="L36" s="36">
        <v>3.65</v>
      </c>
      <c r="M36" s="36">
        <v>19.7</v>
      </c>
      <c r="N36" s="36">
        <v>3.48</v>
      </c>
      <c r="O36" s="36">
        <v>25</v>
      </c>
      <c r="P36" s="36">
        <v>1.68</v>
      </c>
      <c r="Q36" s="36">
        <v>9.57</v>
      </c>
      <c r="R36" s="36">
        <v>2.16</v>
      </c>
      <c r="S36" s="36">
        <v>9.1199999999999992</v>
      </c>
      <c r="T36" s="36">
        <v>2.52</v>
      </c>
      <c r="U36" s="36">
        <v>20.6</v>
      </c>
      <c r="V36" s="36">
        <v>1.44</v>
      </c>
      <c r="W36" s="36">
        <v>6.38</v>
      </c>
      <c r="X36" s="36">
        <v>2.98</v>
      </c>
      <c r="Y36" s="36">
        <v>22.9</v>
      </c>
      <c r="Z36" s="36">
        <v>2.2400000000000002</v>
      </c>
      <c r="AA36" s="36">
        <v>11.7</v>
      </c>
      <c r="AB36" s="36">
        <v>2.34</v>
      </c>
      <c r="AC36" s="36">
        <v>19</v>
      </c>
      <c r="AD36" s="36">
        <v>2.12</v>
      </c>
      <c r="AE36" s="36">
        <v>23.4</v>
      </c>
      <c r="AF36" s="36">
        <v>2.4900000000000002</v>
      </c>
      <c r="AG36" s="36">
        <v>10.7</v>
      </c>
      <c r="AH36" s="36">
        <v>3.17</v>
      </c>
      <c r="AI36" s="36">
        <v>6.68</v>
      </c>
      <c r="AJ36" s="36">
        <v>3.1</v>
      </c>
      <c r="AK36" s="36">
        <v>9.24</v>
      </c>
      <c r="AL36" s="36">
        <v>2.44</v>
      </c>
      <c r="AM36" s="36">
        <v>22.7</v>
      </c>
      <c r="AN36" s="36">
        <v>2.99</v>
      </c>
      <c r="AO36" s="36">
        <v>20.8</v>
      </c>
      <c r="AP36" s="36">
        <v>3.42</v>
      </c>
      <c r="AQ36" s="36">
        <v>8.8699999999999992</v>
      </c>
      <c r="AR36" s="36">
        <v>3.34</v>
      </c>
      <c r="AS36" s="36">
        <v>18.2</v>
      </c>
      <c r="AT36" s="36">
        <v>3.06</v>
      </c>
      <c r="AU36" s="36">
        <v>4.93</v>
      </c>
      <c r="AV36" s="36">
        <v>3.81</v>
      </c>
      <c r="AW36" s="36">
        <v>12</v>
      </c>
      <c r="AX36" s="36">
        <v>3.71</v>
      </c>
      <c r="AY36" s="36">
        <v>6.32</v>
      </c>
      <c r="AZ36" s="5"/>
      <c r="BA36" s="36">
        <v>2.4900000000000002</v>
      </c>
      <c r="BB36" s="36">
        <v>39.5</v>
      </c>
      <c r="BC36" s="36">
        <v>2.84</v>
      </c>
      <c r="BD36" s="36">
        <v>34.700000000000003</v>
      </c>
      <c r="BE36" s="36">
        <v>2.21</v>
      </c>
      <c r="BF36" s="36">
        <v>15.6</v>
      </c>
      <c r="BG36" s="36">
        <v>2.67</v>
      </c>
      <c r="BH36" s="36">
        <v>6.56</v>
      </c>
      <c r="BI36" s="5"/>
      <c r="BJ36" s="5"/>
      <c r="BK36" s="5"/>
      <c r="BL36" s="36">
        <v>2.11</v>
      </c>
      <c r="BM36" s="36">
        <v>12.9</v>
      </c>
      <c r="BN36" s="36">
        <v>2.57</v>
      </c>
      <c r="BO36" s="36">
        <v>7.95</v>
      </c>
      <c r="BP36" s="36">
        <v>2.36</v>
      </c>
      <c r="BQ36" s="36">
        <v>16.8</v>
      </c>
      <c r="BR36" s="36">
        <v>2.82</v>
      </c>
      <c r="BS36" s="36">
        <v>2.4900000000000002</v>
      </c>
      <c r="BT36" s="36">
        <v>5.13</v>
      </c>
      <c r="BU36" s="36">
        <v>2.15</v>
      </c>
      <c r="BV36" s="36">
        <v>2.87</v>
      </c>
      <c r="BW36" s="36">
        <v>32.9</v>
      </c>
      <c r="BX36" s="5"/>
      <c r="BY36" s="36">
        <v>2.98</v>
      </c>
      <c r="BZ36" s="36">
        <v>1.0900000000000001</v>
      </c>
      <c r="CA36" s="46">
        <v>36.700000000000003</v>
      </c>
    </row>
    <row r="37" spans="1:79">
      <c r="A37" s="13" t="s">
        <v>162</v>
      </c>
      <c r="B37" s="35">
        <v>1.18</v>
      </c>
      <c r="C37" s="35">
        <v>2.0099999999999998</v>
      </c>
      <c r="D37" s="35">
        <v>1.93</v>
      </c>
      <c r="E37" s="35">
        <v>51.2</v>
      </c>
      <c r="F37" s="35">
        <v>0.99</v>
      </c>
      <c r="G37" s="35">
        <v>75.5</v>
      </c>
      <c r="H37" s="35">
        <v>0.35899999999999999</v>
      </c>
      <c r="I37" s="35">
        <v>49.8</v>
      </c>
      <c r="J37" s="3"/>
      <c r="K37" s="3"/>
      <c r="L37" s="35">
        <v>0.85199999999999998</v>
      </c>
      <c r="M37" s="35">
        <v>48.2</v>
      </c>
      <c r="N37" s="35">
        <v>1.64</v>
      </c>
      <c r="O37" s="35">
        <v>27.5</v>
      </c>
      <c r="P37" s="35">
        <v>2.1800000000000002</v>
      </c>
      <c r="Q37" s="35">
        <v>47.1</v>
      </c>
      <c r="R37" s="35">
        <v>2.84</v>
      </c>
      <c r="S37" s="35">
        <v>3.82</v>
      </c>
      <c r="T37" s="35">
        <v>9.8199999999999996E-2</v>
      </c>
      <c r="U37" s="3"/>
      <c r="V37" s="35">
        <v>0.495</v>
      </c>
      <c r="W37" s="35">
        <v>15.2</v>
      </c>
      <c r="X37" s="35">
        <v>0.55900000000000005</v>
      </c>
      <c r="Y37" s="35">
        <v>21.9</v>
      </c>
      <c r="Z37" s="35">
        <v>0.75900000000000001</v>
      </c>
      <c r="AA37" s="35">
        <v>1.24</v>
      </c>
      <c r="AB37" s="35">
        <v>0.74299999999999999</v>
      </c>
      <c r="AC37" s="35">
        <v>16.100000000000001</v>
      </c>
      <c r="AD37" s="35">
        <v>0.74099999999999999</v>
      </c>
      <c r="AE37" s="35">
        <v>3.62</v>
      </c>
      <c r="AF37" s="35">
        <v>0.70299999999999996</v>
      </c>
      <c r="AG37" s="35">
        <v>10.8</v>
      </c>
      <c r="AH37" s="35">
        <v>2</v>
      </c>
      <c r="AI37" s="35">
        <v>15.2</v>
      </c>
      <c r="AJ37" s="35">
        <v>0.67600000000000005</v>
      </c>
      <c r="AK37" s="35">
        <v>32.6</v>
      </c>
      <c r="AL37" s="35">
        <v>1</v>
      </c>
      <c r="AM37" s="35">
        <v>26.5</v>
      </c>
      <c r="AN37" s="35">
        <v>0.92800000000000005</v>
      </c>
      <c r="AO37" s="35">
        <v>13.5</v>
      </c>
      <c r="AP37" s="35">
        <v>1.1200000000000001</v>
      </c>
      <c r="AQ37" s="35">
        <v>23</v>
      </c>
      <c r="AR37" s="35">
        <v>1.17</v>
      </c>
      <c r="AS37" s="35">
        <v>17.399999999999999</v>
      </c>
      <c r="AT37" s="35">
        <v>0.68</v>
      </c>
      <c r="AU37" s="35">
        <v>37.6</v>
      </c>
      <c r="AV37" s="35">
        <v>0.80200000000000005</v>
      </c>
      <c r="AW37" s="35">
        <v>7.17</v>
      </c>
      <c r="AX37" s="35">
        <v>0.65800000000000003</v>
      </c>
      <c r="AY37" s="35">
        <v>35.299999999999997</v>
      </c>
      <c r="AZ37" s="3"/>
      <c r="BA37" s="35">
        <v>0.52600000000000002</v>
      </c>
      <c r="BB37" s="35">
        <v>38.5</v>
      </c>
      <c r="BC37" s="35">
        <v>0.40699999999999997</v>
      </c>
      <c r="BD37" s="35">
        <v>49.8</v>
      </c>
      <c r="BE37" s="35">
        <v>0.21099999999999999</v>
      </c>
      <c r="BF37" s="35">
        <v>7.42</v>
      </c>
      <c r="BG37" s="35">
        <v>6.8199999999999997E-2</v>
      </c>
      <c r="BH37" s="35">
        <v>18.100000000000001</v>
      </c>
      <c r="BI37" s="3"/>
      <c r="BJ37" s="3"/>
      <c r="BK37" s="3"/>
      <c r="BL37" s="35">
        <v>0.92900000000000005</v>
      </c>
      <c r="BM37" s="35">
        <v>7.32</v>
      </c>
      <c r="BN37" s="35">
        <v>1.1299999999999999</v>
      </c>
      <c r="BO37" s="35">
        <v>14.5</v>
      </c>
      <c r="BP37" s="35">
        <v>0.69399999999999995</v>
      </c>
      <c r="BQ37" s="35">
        <v>7.33</v>
      </c>
      <c r="BR37" s="35">
        <v>0.48</v>
      </c>
      <c r="BS37" s="35">
        <v>30.7</v>
      </c>
      <c r="BT37" s="35">
        <v>1.57</v>
      </c>
      <c r="BU37" s="35">
        <v>19.100000000000001</v>
      </c>
      <c r="BV37" s="35">
        <v>2.85</v>
      </c>
      <c r="BW37" s="35">
        <v>32.4</v>
      </c>
      <c r="BX37" s="3"/>
      <c r="BY37" s="35">
        <v>1.28</v>
      </c>
      <c r="BZ37" s="35">
        <v>0.85899999999999999</v>
      </c>
      <c r="CA37" s="45">
        <v>67.400000000000006</v>
      </c>
    </row>
    <row r="38" spans="1:79">
      <c r="A38" s="13" t="s">
        <v>163</v>
      </c>
      <c r="B38" s="36">
        <v>0.47399999999999998</v>
      </c>
      <c r="C38" s="36">
        <v>3.99</v>
      </c>
      <c r="D38" s="36">
        <v>0.77500000000000002</v>
      </c>
      <c r="E38" s="36">
        <v>16.600000000000001</v>
      </c>
      <c r="F38" s="36">
        <v>1.41</v>
      </c>
      <c r="G38" s="36">
        <v>38.4</v>
      </c>
      <c r="H38" s="36">
        <v>1.7</v>
      </c>
      <c r="I38" s="36">
        <v>25.7</v>
      </c>
      <c r="J38" s="5"/>
      <c r="K38" s="5"/>
      <c r="L38" s="36">
        <v>1.48</v>
      </c>
      <c r="M38" s="36">
        <v>4.82</v>
      </c>
      <c r="N38" s="36">
        <v>0.89900000000000002</v>
      </c>
      <c r="O38" s="36">
        <v>29.7</v>
      </c>
      <c r="P38" s="36">
        <v>0.66300000000000003</v>
      </c>
      <c r="Q38" s="36">
        <v>6.21</v>
      </c>
      <c r="R38" s="36">
        <v>0.95799999999999996</v>
      </c>
      <c r="S38" s="36">
        <v>2.57</v>
      </c>
      <c r="T38" s="36">
        <v>0.91400000000000003</v>
      </c>
      <c r="U38" s="36">
        <v>1.48</v>
      </c>
      <c r="V38" s="36">
        <v>0.69099999999999995</v>
      </c>
      <c r="W38" s="36">
        <v>13.6</v>
      </c>
      <c r="X38" s="36">
        <v>0.79900000000000004</v>
      </c>
      <c r="Y38" s="36">
        <v>14</v>
      </c>
      <c r="Z38" s="36">
        <v>0.36599999999999999</v>
      </c>
      <c r="AA38" s="36">
        <v>32.200000000000003</v>
      </c>
      <c r="AB38" s="36">
        <v>0.30199999999999999</v>
      </c>
      <c r="AC38" s="36">
        <v>44.2</v>
      </c>
      <c r="AD38" s="36">
        <v>0.34799999999999998</v>
      </c>
      <c r="AE38" s="36">
        <v>20.8</v>
      </c>
      <c r="AF38" s="36">
        <v>0.90500000000000003</v>
      </c>
      <c r="AG38" s="36">
        <v>2.2999999999999998</v>
      </c>
      <c r="AH38" s="36">
        <v>0.64600000000000002</v>
      </c>
      <c r="AI38" s="36">
        <v>13.1</v>
      </c>
      <c r="AJ38" s="36">
        <v>0.85599999999999998</v>
      </c>
      <c r="AK38" s="36">
        <v>2.77</v>
      </c>
      <c r="AL38" s="36">
        <v>1.01</v>
      </c>
      <c r="AM38" s="36">
        <v>11.6</v>
      </c>
      <c r="AN38" s="36">
        <v>0.58199999999999996</v>
      </c>
      <c r="AO38" s="36">
        <v>7.49</v>
      </c>
      <c r="AP38" s="36">
        <v>0.61899999999999999</v>
      </c>
      <c r="AQ38" s="36">
        <v>11.6</v>
      </c>
      <c r="AR38" s="36">
        <v>0.71499999999999997</v>
      </c>
      <c r="AS38" s="36">
        <v>1.8</v>
      </c>
      <c r="AT38" s="36">
        <v>0.63300000000000001</v>
      </c>
      <c r="AU38" s="36">
        <v>5.67</v>
      </c>
      <c r="AV38" s="36">
        <v>0.72799999999999998</v>
      </c>
      <c r="AW38" s="36">
        <v>8.65</v>
      </c>
      <c r="AX38" s="36">
        <v>0.72099999999999997</v>
      </c>
      <c r="AY38" s="36">
        <v>1.9</v>
      </c>
      <c r="AZ38" s="5"/>
      <c r="BA38" s="36">
        <v>0.39600000000000002</v>
      </c>
      <c r="BB38" s="36">
        <v>13.5</v>
      </c>
      <c r="BC38" s="36">
        <v>0.316</v>
      </c>
      <c r="BD38" s="36">
        <v>6.25</v>
      </c>
      <c r="BE38" s="36">
        <v>0.51800000000000002</v>
      </c>
      <c r="BF38" s="36">
        <v>9.5399999999999991</v>
      </c>
      <c r="BG38" s="36">
        <v>1.62</v>
      </c>
      <c r="BH38" s="36">
        <v>10.8</v>
      </c>
      <c r="BI38" s="5"/>
      <c r="BJ38" s="5"/>
      <c r="BK38" s="5"/>
      <c r="BL38" s="36">
        <v>0.504</v>
      </c>
      <c r="BM38" s="36">
        <v>6.02</v>
      </c>
      <c r="BN38" s="36">
        <v>0.51</v>
      </c>
      <c r="BO38" s="36">
        <v>8.33</v>
      </c>
      <c r="BP38" s="36">
        <v>0.38300000000000001</v>
      </c>
      <c r="BQ38" s="36">
        <v>28.3</v>
      </c>
      <c r="BR38" s="36">
        <v>0.40799999999999997</v>
      </c>
      <c r="BS38" s="36">
        <v>5.15</v>
      </c>
      <c r="BT38" s="36">
        <v>1.02</v>
      </c>
      <c r="BU38" s="36">
        <v>11.8</v>
      </c>
      <c r="BV38" s="36">
        <v>0.439</v>
      </c>
      <c r="BW38" s="36">
        <v>17.600000000000001</v>
      </c>
      <c r="BX38" s="5"/>
      <c r="BY38" s="36">
        <v>0.54400000000000004</v>
      </c>
      <c r="BZ38" s="36">
        <v>0.23799999999999999</v>
      </c>
      <c r="CA38" s="46">
        <v>43.8</v>
      </c>
    </row>
    <row r="39" spans="1:79">
      <c r="A39" s="13" t="s">
        <v>165</v>
      </c>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14"/>
    </row>
    <row r="40" spans="1:79">
      <c r="A40" s="13" t="s">
        <v>166</v>
      </c>
      <c r="B40" s="36">
        <v>2.17</v>
      </c>
      <c r="C40" s="36">
        <v>3</v>
      </c>
      <c r="D40" s="36">
        <v>1.95</v>
      </c>
      <c r="E40" s="36">
        <v>13.1</v>
      </c>
      <c r="F40" s="36">
        <v>1.05</v>
      </c>
      <c r="G40" s="36">
        <v>10.5</v>
      </c>
      <c r="H40" s="36">
        <v>1.19</v>
      </c>
      <c r="I40" s="36">
        <v>74.3</v>
      </c>
      <c r="J40" s="5"/>
      <c r="K40" s="5"/>
      <c r="L40" s="36">
        <v>1.05</v>
      </c>
      <c r="M40" s="36">
        <v>23.3</v>
      </c>
      <c r="N40" s="36">
        <v>1.35</v>
      </c>
      <c r="O40" s="36">
        <v>57.2</v>
      </c>
      <c r="P40" s="36">
        <v>1.88</v>
      </c>
      <c r="Q40" s="36">
        <v>10</v>
      </c>
      <c r="R40" s="36">
        <v>1.97</v>
      </c>
      <c r="S40" s="36">
        <v>14.5</v>
      </c>
      <c r="T40" s="36">
        <v>2.19</v>
      </c>
      <c r="U40" s="36">
        <v>7.49</v>
      </c>
      <c r="V40" s="36">
        <v>2.42</v>
      </c>
      <c r="W40" s="36">
        <v>21</v>
      </c>
      <c r="X40" s="36">
        <v>2.85</v>
      </c>
      <c r="Y40" s="36">
        <v>35.9</v>
      </c>
      <c r="Z40" s="36">
        <v>1.96</v>
      </c>
      <c r="AA40" s="36">
        <v>14.7</v>
      </c>
      <c r="AB40" s="36">
        <v>1.96</v>
      </c>
      <c r="AC40" s="36">
        <v>5.56</v>
      </c>
      <c r="AD40" s="36">
        <v>1.69</v>
      </c>
      <c r="AE40" s="36">
        <v>2.97</v>
      </c>
      <c r="AF40" s="36">
        <v>3.39</v>
      </c>
      <c r="AG40" s="36">
        <v>22.8</v>
      </c>
      <c r="AH40" s="36">
        <v>3.19</v>
      </c>
      <c r="AI40" s="36">
        <v>6.35</v>
      </c>
      <c r="AJ40" s="36">
        <v>2.62</v>
      </c>
      <c r="AK40" s="36">
        <v>22.4</v>
      </c>
      <c r="AL40" s="36">
        <v>3.44</v>
      </c>
      <c r="AM40" s="36">
        <v>10.1</v>
      </c>
      <c r="AN40" s="36">
        <v>2.75</v>
      </c>
      <c r="AO40" s="36">
        <v>12.9</v>
      </c>
      <c r="AP40" s="36">
        <v>3.48</v>
      </c>
      <c r="AQ40" s="36">
        <v>24.5</v>
      </c>
      <c r="AR40" s="36">
        <v>3.68</v>
      </c>
      <c r="AS40" s="36">
        <v>0.58199999999999996</v>
      </c>
      <c r="AT40" s="36">
        <v>2.72</v>
      </c>
      <c r="AU40" s="36">
        <v>8.67</v>
      </c>
      <c r="AV40" s="36">
        <v>3.61</v>
      </c>
      <c r="AW40" s="36">
        <v>8.9700000000000006</v>
      </c>
      <c r="AX40" s="36">
        <v>3.23</v>
      </c>
      <c r="AY40" s="36">
        <v>25.4</v>
      </c>
      <c r="AZ40" s="5"/>
      <c r="BA40" s="36">
        <v>2.82</v>
      </c>
      <c r="BB40" s="36">
        <v>25.8</v>
      </c>
      <c r="BC40" s="36">
        <v>2.11</v>
      </c>
      <c r="BD40" s="36">
        <v>23.1</v>
      </c>
      <c r="BE40" s="36">
        <v>1.8</v>
      </c>
      <c r="BF40" s="36">
        <v>15.9</v>
      </c>
      <c r="BG40" s="36">
        <v>1.1599999999999999</v>
      </c>
      <c r="BH40" s="36">
        <v>30</v>
      </c>
      <c r="BI40" s="5"/>
      <c r="BJ40" s="5"/>
      <c r="BK40" s="5"/>
      <c r="BL40" s="36">
        <v>2.29</v>
      </c>
      <c r="BM40" s="36">
        <v>21.2</v>
      </c>
      <c r="BN40" s="36">
        <v>2.09</v>
      </c>
      <c r="BO40" s="36">
        <v>12.6</v>
      </c>
      <c r="BP40" s="36">
        <v>3.22</v>
      </c>
      <c r="BQ40" s="36">
        <v>4.88</v>
      </c>
      <c r="BR40" s="36">
        <v>3.57</v>
      </c>
      <c r="BS40" s="36">
        <v>14.9</v>
      </c>
      <c r="BT40" s="36">
        <v>1.71</v>
      </c>
      <c r="BU40" s="36">
        <v>37</v>
      </c>
      <c r="BV40" s="36">
        <v>2.35</v>
      </c>
      <c r="BW40" s="36">
        <v>13.2</v>
      </c>
      <c r="BX40" s="5"/>
      <c r="BY40" s="36">
        <v>2.54</v>
      </c>
      <c r="BZ40" s="36">
        <v>0.70699999999999996</v>
      </c>
      <c r="CA40" s="46">
        <v>27.9</v>
      </c>
    </row>
    <row r="41" spans="1:79">
      <c r="A41" s="13" t="s">
        <v>167</v>
      </c>
      <c r="B41" s="3"/>
      <c r="C41" s="3"/>
      <c r="D41" s="3"/>
      <c r="E41" s="3"/>
      <c r="F41" s="3"/>
      <c r="G41" s="3"/>
      <c r="H41" s="3"/>
      <c r="I41" s="3"/>
      <c r="J41" s="3"/>
      <c r="K41" s="3"/>
      <c r="L41" s="3"/>
      <c r="M41" s="3"/>
      <c r="N41" s="3"/>
      <c r="O41" s="3"/>
      <c r="P41" s="3"/>
      <c r="Q41" s="3"/>
      <c r="R41" s="3"/>
      <c r="S41" s="3"/>
      <c r="T41" s="3"/>
      <c r="U41" s="3"/>
      <c r="V41" s="35">
        <v>0.14299999999999999</v>
      </c>
      <c r="W41" s="35">
        <v>82.1</v>
      </c>
      <c r="X41" s="35">
        <v>0.11</v>
      </c>
      <c r="Y41" s="35">
        <v>34.5</v>
      </c>
      <c r="Z41" s="3"/>
      <c r="AA41" s="3"/>
      <c r="AB41" s="3"/>
      <c r="AC41" s="3"/>
      <c r="AD41" s="3"/>
      <c r="AE41" s="3"/>
      <c r="AF41" s="35">
        <v>0.16300000000000001</v>
      </c>
      <c r="AG41" s="35">
        <v>16.3</v>
      </c>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5">
        <v>0.105</v>
      </c>
      <c r="BQ41" s="35">
        <v>23.8</v>
      </c>
      <c r="BR41" s="3"/>
      <c r="BS41" s="3"/>
      <c r="BT41" s="3"/>
      <c r="BU41" s="3"/>
      <c r="BV41" s="3"/>
      <c r="BW41" s="3"/>
      <c r="BX41" s="3"/>
      <c r="BY41" s="35">
        <v>0.105</v>
      </c>
      <c r="BZ41" s="3"/>
      <c r="CA41" s="14"/>
    </row>
    <row r="42" spans="1:79">
      <c r="A42" s="13" t="s">
        <v>168</v>
      </c>
      <c r="B42" s="36">
        <v>0.86499999999999999</v>
      </c>
      <c r="C42" s="36">
        <v>14.2</v>
      </c>
      <c r="D42" s="36">
        <v>1.1200000000000001</v>
      </c>
      <c r="E42" s="36">
        <v>11.4</v>
      </c>
      <c r="F42" s="36">
        <v>0.62</v>
      </c>
      <c r="G42" s="36">
        <v>12.1</v>
      </c>
      <c r="H42" s="36">
        <v>0.46500000000000002</v>
      </c>
      <c r="I42" s="36">
        <v>3.02</v>
      </c>
      <c r="J42" s="5"/>
      <c r="K42" s="5"/>
      <c r="L42" s="36">
        <v>0.51800000000000002</v>
      </c>
      <c r="M42" s="36">
        <v>21.3</v>
      </c>
      <c r="N42" s="36">
        <v>0.68600000000000005</v>
      </c>
      <c r="O42" s="36">
        <v>27.8</v>
      </c>
      <c r="P42" s="36">
        <v>0.67800000000000005</v>
      </c>
      <c r="Q42" s="36">
        <v>16.2</v>
      </c>
      <c r="R42" s="36">
        <v>0.502</v>
      </c>
      <c r="S42" s="36">
        <v>9.61</v>
      </c>
      <c r="T42" s="36">
        <v>0.79100000000000004</v>
      </c>
      <c r="U42" s="36">
        <v>13.1</v>
      </c>
      <c r="V42" s="36">
        <v>1.38</v>
      </c>
      <c r="W42" s="36">
        <v>43</v>
      </c>
      <c r="X42" s="36">
        <v>2.2000000000000002</v>
      </c>
      <c r="Y42" s="36">
        <v>25.2</v>
      </c>
      <c r="Z42" s="36">
        <v>0.79800000000000004</v>
      </c>
      <c r="AA42" s="36">
        <v>11.8</v>
      </c>
      <c r="AB42" s="36">
        <v>0.83299999999999996</v>
      </c>
      <c r="AC42" s="36">
        <v>5.92</v>
      </c>
      <c r="AD42" s="36">
        <v>0.83099999999999996</v>
      </c>
      <c r="AE42" s="36">
        <v>7.87</v>
      </c>
      <c r="AF42" s="36">
        <v>1.61</v>
      </c>
      <c r="AG42" s="36">
        <v>7.66</v>
      </c>
      <c r="AH42" s="36">
        <v>0.629</v>
      </c>
      <c r="AI42" s="36">
        <v>26.4</v>
      </c>
      <c r="AJ42" s="36">
        <v>0.41699999999999998</v>
      </c>
      <c r="AK42" s="36">
        <v>22.6</v>
      </c>
      <c r="AL42" s="36">
        <v>0.86299999999999999</v>
      </c>
      <c r="AM42" s="36">
        <v>1.4</v>
      </c>
      <c r="AN42" s="36">
        <v>0.72399999999999998</v>
      </c>
      <c r="AO42" s="36">
        <v>14.9</v>
      </c>
      <c r="AP42" s="36">
        <v>1.05</v>
      </c>
      <c r="AQ42" s="36">
        <v>23.3</v>
      </c>
      <c r="AR42" s="36">
        <v>0.73199999999999998</v>
      </c>
      <c r="AS42" s="36">
        <v>21.5</v>
      </c>
      <c r="AT42" s="36">
        <v>0.25600000000000001</v>
      </c>
      <c r="AU42" s="36">
        <v>2.93</v>
      </c>
      <c r="AV42" s="36">
        <v>0.36199999999999999</v>
      </c>
      <c r="AW42" s="36">
        <v>11.2</v>
      </c>
      <c r="AX42" s="36">
        <v>0.318</v>
      </c>
      <c r="AY42" s="36">
        <v>19.600000000000001</v>
      </c>
      <c r="AZ42" s="5"/>
      <c r="BA42" s="36">
        <v>0.85099999999999998</v>
      </c>
      <c r="BB42" s="36">
        <v>18.3</v>
      </c>
      <c r="BC42" s="36">
        <v>0.73399999999999999</v>
      </c>
      <c r="BD42" s="36">
        <v>16.7</v>
      </c>
      <c r="BE42" s="36">
        <v>0.50700000000000001</v>
      </c>
      <c r="BF42" s="36">
        <v>17</v>
      </c>
      <c r="BG42" s="36">
        <v>0.56999999999999995</v>
      </c>
      <c r="BH42" s="36">
        <v>18.2</v>
      </c>
      <c r="BI42" s="5"/>
      <c r="BJ42" s="5"/>
      <c r="BK42" s="5"/>
      <c r="BL42" s="36">
        <v>0.82199999999999995</v>
      </c>
      <c r="BM42" s="36">
        <v>2.5499999999999998</v>
      </c>
      <c r="BN42" s="36">
        <v>0.92400000000000004</v>
      </c>
      <c r="BO42" s="36">
        <v>20.2</v>
      </c>
      <c r="BP42" s="36">
        <v>1.57</v>
      </c>
      <c r="BQ42" s="36">
        <v>15.2</v>
      </c>
      <c r="BR42" s="36">
        <v>0.98499999999999999</v>
      </c>
      <c r="BS42" s="36">
        <v>9.5</v>
      </c>
      <c r="BT42" s="36">
        <v>0.874</v>
      </c>
      <c r="BU42" s="36">
        <v>9.31</v>
      </c>
      <c r="BV42" s="36">
        <v>0.625</v>
      </c>
      <c r="BW42" s="36">
        <v>32.299999999999997</v>
      </c>
      <c r="BX42" s="5"/>
      <c r="BY42" s="36">
        <v>0.96699999999999997</v>
      </c>
      <c r="BZ42" s="36">
        <v>0.32</v>
      </c>
      <c r="CA42" s="46">
        <v>33.1</v>
      </c>
    </row>
    <row r="43" spans="1:79">
      <c r="A43" s="13" t="s">
        <v>169</v>
      </c>
      <c r="B43" s="35">
        <v>3.74</v>
      </c>
      <c r="C43" s="35">
        <v>16.399999999999999</v>
      </c>
      <c r="D43" s="35">
        <v>7.46</v>
      </c>
      <c r="E43" s="35">
        <v>22</v>
      </c>
      <c r="F43" s="35">
        <v>3.99</v>
      </c>
      <c r="G43" s="35">
        <v>32.1</v>
      </c>
      <c r="H43" s="35">
        <v>8.32</v>
      </c>
      <c r="I43" s="35">
        <v>31.8</v>
      </c>
      <c r="J43" s="3"/>
      <c r="K43" s="3"/>
      <c r="L43" s="35">
        <v>4.88</v>
      </c>
      <c r="M43" s="35">
        <v>38.5</v>
      </c>
      <c r="N43" s="35">
        <v>4.95</v>
      </c>
      <c r="O43" s="35">
        <v>58.3</v>
      </c>
      <c r="P43" s="35">
        <v>3.5</v>
      </c>
      <c r="Q43" s="35">
        <v>30.4</v>
      </c>
      <c r="R43" s="35">
        <v>3.83</v>
      </c>
      <c r="S43" s="35">
        <v>8.23</v>
      </c>
      <c r="T43" s="35">
        <v>4.03</v>
      </c>
      <c r="U43" s="35">
        <v>3.34</v>
      </c>
      <c r="V43" s="35">
        <v>3.09</v>
      </c>
      <c r="W43" s="35">
        <v>30.3</v>
      </c>
      <c r="X43" s="35">
        <v>3.38</v>
      </c>
      <c r="Y43" s="35">
        <v>27.1</v>
      </c>
      <c r="Z43" s="35">
        <v>3.46</v>
      </c>
      <c r="AA43" s="35">
        <v>11.4</v>
      </c>
      <c r="AB43" s="35">
        <v>3.52</v>
      </c>
      <c r="AC43" s="35">
        <v>16.7</v>
      </c>
      <c r="AD43" s="35">
        <v>3.5</v>
      </c>
      <c r="AE43" s="35">
        <v>10.6</v>
      </c>
      <c r="AF43" s="35">
        <v>3.09</v>
      </c>
      <c r="AG43" s="35">
        <v>34.9</v>
      </c>
      <c r="AH43" s="35">
        <v>3.71</v>
      </c>
      <c r="AI43" s="35">
        <v>2.98</v>
      </c>
      <c r="AJ43" s="35">
        <v>4.24</v>
      </c>
      <c r="AK43" s="35">
        <v>14.9</v>
      </c>
      <c r="AL43" s="35">
        <v>3.41</v>
      </c>
      <c r="AM43" s="35">
        <v>3.75</v>
      </c>
      <c r="AN43" s="35">
        <v>3.74</v>
      </c>
      <c r="AO43" s="35">
        <v>6.99</v>
      </c>
      <c r="AP43" s="35">
        <v>4.33</v>
      </c>
      <c r="AQ43" s="35">
        <v>13.2</v>
      </c>
      <c r="AR43" s="35">
        <v>4</v>
      </c>
      <c r="AS43" s="35">
        <v>13.7</v>
      </c>
      <c r="AT43" s="35">
        <v>4.49</v>
      </c>
      <c r="AU43" s="35">
        <v>15.7</v>
      </c>
      <c r="AV43" s="35">
        <v>5.25</v>
      </c>
      <c r="AW43" s="35">
        <v>15.9</v>
      </c>
      <c r="AX43" s="35">
        <v>4.78</v>
      </c>
      <c r="AY43" s="35">
        <v>14.3</v>
      </c>
      <c r="AZ43" s="3"/>
      <c r="BA43" s="35">
        <v>2.36</v>
      </c>
      <c r="BB43" s="35">
        <v>11.1</v>
      </c>
      <c r="BC43" s="35">
        <v>2.67</v>
      </c>
      <c r="BD43" s="35">
        <v>8.66</v>
      </c>
      <c r="BE43" s="35">
        <v>2.12</v>
      </c>
      <c r="BF43" s="35">
        <v>7.39</v>
      </c>
      <c r="BG43" s="35">
        <v>3.11</v>
      </c>
      <c r="BH43" s="35">
        <v>7.78</v>
      </c>
      <c r="BI43" s="3"/>
      <c r="BJ43" s="3"/>
      <c r="BK43" s="3"/>
      <c r="BL43" s="35">
        <v>2.83</v>
      </c>
      <c r="BM43" s="35">
        <v>11.3</v>
      </c>
      <c r="BN43" s="35">
        <v>3.31</v>
      </c>
      <c r="BO43" s="35">
        <v>14</v>
      </c>
      <c r="BP43" s="35">
        <v>3.38</v>
      </c>
      <c r="BQ43" s="35">
        <v>8.9700000000000006</v>
      </c>
      <c r="BR43" s="35">
        <v>3.21</v>
      </c>
      <c r="BS43" s="35">
        <v>20.399999999999999</v>
      </c>
      <c r="BT43" s="35">
        <v>5.47</v>
      </c>
      <c r="BU43" s="35">
        <v>31.7</v>
      </c>
      <c r="BV43" s="35">
        <v>4.08</v>
      </c>
      <c r="BW43" s="35">
        <v>10.8</v>
      </c>
      <c r="BX43" s="3"/>
      <c r="BY43" s="35">
        <v>3.71</v>
      </c>
      <c r="BZ43" s="35">
        <v>0.95199999999999996</v>
      </c>
      <c r="CA43" s="45">
        <v>25.6</v>
      </c>
    </row>
    <row r="44" spans="1:79">
      <c r="A44" s="13" t="s">
        <v>170</v>
      </c>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36">
        <v>0.41</v>
      </c>
      <c r="BB44" s="5"/>
      <c r="BC44" s="36">
        <v>0.48699999999999999</v>
      </c>
      <c r="BD44" s="5"/>
      <c r="BE44" s="36">
        <v>0.69599999999999995</v>
      </c>
      <c r="BF44" s="5"/>
      <c r="BG44" s="36">
        <v>0.56499999999999995</v>
      </c>
      <c r="BH44" s="5"/>
      <c r="BI44" s="5"/>
      <c r="BJ44" s="5"/>
      <c r="BK44" s="5"/>
      <c r="BL44" s="5"/>
      <c r="BM44" s="5"/>
      <c r="BN44" s="5"/>
      <c r="BO44" s="5"/>
      <c r="BP44" s="5"/>
      <c r="BQ44" s="5"/>
      <c r="BR44" s="36">
        <v>0.51100000000000001</v>
      </c>
      <c r="BS44" s="5"/>
      <c r="BT44" s="5"/>
      <c r="BU44" s="5"/>
      <c r="BV44" s="5"/>
      <c r="BW44" s="5"/>
      <c r="BX44" s="5"/>
      <c r="BY44" s="36">
        <v>0.51100000000000001</v>
      </c>
      <c r="BZ44" s="5"/>
      <c r="CA44" s="16"/>
    </row>
    <row r="45" spans="1:79">
      <c r="A45" s="13" t="s">
        <v>171</v>
      </c>
      <c r="B45" s="35">
        <v>0.69399999999999995</v>
      </c>
      <c r="C45" s="35">
        <v>19.5</v>
      </c>
      <c r="D45" s="35">
        <v>1.46</v>
      </c>
      <c r="E45" s="35">
        <v>9.73</v>
      </c>
      <c r="F45" s="35">
        <v>1.31</v>
      </c>
      <c r="G45" s="35">
        <v>23.4</v>
      </c>
      <c r="H45" s="35">
        <v>1.08</v>
      </c>
      <c r="I45" s="35">
        <v>20.100000000000001</v>
      </c>
      <c r="J45" s="3"/>
      <c r="K45" s="3"/>
      <c r="L45" s="35">
        <v>1.02</v>
      </c>
      <c r="M45" s="35">
        <v>33.6</v>
      </c>
      <c r="N45" s="35">
        <v>1.0900000000000001</v>
      </c>
      <c r="O45" s="35">
        <v>30.8</v>
      </c>
      <c r="P45" s="35">
        <v>0.70599999999999996</v>
      </c>
      <c r="Q45" s="35">
        <v>31.6</v>
      </c>
      <c r="R45" s="35">
        <v>0.59899999999999998</v>
      </c>
      <c r="S45" s="35">
        <v>1.1499999999999999</v>
      </c>
      <c r="T45" s="35">
        <v>0.93200000000000005</v>
      </c>
      <c r="U45" s="35">
        <v>17.2</v>
      </c>
      <c r="V45" s="35">
        <v>0.70099999999999996</v>
      </c>
      <c r="W45" s="35">
        <v>6.48</v>
      </c>
      <c r="X45" s="35">
        <v>1.25</v>
      </c>
      <c r="Y45" s="35">
        <v>15.7</v>
      </c>
      <c r="Z45" s="35">
        <v>0.63500000000000001</v>
      </c>
      <c r="AA45" s="35">
        <v>15.6</v>
      </c>
      <c r="AB45" s="35">
        <v>0.65700000000000003</v>
      </c>
      <c r="AC45" s="35">
        <v>23.2</v>
      </c>
      <c r="AD45" s="35">
        <v>0.58599999999999997</v>
      </c>
      <c r="AE45" s="35">
        <v>12.6</v>
      </c>
      <c r="AF45" s="35">
        <v>1.04</v>
      </c>
      <c r="AG45" s="35">
        <v>28.7</v>
      </c>
      <c r="AH45" s="35">
        <v>0.99299999999999999</v>
      </c>
      <c r="AI45" s="35">
        <v>16.600000000000001</v>
      </c>
      <c r="AJ45" s="35">
        <v>0.89100000000000001</v>
      </c>
      <c r="AK45" s="35">
        <v>28.3</v>
      </c>
      <c r="AL45" s="35">
        <v>0.92700000000000005</v>
      </c>
      <c r="AM45" s="35">
        <v>22.4</v>
      </c>
      <c r="AN45" s="35">
        <v>0.55300000000000005</v>
      </c>
      <c r="AO45" s="35">
        <v>12.2</v>
      </c>
      <c r="AP45" s="35">
        <v>0.80200000000000005</v>
      </c>
      <c r="AQ45" s="35">
        <v>17.5</v>
      </c>
      <c r="AR45" s="35">
        <v>0.77600000000000002</v>
      </c>
      <c r="AS45" s="35">
        <v>45.3</v>
      </c>
      <c r="AT45" s="35">
        <v>0.85599999999999998</v>
      </c>
      <c r="AU45" s="35">
        <v>19</v>
      </c>
      <c r="AV45" s="35">
        <v>1.25</v>
      </c>
      <c r="AW45" s="35">
        <v>18.2</v>
      </c>
      <c r="AX45" s="35">
        <v>0.96699999999999997</v>
      </c>
      <c r="AY45" s="35">
        <v>23.5</v>
      </c>
      <c r="AZ45" s="3"/>
      <c r="BA45" s="35">
        <v>1.86</v>
      </c>
      <c r="BB45" s="35">
        <v>15.1</v>
      </c>
      <c r="BC45" s="35">
        <v>1.5</v>
      </c>
      <c r="BD45" s="35">
        <v>1.27</v>
      </c>
      <c r="BE45" s="35">
        <v>1.33</v>
      </c>
      <c r="BF45" s="35">
        <v>21.1</v>
      </c>
      <c r="BG45" s="35">
        <v>1.43</v>
      </c>
      <c r="BH45" s="35">
        <v>3.1</v>
      </c>
      <c r="BI45" s="3"/>
      <c r="BJ45" s="3"/>
      <c r="BK45" s="3"/>
      <c r="BL45" s="35">
        <v>0.56100000000000005</v>
      </c>
      <c r="BM45" s="35">
        <v>26.1</v>
      </c>
      <c r="BN45" s="35">
        <v>0.60699999999999998</v>
      </c>
      <c r="BO45" s="35">
        <v>19</v>
      </c>
      <c r="BP45" s="35">
        <v>0.753</v>
      </c>
      <c r="BQ45" s="35">
        <v>21.5</v>
      </c>
      <c r="BR45" s="35">
        <v>2</v>
      </c>
      <c r="BS45" s="35">
        <v>25</v>
      </c>
      <c r="BT45" s="35">
        <v>1.47</v>
      </c>
      <c r="BU45" s="35">
        <v>14.1</v>
      </c>
      <c r="BV45" s="35">
        <v>0.97299999999999998</v>
      </c>
      <c r="BW45" s="35">
        <v>30.2</v>
      </c>
      <c r="BX45" s="3"/>
      <c r="BY45" s="35">
        <v>1.06</v>
      </c>
      <c r="BZ45" s="35">
        <v>0.56799999999999995</v>
      </c>
      <c r="CA45" s="45">
        <v>53.5</v>
      </c>
    </row>
    <row r="46" spans="1:79">
      <c r="A46" s="13" t="s">
        <v>172</v>
      </c>
      <c r="B46" s="36">
        <v>0.437</v>
      </c>
      <c r="C46" s="36">
        <v>4.7300000000000004</v>
      </c>
      <c r="D46" s="36">
        <v>5.2</v>
      </c>
      <c r="E46" s="36">
        <v>1.18</v>
      </c>
      <c r="F46" s="36">
        <v>3.33</v>
      </c>
      <c r="G46" s="36">
        <v>0.92400000000000004</v>
      </c>
      <c r="H46" s="36">
        <v>2.98</v>
      </c>
      <c r="I46" s="36">
        <v>7.94</v>
      </c>
      <c r="J46" s="5"/>
      <c r="K46" s="5"/>
      <c r="L46" s="36">
        <v>2.2400000000000002</v>
      </c>
      <c r="M46" s="36">
        <v>44.3</v>
      </c>
      <c r="N46" s="36">
        <v>4.57</v>
      </c>
      <c r="O46" s="36">
        <v>5.19</v>
      </c>
      <c r="P46" s="36">
        <v>2.2200000000000002</v>
      </c>
      <c r="Q46" s="36">
        <v>49.6</v>
      </c>
      <c r="R46" s="36">
        <v>1.69</v>
      </c>
      <c r="S46" s="36">
        <v>13.4</v>
      </c>
      <c r="T46" s="36">
        <v>3.44</v>
      </c>
      <c r="U46" s="36">
        <v>20.399999999999999</v>
      </c>
      <c r="V46" s="36">
        <v>0.58599999999999997</v>
      </c>
      <c r="W46" s="36">
        <v>7.99</v>
      </c>
      <c r="X46" s="36">
        <v>0.73699999999999999</v>
      </c>
      <c r="Y46" s="36">
        <v>17.7</v>
      </c>
      <c r="Z46" s="36">
        <v>0.39200000000000002</v>
      </c>
      <c r="AA46" s="36">
        <v>17.2</v>
      </c>
      <c r="AB46" s="36">
        <v>0.45700000000000002</v>
      </c>
      <c r="AC46" s="36">
        <v>1.88</v>
      </c>
      <c r="AD46" s="36">
        <v>0.35399999999999998</v>
      </c>
      <c r="AE46" s="36">
        <v>3.79</v>
      </c>
      <c r="AF46" s="36">
        <v>0.86899999999999999</v>
      </c>
      <c r="AG46" s="36">
        <v>21.6</v>
      </c>
      <c r="AH46" s="36">
        <v>1.73</v>
      </c>
      <c r="AI46" s="36">
        <v>66.5</v>
      </c>
      <c r="AJ46" s="36">
        <v>0.55000000000000004</v>
      </c>
      <c r="AK46" s="36">
        <v>6.9</v>
      </c>
      <c r="AL46" s="36">
        <v>0.80700000000000005</v>
      </c>
      <c r="AM46" s="36">
        <v>5.69</v>
      </c>
      <c r="AN46" s="36">
        <v>0.55000000000000004</v>
      </c>
      <c r="AO46" s="36">
        <v>13</v>
      </c>
      <c r="AP46" s="36">
        <v>0.69899999999999995</v>
      </c>
      <c r="AQ46" s="36">
        <v>3.22</v>
      </c>
      <c r="AR46" s="36">
        <v>0.63600000000000001</v>
      </c>
      <c r="AS46" s="36">
        <v>4.04</v>
      </c>
      <c r="AT46" s="36">
        <v>0.46400000000000002</v>
      </c>
      <c r="AU46" s="36">
        <v>1.1499999999999999</v>
      </c>
      <c r="AV46" s="36">
        <v>0.64900000000000002</v>
      </c>
      <c r="AW46" s="36">
        <v>3.36</v>
      </c>
      <c r="AX46" s="36">
        <v>0.52700000000000002</v>
      </c>
      <c r="AY46" s="36">
        <v>13.6</v>
      </c>
      <c r="AZ46" s="5"/>
      <c r="BA46" s="36">
        <v>0.61799999999999999</v>
      </c>
      <c r="BB46" s="36">
        <v>6.04</v>
      </c>
      <c r="BC46" s="36">
        <v>0.34699999999999998</v>
      </c>
      <c r="BD46" s="36">
        <v>4.71</v>
      </c>
      <c r="BE46" s="36">
        <v>0.41199999999999998</v>
      </c>
      <c r="BF46" s="36">
        <v>1.73</v>
      </c>
      <c r="BG46" s="36">
        <v>0.48199999999999998</v>
      </c>
      <c r="BH46" s="36">
        <v>9.34</v>
      </c>
      <c r="BI46" s="5"/>
      <c r="BJ46" s="5"/>
      <c r="BK46" s="5"/>
      <c r="BL46" s="36">
        <v>0.47799999999999998</v>
      </c>
      <c r="BM46" s="36">
        <v>20.5</v>
      </c>
      <c r="BN46" s="36">
        <v>0.42199999999999999</v>
      </c>
      <c r="BO46" s="36">
        <v>0.74399999999999999</v>
      </c>
      <c r="BP46" s="36">
        <v>0.60599999999999998</v>
      </c>
      <c r="BQ46" s="36">
        <v>12.6</v>
      </c>
      <c r="BR46" s="36">
        <v>0.504</v>
      </c>
      <c r="BS46" s="36">
        <v>1.33</v>
      </c>
      <c r="BT46" s="36">
        <v>4.74</v>
      </c>
      <c r="BU46" s="36">
        <v>3.18</v>
      </c>
      <c r="BV46" s="36">
        <v>1.63</v>
      </c>
      <c r="BW46" s="36">
        <v>22.1</v>
      </c>
      <c r="BX46" s="5"/>
      <c r="BY46" s="36">
        <v>1.4</v>
      </c>
      <c r="BZ46" s="36">
        <v>1.7</v>
      </c>
      <c r="CA46" s="46">
        <v>122</v>
      </c>
    </row>
    <row r="47" spans="1:79">
      <c r="A47" s="13" t="s">
        <v>173</v>
      </c>
      <c r="B47" s="35">
        <v>0.14699999999999999</v>
      </c>
      <c r="C47" s="35">
        <v>6.67</v>
      </c>
      <c r="D47" s="35">
        <v>0.96</v>
      </c>
      <c r="E47" s="35">
        <v>5.96</v>
      </c>
      <c r="F47" s="35">
        <v>0.54500000000000004</v>
      </c>
      <c r="G47" s="35">
        <v>35.6</v>
      </c>
      <c r="H47" s="35">
        <v>0.70399999999999996</v>
      </c>
      <c r="I47" s="35">
        <v>1.94</v>
      </c>
      <c r="J47" s="3"/>
      <c r="K47" s="3"/>
      <c r="L47" s="35">
        <v>0.54500000000000004</v>
      </c>
      <c r="M47" s="35">
        <v>84.6</v>
      </c>
      <c r="N47" s="35">
        <v>0.99199999999999999</v>
      </c>
      <c r="O47" s="35">
        <v>7.12</v>
      </c>
      <c r="P47" s="35">
        <v>0.59399999999999997</v>
      </c>
      <c r="Q47" s="35">
        <v>0.151</v>
      </c>
      <c r="R47" s="35">
        <v>0.45200000000000001</v>
      </c>
      <c r="S47" s="35">
        <v>8.5</v>
      </c>
      <c r="T47" s="35">
        <v>0.627</v>
      </c>
      <c r="U47" s="35">
        <v>0.46100000000000002</v>
      </c>
      <c r="V47" s="35">
        <v>0.219</v>
      </c>
      <c r="W47" s="35">
        <v>5.82</v>
      </c>
      <c r="X47" s="35">
        <v>0.26600000000000001</v>
      </c>
      <c r="Y47" s="35">
        <v>6.09</v>
      </c>
      <c r="Z47" s="35">
        <v>0.16400000000000001</v>
      </c>
      <c r="AA47" s="35">
        <v>9.84</v>
      </c>
      <c r="AB47" s="35">
        <v>0.14099999999999999</v>
      </c>
      <c r="AC47" s="35">
        <v>7.38</v>
      </c>
      <c r="AD47" s="35">
        <v>0.126</v>
      </c>
      <c r="AE47" s="35">
        <v>9.24</v>
      </c>
      <c r="AF47" s="35">
        <v>0.24399999999999999</v>
      </c>
      <c r="AG47" s="35">
        <v>5.05</v>
      </c>
      <c r="AH47" s="35">
        <v>0.497</v>
      </c>
      <c r="AI47" s="35">
        <v>22.6</v>
      </c>
      <c r="AJ47" s="35">
        <v>0.28599999999999998</v>
      </c>
      <c r="AK47" s="35">
        <v>19.100000000000001</v>
      </c>
      <c r="AL47" s="35">
        <v>0.64100000000000001</v>
      </c>
      <c r="AM47" s="35">
        <v>35.299999999999997</v>
      </c>
      <c r="AN47" s="35">
        <v>0.39</v>
      </c>
      <c r="AO47" s="35">
        <v>52</v>
      </c>
      <c r="AP47" s="35">
        <v>0.52100000000000002</v>
      </c>
      <c r="AQ47" s="35">
        <v>57.1</v>
      </c>
      <c r="AR47" s="35">
        <v>0.378</v>
      </c>
      <c r="AS47" s="35">
        <v>60.5</v>
      </c>
      <c r="AT47" s="35">
        <v>0.26100000000000001</v>
      </c>
      <c r="AU47" s="35">
        <v>26.4</v>
      </c>
      <c r="AV47" s="35">
        <v>0.32100000000000001</v>
      </c>
      <c r="AW47" s="35">
        <v>24.3</v>
      </c>
      <c r="AX47" s="35">
        <v>0.27300000000000002</v>
      </c>
      <c r="AY47" s="35">
        <v>17.399999999999999</v>
      </c>
      <c r="AZ47" s="3"/>
      <c r="BA47" s="35">
        <v>0.17799999999999999</v>
      </c>
      <c r="BB47" s="35">
        <v>20.399999999999999</v>
      </c>
      <c r="BC47" s="35">
        <v>0.17</v>
      </c>
      <c r="BD47" s="35">
        <v>18.8</v>
      </c>
      <c r="BE47" s="35">
        <v>0.22</v>
      </c>
      <c r="BF47" s="35">
        <v>18.899999999999999</v>
      </c>
      <c r="BG47" s="35">
        <v>0.313</v>
      </c>
      <c r="BH47" s="35">
        <v>14</v>
      </c>
      <c r="BI47" s="3"/>
      <c r="BJ47" s="3"/>
      <c r="BK47" s="3"/>
      <c r="BL47" s="35">
        <v>0.32800000000000001</v>
      </c>
      <c r="BM47" s="35">
        <v>57.9</v>
      </c>
      <c r="BN47" s="35">
        <v>0.191</v>
      </c>
      <c r="BO47" s="35">
        <v>18.100000000000001</v>
      </c>
      <c r="BP47" s="35">
        <v>0.246</v>
      </c>
      <c r="BQ47" s="35">
        <v>28.2</v>
      </c>
      <c r="BR47" s="35">
        <v>0.156</v>
      </c>
      <c r="BS47" s="35">
        <v>19.399999999999999</v>
      </c>
      <c r="BT47" s="35">
        <v>0.67</v>
      </c>
      <c r="BU47" s="35">
        <v>6.04</v>
      </c>
      <c r="BV47" s="35">
        <v>0.61799999999999999</v>
      </c>
      <c r="BW47" s="35">
        <v>1.1399999999999999</v>
      </c>
      <c r="BX47" s="3"/>
      <c r="BY47" s="35">
        <v>0.36799999999999999</v>
      </c>
      <c r="BZ47" s="35">
        <v>0.222</v>
      </c>
      <c r="CA47" s="45">
        <v>60.3</v>
      </c>
    </row>
    <row r="48" spans="1:79">
      <c r="A48" s="13" t="s">
        <v>175</v>
      </c>
      <c r="B48" s="36">
        <v>0.28299999999999997</v>
      </c>
      <c r="C48" s="36">
        <v>16.7</v>
      </c>
      <c r="D48" s="36">
        <v>0.68799999999999994</v>
      </c>
      <c r="E48" s="36">
        <v>14.3</v>
      </c>
      <c r="F48" s="36">
        <v>0.89900000000000002</v>
      </c>
      <c r="G48" s="36">
        <v>31.2</v>
      </c>
      <c r="H48" s="36">
        <v>0.81799999999999995</v>
      </c>
      <c r="I48" s="36">
        <v>30</v>
      </c>
      <c r="J48" s="5"/>
      <c r="K48" s="5"/>
      <c r="L48" s="36">
        <v>0.68799999999999994</v>
      </c>
      <c r="M48" s="36">
        <v>18.899999999999999</v>
      </c>
      <c r="N48" s="36">
        <v>0.73399999999999999</v>
      </c>
      <c r="O48" s="36">
        <v>33.9</v>
      </c>
      <c r="P48" s="36">
        <v>0.63200000000000001</v>
      </c>
      <c r="Q48" s="36">
        <v>3.4</v>
      </c>
      <c r="R48" s="36">
        <v>0.79400000000000004</v>
      </c>
      <c r="S48" s="36">
        <v>9.31</v>
      </c>
      <c r="T48" s="36">
        <v>0.78800000000000003</v>
      </c>
      <c r="U48" s="36">
        <v>10.9</v>
      </c>
      <c r="V48" s="36">
        <v>1.28</v>
      </c>
      <c r="W48" s="36">
        <v>18.600000000000001</v>
      </c>
      <c r="X48" s="36">
        <v>1.68</v>
      </c>
      <c r="Y48" s="36">
        <v>4.4000000000000004</v>
      </c>
      <c r="Z48" s="36">
        <v>0.28599999999999998</v>
      </c>
      <c r="AA48" s="36">
        <v>9.7100000000000009</v>
      </c>
      <c r="AB48" s="36">
        <v>0.28000000000000003</v>
      </c>
      <c r="AC48" s="36">
        <v>10.8</v>
      </c>
      <c r="AD48" s="36">
        <v>0.34</v>
      </c>
      <c r="AE48" s="36">
        <v>11</v>
      </c>
      <c r="AF48" s="36">
        <v>1.35</v>
      </c>
      <c r="AG48" s="36">
        <v>18.8</v>
      </c>
      <c r="AH48" s="36">
        <v>0.71099999999999997</v>
      </c>
      <c r="AI48" s="36">
        <v>7.25</v>
      </c>
      <c r="AJ48" s="36">
        <v>0.72699999999999998</v>
      </c>
      <c r="AK48" s="36">
        <v>8</v>
      </c>
      <c r="AL48" s="36">
        <v>1.1499999999999999</v>
      </c>
      <c r="AM48" s="36">
        <v>21</v>
      </c>
      <c r="AN48" s="36">
        <v>0.69899999999999995</v>
      </c>
      <c r="AO48" s="36">
        <v>1.07</v>
      </c>
      <c r="AP48" s="36">
        <v>0.74199999999999999</v>
      </c>
      <c r="AQ48" s="36">
        <v>7.62</v>
      </c>
      <c r="AR48" s="36">
        <v>0.74099999999999999</v>
      </c>
      <c r="AS48" s="36">
        <v>21.3</v>
      </c>
      <c r="AT48" s="36">
        <v>0.75</v>
      </c>
      <c r="AU48" s="36">
        <v>10</v>
      </c>
      <c r="AV48" s="36">
        <v>0.83599999999999997</v>
      </c>
      <c r="AW48" s="36">
        <v>3.59</v>
      </c>
      <c r="AX48" s="36">
        <v>0.80600000000000005</v>
      </c>
      <c r="AY48" s="36">
        <v>0.28399999999999997</v>
      </c>
      <c r="AZ48" s="5"/>
      <c r="BA48" s="36">
        <v>0.56999999999999995</v>
      </c>
      <c r="BB48" s="36">
        <v>7.91</v>
      </c>
      <c r="BC48" s="36">
        <v>0.39800000000000002</v>
      </c>
      <c r="BD48" s="36">
        <v>10.4</v>
      </c>
      <c r="BE48" s="36">
        <v>0.48599999999999999</v>
      </c>
      <c r="BF48" s="36">
        <v>14.4</v>
      </c>
      <c r="BG48" s="36">
        <v>0.86899999999999999</v>
      </c>
      <c r="BH48" s="36">
        <v>10.3</v>
      </c>
      <c r="BI48" s="5"/>
      <c r="BJ48" s="5"/>
      <c r="BK48" s="5"/>
      <c r="BL48" s="36">
        <v>0.60599999999999998</v>
      </c>
      <c r="BM48" s="36">
        <v>26.9</v>
      </c>
      <c r="BN48" s="36">
        <v>0.34</v>
      </c>
      <c r="BO48" s="36">
        <v>13.7</v>
      </c>
      <c r="BP48" s="36">
        <v>1.22</v>
      </c>
      <c r="BQ48" s="36">
        <v>14.3</v>
      </c>
      <c r="BR48" s="36">
        <v>0.45200000000000001</v>
      </c>
      <c r="BS48" s="36">
        <v>8.09</v>
      </c>
      <c r="BT48" s="36">
        <v>0.72299999999999998</v>
      </c>
      <c r="BU48" s="36">
        <v>43.4</v>
      </c>
      <c r="BV48" s="36">
        <v>0.70599999999999996</v>
      </c>
      <c r="BW48" s="36">
        <v>33.9</v>
      </c>
      <c r="BX48" s="5"/>
      <c r="BY48" s="36">
        <v>0.67500000000000004</v>
      </c>
      <c r="BZ48" s="36">
        <v>0.307</v>
      </c>
      <c r="CA48" s="46">
        <v>45.5</v>
      </c>
    </row>
    <row r="49" spans="1:79">
      <c r="A49" s="13" t="s">
        <v>176</v>
      </c>
      <c r="B49" s="35">
        <v>0.308</v>
      </c>
      <c r="C49" s="35">
        <v>3.07</v>
      </c>
      <c r="D49" s="35">
        <v>1.75</v>
      </c>
      <c r="E49" s="35">
        <v>21</v>
      </c>
      <c r="F49" s="35">
        <v>1.1499999999999999</v>
      </c>
      <c r="G49" s="35">
        <v>24.9</v>
      </c>
      <c r="H49" s="35">
        <v>1.1200000000000001</v>
      </c>
      <c r="I49" s="35">
        <v>53.7</v>
      </c>
      <c r="J49" s="3"/>
      <c r="K49" s="3"/>
      <c r="L49" s="35">
        <v>0.64100000000000001</v>
      </c>
      <c r="M49" s="35">
        <v>57.7</v>
      </c>
      <c r="N49" s="35">
        <v>1.7</v>
      </c>
      <c r="O49" s="35">
        <v>64.900000000000006</v>
      </c>
      <c r="P49" s="35">
        <v>0.78900000000000003</v>
      </c>
      <c r="Q49" s="35">
        <v>1.1399999999999999</v>
      </c>
      <c r="R49" s="35">
        <v>1.41</v>
      </c>
      <c r="S49" s="35">
        <v>20.399999999999999</v>
      </c>
      <c r="T49" s="35">
        <v>1.48</v>
      </c>
      <c r="U49" s="35">
        <v>58.8</v>
      </c>
      <c r="V49" s="35">
        <v>0.85199999999999998</v>
      </c>
      <c r="W49" s="35">
        <v>43.8</v>
      </c>
      <c r="X49" s="35">
        <v>0.76100000000000001</v>
      </c>
      <c r="Y49" s="35">
        <v>20.100000000000001</v>
      </c>
      <c r="Z49" s="35">
        <v>0.371</v>
      </c>
      <c r="AA49" s="35">
        <v>11.4</v>
      </c>
      <c r="AB49" s="35">
        <v>0.35</v>
      </c>
      <c r="AC49" s="35">
        <v>11.2</v>
      </c>
      <c r="AD49" s="35">
        <v>0.308</v>
      </c>
      <c r="AE49" s="35">
        <v>8.34</v>
      </c>
      <c r="AF49" s="35">
        <v>0.64400000000000002</v>
      </c>
      <c r="AG49" s="35">
        <v>38.5</v>
      </c>
      <c r="AH49" s="35">
        <v>1.46</v>
      </c>
      <c r="AI49" s="35">
        <v>28.5</v>
      </c>
      <c r="AJ49" s="35">
        <v>0.94799999999999995</v>
      </c>
      <c r="AK49" s="35">
        <v>12.5</v>
      </c>
      <c r="AL49" s="35">
        <v>0.42599999999999999</v>
      </c>
      <c r="AM49" s="35">
        <v>20</v>
      </c>
      <c r="AN49" s="35">
        <v>0.56899999999999995</v>
      </c>
      <c r="AO49" s="35">
        <v>5.58</v>
      </c>
      <c r="AP49" s="35">
        <v>0.49399999999999999</v>
      </c>
      <c r="AQ49" s="35">
        <v>19.7</v>
      </c>
      <c r="AR49" s="35">
        <v>0.36099999999999999</v>
      </c>
      <c r="AS49" s="35">
        <v>11.1</v>
      </c>
      <c r="AT49" s="35">
        <v>0.96499999999999997</v>
      </c>
      <c r="AU49" s="35">
        <v>27.2</v>
      </c>
      <c r="AV49" s="35">
        <v>1.43</v>
      </c>
      <c r="AW49" s="35">
        <v>20.2</v>
      </c>
      <c r="AX49" s="35">
        <v>1.0900000000000001</v>
      </c>
      <c r="AY49" s="35">
        <v>8.94</v>
      </c>
      <c r="AZ49" s="3"/>
      <c r="BA49" s="35">
        <v>0.46</v>
      </c>
      <c r="BB49" s="35">
        <v>3.97</v>
      </c>
      <c r="BC49" s="35">
        <v>0.502</v>
      </c>
      <c r="BD49" s="35">
        <v>5.89</v>
      </c>
      <c r="BE49" s="35">
        <v>0.42299999999999999</v>
      </c>
      <c r="BF49" s="35">
        <v>3.13</v>
      </c>
      <c r="BG49" s="35">
        <v>0.17299999999999999</v>
      </c>
      <c r="BH49" s="35">
        <v>4.99</v>
      </c>
      <c r="BI49" s="3"/>
      <c r="BJ49" s="3"/>
      <c r="BK49" s="3"/>
      <c r="BL49" s="35">
        <v>0.34100000000000003</v>
      </c>
      <c r="BM49" s="35">
        <v>7.36</v>
      </c>
      <c r="BN49" s="35">
        <v>0.67</v>
      </c>
      <c r="BO49" s="35">
        <v>10.1</v>
      </c>
      <c r="BP49" s="35">
        <v>0.93100000000000005</v>
      </c>
      <c r="BQ49" s="35">
        <v>39.1</v>
      </c>
      <c r="BR49" s="35">
        <v>0.73</v>
      </c>
      <c r="BS49" s="35">
        <v>6.09</v>
      </c>
      <c r="BT49" s="35">
        <v>3.22</v>
      </c>
      <c r="BU49" s="35">
        <v>7.48</v>
      </c>
      <c r="BV49" s="35">
        <v>1.08</v>
      </c>
      <c r="BW49" s="35">
        <v>22.8</v>
      </c>
      <c r="BX49" s="3"/>
      <c r="BY49" s="35">
        <v>1.1599999999999999</v>
      </c>
      <c r="BZ49" s="35">
        <v>1.04</v>
      </c>
      <c r="CA49" s="45">
        <v>89.5</v>
      </c>
    </row>
    <row r="50" spans="1:79">
      <c r="A50" s="13" t="s">
        <v>179</v>
      </c>
      <c r="B50" s="36">
        <v>0.14000000000000001</v>
      </c>
      <c r="C50" s="36">
        <v>36.6</v>
      </c>
      <c r="D50" s="36">
        <v>0.52800000000000002</v>
      </c>
      <c r="E50" s="36">
        <v>30.5</v>
      </c>
      <c r="F50" s="36">
        <v>0.69699999999999995</v>
      </c>
      <c r="G50" s="36">
        <v>15</v>
      </c>
      <c r="H50" s="36">
        <v>0.13600000000000001</v>
      </c>
      <c r="I50" s="36">
        <v>10.3</v>
      </c>
      <c r="J50" s="5"/>
      <c r="K50" s="5"/>
      <c r="L50" s="36">
        <v>0.34</v>
      </c>
      <c r="M50" s="36">
        <v>7.31</v>
      </c>
      <c r="N50" s="36">
        <v>0.371</v>
      </c>
      <c r="O50" s="36">
        <v>78.599999999999994</v>
      </c>
      <c r="P50" s="36">
        <v>0.35299999999999998</v>
      </c>
      <c r="Q50" s="36">
        <v>75.900000000000006</v>
      </c>
      <c r="R50" s="36">
        <v>0.36699999999999999</v>
      </c>
      <c r="S50" s="36">
        <v>37.799999999999997</v>
      </c>
      <c r="T50" s="36">
        <v>0.39800000000000002</v>
      </c>
      <c r="U50" s="36">
        <v>1.69</v>
      </c>
      <c r="V50" s="36">
        <v>0.25900000000000001</v>
      </c>
      <c r="W50" s="36">
        <v>40.299999999999997</v>
      </c>
      <c r="X50" s="36">
        <v>0.19900000000000001</v>
      </c>
      <c r="Y50" s="36">
        <v>37.299999999999997</v>
      </c>
      <c r="Z50" s="36">
        <v>0.11899999999999999</v>
      </c>
      <c r="AA50" s="36">
        <v>32.4</v>
      </c>
      <c r="AB50" s="36">
        <v>0.11899999999999999</v>
      </c>
      <c r="AC50" s="36">
        <v>13.5</v>
      </c>
      <c r="AD50" s="36">
        <v>9.9299999999999999E-2</v>
      </c>
      <c r="AE50" s="36">
        <v>32</v>
      </c>
      <c r="AF50" s="36">
        <v>0.23300000000000001</v>
      </c>
      <c r="AG50" s="36">
        <v>40.4</v>
      </c>
      <c r="AH50" s="36">
        <v>0.42399999999999999</v>
      </c>
      <c r="AI50" s="36">
        <v>13</v>
      </c>
      <c r="AJ50" s="36">
        <v>0.192</v>
      </c>
      <c r="AK50" s="36">
        <v>46.7</v>
      </c>
      <c r="AL50" s="36">
        <v>0.13900000000000001</v>
      </c>
      <c r="AM50" s="36">
        <v>10.3</v>
      </c>
      <c r="AN50" s="36">
        <v>0.22800000000000001</v>
      </c>
      <c r="AO50" s="36">
        <v>1.0900000000000001</v>
      </c>
      <c r="AP50" s="36">
        <v>0.216</v>
      </c>
      <c r="AQ50" s="36">
        <v>14.1</v>
      </c>
      <c r="AR50" s="36">
        <v>0.33600000000000002</v>
      </c>
      <c r="AS50" s="36">
        <v>1.06</v>
      </c>
      <c r="AT50" s="36">
        <v>0.221</v>
      </c>
      <c r="AU50" s="36">
        <v>5.05</v>
      </c>
      <c r="AV50" s="36">
        <v>0.221</v>
      </c>
      <c r="AW50" s="36">
        <v>32</v>
      </c>
      <c r="AX50" s="36">
        <v>0.24199999999999999</v>
      </c>
      <c r="AY50" s="36">
        <v>21.3</v>
      </c>
      <c r="AZ50" s="5"/>
      <c r="BA50" s="36">
        <v>0.17199999999999999</v>
      </c>
      <c r="BB50" s="36">
        <v>21.4</v>
      </c>
      <c r="BC50" s="36">
        <v>0.14099999999999999</v>
      </c>
      <c r="BD50" s="36">
        <v>16.3</v>
      </c>
      <c r="BE50" s="36">
        <v>0.16500000000000001</v>
      </c>
      <c r="BF50" s="36">
        <v>15.1</v>
      </c>
      <c r="BG50" s="36">
        <v>4.0399999999999998E-2</v>
      </c>
      <c r="BH50" s="36">
        <v>18.100000000000001</v>
      </c>
      <c r="BI50" s="5"/>
      <c r="BJ50" s="5"/>
      <c r="BK50" s="5"/>
      <c r="BL50" s="36">
        <v>0.17199999999999999</v>
      </c>
      <c r="BM50" s="36">
        <v>14</v>
      </c>
      <c r="BN50" s="36">
        <v>0.153</v>
      </c>
      <c r="BO50" s="36">
        <v>18.8</v>
      </c>
      <c r="BP50" s="36">
        <v>0.13900000000000001</v>
      </c>
      <c r="BQ50" s="36">
        <v>10.8</v>
      </c>
      <c r="BR50" s="36">
        <v>0.18</v>
      </c>
      <c r="BS50" s="36">
        <v>12.3</v>
      </c>
      <c r="BT50" s="36">
        <v>0.27700000000000002</v>
      </c>
      <c r="BU50" s="36">
        <v>29.7</v>
      </c>
      <c r="BV50" s="36">
        <v>0.47199999999999998</v>
      </c>
      <c r="BW50" s="36">
        <v>40.6</v>
      </c>
      <c r="BX50" s="5"/>
      <c r="BY50" s="36">
        <v>0.23200000000000001</v>
      </c>
      <c r="BZ50" s="36">
        <v>0.127</v>
      </c>
      <c r="CA50" s="46">
        <v>54.8</v>
      </c>
    </row>
    <row r="51" spans="1:79">
      <c r="A51" s="13" t="s">
        <v>183</v>
      </c>
      <c r="B51" s="35">
        <v>0.152</v>
      </c>
      <c r="C51" s="35">
        <v>46.3</v>
      </c>
      <c r="D51" s="35">
        <v>0.6</v>
      </c>
      <c r="E51" s="35">
        <v>7.17</v>
      </c>
      <c r="F51" s="35">
        <v>0.17599999999999999</v>
      </c>
      <c r="G51" s="35">
        <v>63.1</v>
      </c>
      <c r="H51" s="35">
        <v>0.26400000000000001</v>
      </c>
      <c r="I51" s="35">
        <v>37.200000000000003</v>
      </c>
      <c r="J51" s="3"/>
      <c r="K51" s="3"/>
      <c r="L51" s="35">
        <v>0.28599999999999998</v>
      </c>
      <c r="M51" s="35">
        <v>6.88</v>
      </c>
      <c r="N51" s="35">
        <v>0.38500000000000001</v>
      </c>
      <c r="O51" s="35">
        <v>8.4700000000000006</v>
      </c>
      <c r="P51" s="35">
        <v>0.38400000000000001</v>
      </c>
      <c r="Q51" s="35">
        <v>0</v>
      </c>
      <c r="R51" s="35">
        <v>0.191</v>
      </c>
      <c r="S51" s="35">
        <v>0</v>
      </c>
      <c r="T51" s="35">
        <v>0.45200000000000001</v>
      </c>
      <c r="U51" s="35">
        <v>0</v>
      </c>
      <c r="V51" s="35">
        <v>0.154</v>
      </c>
      <c r="W51" s="35">
        <v>21.7</v>
      </c>
      <c r="X51" s="35">
        <v>0.22900000000000001</v>
      </c>
      <c r="Y51" s="35">
        <v>3.75</v>
      </c>
      <c r="Z51" s="35">
        <v>0.13800000000000001</v>
      </c>
      <c r="AA51" s="35">
        <v>45</v>
      </c>
      <c r="AB51" s="35">
        <v>0.122</v>
      </c>
      <c r="AC51" s="35">
        <v>43.1</v>
      </c>
      <c r="AD51" s="35">
        <v>0.115</v>
      </c>
      <c r="AE51" s="35">
        <v>47.4</v>
      </c>
      <c r="AF51" s="35">
        <v>0.27500000000000002</v>
      </c>
      <c r="AG51" s="35">
        <v>2.61</v>
      </c>
      <c r="AH51" s="35">
        <v>0.36099999999999999</v>
      </c>
      <c r="AI51" s="35">
        <v>0</v>
      </c>
      <c r="AJ51" s="35">
        <v>0.17399999999999999</v>
      </c>
      <c r="AK51" s="35">
        <v>25.3</v>
      </c>
      <c r="AL51" s="35">
        <v>0.23</v>
      </c>
      <c r="AM51" s="35">
        <v>20.3</v>
      </c>
      <c r="AN51" s="35">
        <v>0.13100000000000001</v>
      </c>
      <c r="AO51" s="35">
        <v>15.7</v>
      </c>
      <c r="AP51" s="35">
        <v>0.217</v>
      </c>
      <c r="AQ51" s="35">
        <v>11.7</v>
      </c>
      <c r="AR51" s="35">
        <v>0.155</v>
      </c>
      <c r="AS51" s="35">
        <v>11.9</v>
      </c>
      <c r="AT51" s="35">
        <v>9.4600000000000004E-2</v>
      </c>
      <c r="AU51" s="35">
        <v>1.1299999999999999</v>
      </c>
      <c r="AV51" s="35">
        <v>0.16300000000000001</v>
      </c>
      <c r="AW51" s="35">
        <v>25.7</v>
      </c>
      <c r="AX51" s="35">
        <v>0.12</v>
      </c>
      <c r="AY51" s="35">
        <v>9.0500000000000007</v>
      </c>
      <c r="AZ51" s="3"/>
      <c r="BA51" s="35">
        <v>0.16600000000000001</v>
      </c>
      <c r="BB51" s="35">
        <v>27.6</v>
      </c>
      <c r="BC51" s="35">
        <v>0.24099999999999999</v>
      </c>
      <c r="BD51" s="35">
        <v>40.700000000000003</v>
      </c>
      <c r="BE51" s="35">
        <v>0.20799999999999999</v>
      </c>
      <c r="BF51" s="35">
        <v>22.1</v>
      </c>
      <c r="BG51" s="35">
        <v>0.16200000000000001</v>
      </c>
      <c r="BH51" s="35">
        <v>29.2</v>
      </c>
      <c r="BI51" s="3"/>
      <c r="BJ51" s="3"/>
      <c r="BK51" s="3"/>
      <c r="BL51" s="35">
        <v>0.14699999999999999</v>
      </c>
      <c r="BM51" s="35">
        <v>47.6</v>
      </c>
      <c r="BN51" s="35">
        <v>0.151</v>
      </c>
      <c r="BO51" s="35">
        <v>45.5</v>
      </c>
      <c r="BP51" s="35">
        <v>0.25</v>
      </c>
      <c r="BQ51" s="35">
        <v>6.28</v>
      </c>
      <c r="BR51" s="35">
        <v>0.161</v>
      </c>
      <c r="BS51" s="35">
        <v>30.9</v>
      </c>
      <c r="BT51" s="35">
        <v>0.34899999999999998</v>
      </c>
      <c r="BU51" s="35">
        <v>37.700000000000003</v>
      </c>
      <c r="BV51" s="35">
        <v>0.23599999999999999</v>
      </c>
      <c r="BW51" s="35">
        <v>0</v>
      </c>
      <c r="BX51" s="3"/>
      <c r="BY51" s="35">
        <v>0.216</v>
      </c>
      <c r="BZ51" s="35">
        <v>7.8799999999999995E-2</v>
      </c>
      <c r="CA51" s="45">
        <v>36.5</v>
      </c>
    </row>
    <row r="52" spans="1:79">
      <c r="A52" s="13" t="s">
        <v>184</v>
      </c>
      <c r="B52" s="36">
        <v>3.8699999999999998E-2</v>
      </c>
      <c r="C52" s="36">
        <v>21</v>
      </c>
      <c r="D52" s="36">
        <v>2.3599999999999999E-2</v>
      </c>
      <c r="E52" s="36">
        <v>43.1</v>
      </c>
      <c r="F52" s="36">
        <v>1.0500000000000001E-2</v>
      </c>
      <c r="G52" s="36">
        <v>86</v>
      </c>
      <c r="H52" s="36">
        <v>1.2E-2</v>
      </c>
      <c r="I52" s="36">
        <v>100</v>
      </c>
      <c r="J52" s="5"/>
      <c r="K52" s="5"/>
      <c r="L52" s="36">
        <v>8.8500000000000002E-3</v>
      </c>
      <c r="M52" s="36">
        <v>77.3</v>
      </c>
      <c r="N52" s="36">
        <v>6.3400000000000001E-3</v>
      </c>
      <c r="O52" s="36">
        <v>38.1</v>
      </c>
      <c r="P52" s="36">
        <v>2.7900000000000001E-2</v>
      </c>
      <c r="Q52" s="36">
        <v>42</v>
      </c>
      <c r="R52" s="36">
        <v>2.06E-2</v>
      </c>
      <c r="S52" s="36">
        <v>9.11</v>
      </c>
      <c r="T52" s="36">
        <v>5.6399999999999999E-2</v>
      </c>
      <c r="U52" s="36">
        <v>3.42</v>
      </c>
      <c r="V52" s="36">
        <v>4.79E-3</v>
      </c>
      <c r="W52" s="36">
        <v>2.93</v>
      </c>
      <c r="X52" s="36">
        <v>5.1700000000000001E-3</v>
      </c>
      <c r="Y52" s="36">
        <v>4.5199999999999996</v>
      </c>
      <c r="Z52" s="36">
        <v>3.15E-2</v>
      </c>
      <c r="AA52" s="36">
        <v>35.4</v>
      </c>
      <c r="AB52" s="36">
        <v>4.7399999999999998E-2</v>
      </c>
      <c r="AC52" s="36">
        <v>40.200000000000003</v>
      </c>
      <c r="AD52" s="36">
        <v>4.53E-2</v>
      </c>
      <c r="AE52" s="36">
        <v>29.8</v>
      </c>
      <c r="AF52" s="36">
        <v>5.8300000000000001E-3</v>
      </c>
      <c r="AG52" s="36">
        <v>6.31</v>
      </c>
      <c r="AH52" s="36">
        <v>5.1400000000000001E-2</v>
      </c>
      <c r="AI52" s="36">
        <v>90.2</v>
      </c>
      <c r="AJ52" s="36">
        <v>9.3500000000000007E-3</v>
      </c>
      <c r="AK52" s="36">
        <v>54.4</v>
      </c>
      <c r="AL52" s="36">
        <v>8.4000000000000005E-2</v>
      </c>
      <c r="AM52" s="36">
        <v>43.3</v>
      </c>
      <c r="AN52" s="36">
        <v>7.7600000000000002E-2</v>
      </c>
      <c r="AO52" s="36">
        <v>3.13</v>
      </c>
      <c r="AP52" s="36">
        <v>8.8499999999999995E-2</v>
      </c>
      <c r="AQ52" s="36">
        <v>7.21</v>
      </c>
      <c r="AR52" s="36">
        <v>9.9099999999999994E-2</v>
      </c>
      <c r="AS52" s="36">
        <v>14.2</v>
      </c>
      <c r="AT52" s="36">
        <v>1.0200000000000001E-2</v>
      </c>
      <c r="AU52" s="36">
        <v>76.400000000000006</v>
      </c>
      <c r="AV52" s="36">
        <v>8.4799999999999997E-3</v>
      </c>
      <c r="AW52" s="36">
        <v>40.799999999999997</v>
      </c>
      <c r="AX52" s="36">
        <v>4.4299999999999999E-3</v>
      </c>
      <c r="AY52" s="36">
        <v>25.1</v>
      </c>
      <c r="AZ52" s="5"/>
      <c r="BA52" s="36">
        <v>1.9599999999999999E-3</v>
      </c>
      <c r="BB52" s="36">
        <v>20.100000000000001</v>
      </c>
      <c r="BC52" s="36">
        <v>2.9299999999999999E-3</v>
      </c>
      <c r="BD52" s="36">
        <v>27.9</v>
      </c>
      <c r="BE52" s="36">
        <v>1.23E-3</v>
      </c>
      <c r="BF52" s="36">
        <v>32.799999999999997</v>
      </c>
      <c r="BG52" s="36">
        <v>9.3900000000000008E-3</v>
      </c>
      <c r="BH52" s="36">
        <v>43.9</v>
      </c>
      <c r="BI52" s="5"/>
      <c r="BJ52" s="5"/>
      <c r="BK52" s="5"/>
      <c r="BL52" s="36">
        <v>7.0699999999999999E-2</v>
      </c>
      <c r="BM52" s="36">
        <v>14.1</v>
      </c>
      <c r="BN52" s="36">
        <v>1.8100000000000002E-2</v>
      </c>
      <c r="BO52" s="36">
        <v>73.7</v>
      </c>
      <c r="BP52" s="36">
        <v>5.8900000000000003E-3</v>
      </c>
      <c r="BQ52" s="36">
        <v>10.6</v>
      </c>
      <c r="BR52" s="36">
        <v>1.08E-3</v>
      </c>
      <c r="BS52" s="36">
        <v>35.9</v>
      </c>
      <c r="BT52" s="36">
        <v>2.2100000000000002E-2</v>
      </c>
      <c r="BU52" s="36">
        <v>38.700000000000003</v>
      </c>
      <c r="BV52" s="36">
        <v>1.9800000000000002E-2</v>
      </c>
      <c r="BW52" s="36">
        <v>3.55</v>
      </c>
      <c r="BX52" s="5"/>
      <c r="BY52" s="36">
        <v>2.29E-2</v>
      </c>
      <c r="BZ52" s="36">
        <v>2.4799999999999999E-2</v>
      </c>
      <c r="CA52" s="46">
        <v>108</v>
      </c>
    </row>
    <row r="53" spans="1:79">
      <c r="A53" s="13" t="s">
        <v>185</v>
      </c>
      <c r="B53" s="35">
        <v>0.35</v>
      </c>
      <c r="C53" s="35">
        <v>7.92</v>
      </c>
      <c r="D53" s="35">
        <v>0.63900000000000001</v>
      </c>
      <c r="E53" s="3"/>
      <c r="F53" s="35">
        <v>0.67300000000000004</v>
      </c>
      <c r="G53" s="3"/>
      <c r="H53" s="35">
        <v>0.47199999999999998</v>
      </c>
      <c r="I53" s="3"/>
      <c r="J53" s="3"/>
      <c r="K53" s="3"/>
      <c r="L53" s="35">
        <v>0.45900000000000002</v>
      </c>
      <c r="M53" s="3"/>
      <c r="N53" s="35">
        <v>0.72399999999999998</v>
      </c>
      <c r="O53" s="3"/>
      <c r="P53" s="35">
        <v>0.66200000000000003</v>
      </c>
      <c r="Q53" s="35">
        <v>64.599999999999994</v>
      </c>
      <c r="R53" s="35">
        <v>0.37</v>
      </c>
      <c r="S53" s="35">
        <v>35.4</v>
      </c>
      <c r="T53" s="35">
        <v>1.1299999999999999</v>
      </c>
      <c r="U53" s="35">
        <v>11.2</v>
      </c>
      <c r="V53" s="35">
        <v>0.33600000000000002</v>
      </c>
      <c r="W53" s="35">
        <v>11.1</v>
      </c>
      <c r="X53" s="35">
        <v>0.29599999999999999</v>
      </c>
      <c r="Y53" s="35">
        <v>68</v>
      </c>
      <c r="Z53" s="35">
        <v>0.28999999999999998</v>
      </c>
      <c r="AA53" s="35">
        <v>7.67</v>
      </c>
      <c r="AB53" s="35">
        <v>0.311</v>
      </c>
      <c r="AC53" s="35">
        <v>18</v>
      </c>
      <c r="AD53" s="35">
        <v>0.34899999999999998</v>
      </c>
      <c r="AE53" s="35">
        <v>0.96</v>
      </c>
      <c r="AF53" s="35">
        <v>0.38100000000000001</v>
      </c>
      <c r="AG53" s="35">
        <v>18.600000000000001</v>
      </c>
      <c r="AH53" s="35">
        <v>0.55100000000000005</v>
      </c>
      <c r="AI53" s="35">
        <v>24.7</v>
      </c>
      <c r="AJ53" s="35">
        <v>0.32100000000000001</v>
      </c>
      <c r="AK53" s="35">
        <v>33.4</v>
      </c>
      <c r="AL53" s="35">
        <v>0.156</v>
      </c>
      <c r="AM53" s="35">
        <v>31.4</v>
      </c>
      <c r="AN53" s="35">
        <v>0.38800000000000001</v>
      </c>
      <c r="AO53" s="35">
        <v>23.2</v>
      </c>
      <c r="AP53" s="35">
        <v>0.497</v>
      </c>
      <c r="AQ53" s="35">
        <v>8.61</v>
      </c>
      <c r="AR53" s="35">
        <v>0.53700000000000003</v>
      </c>
      <c r="AS53" s="35">
        <v>26.7</v>
      </c>
      <c r="AT53" s="35">
        <v>0.28399999999999997</v>
      </c>
      <c r="AU53" s="35">
        <v>12.1</v>
      </c>
      <c r="AV53" s="35">
        <v>0.308</v>
      </c>
      <c r="AW53" s="35">
        <v>25.9</v>
      </c>
      <c r="AX53" s="35">
        <v>0.36299999999999999</v>
      </c>
      <c r="AY53" s="35">
        <v>29.1</v>
      </c>
      <c r="AZ53" s="3"/>
      <c r="BA53" s="35">
        <v>0.39300000000000002</v>
      </c>
      <c r="BB53" s="35">
        <v>38.299999999999997</v>
      </c>
      <c r="BC53" s="35">
        <v>0.156</v>
      </c>
      <c r="BD53" s="35">
        <v>11.2</v>
      </c>
      <c r="BE53" s="35">
        <v>5.6800000000000003E-2</v>
      </c>
      <c r="BF53" s="35">
        <v>54.1</v>
      </c>
      <c r="BG53" s="35">
        <v>9.8599999999999993E-2</v>
      </c>
      <c r="BH53" s="35">
        <v>32.700000000000003</v>
      </c>
      <c r="BI53" s="3"/>
      <c r="BJ53" s="3"/>
      <c r="BK53" s="3"/>
      <c r="BL53" s="35">
        <v>0.23400000000000001</v>
      </c>
      <c r="BM53" s="35">
        <v>21.5</v>
      </c>
      <c r="BN53" s="35">
        <v>0.40699999999999997</v>
      </c>
      <c r="BO53" s="35">
        <v>12.6</v>
      </c>
      <c r="BP53" s="35">
        <v>0.40899999999999997</v>
      </c>
      <c r="BQ53" s="35">
        <v>3.22</v>
      </c>
      <c r="BR53" s="35">
        <v>0.36099999999999999</v>
      </c>
      <c r="BS53" s="35">
        <v>40.1</v>
      </c>
      <c r="BT53" s="35">
        <v>0.70899999999999996</v>
      </c>
      <c r="BU53" s="35">
        <v>0</v>
      </c>
      <c r="BV53" s="35">
        <v>0.53200000000000003</v>
      </c>
      <c r="BW53" s="35">
        <v>16.2</v>
      </c>
      <c r="BX53" s="3"/>
      <c r="BY53" s="35">
        <v>0.442</v>
      </c>
      <c r="BZ53" s="35">
        <v>0.16200000000000001</v>
      </c>
      <c r="CA53" s="45">
        <v>36.700000000000003</v>
      </c>
    </row>
    <row r="54" spans="1:79">
      <c r="A54" s="13" t="s">
        <v>186</v>
      </c>
      <c r="B54" s="36">
        <v>0.34399999999999997</v>
      </c>
      <c r="C54" s="36">
        <v>16.100000000000001</v>
      </c>
      <c r="D54" s="5"/>
      <c r="E54" s="5"/>
      <c r="F54" s="5"/>
      <c r="G54" s="5"/>
      <c r="H54" s="5"/>
      <c r="I54" s="5"/>
      <c r="J54" s="5"/>
      <c r="K54" s="5"/>
      <c r="L54" s="5"/>
      <c r="M54" s="5"/>
      <c r="N54" s="5"/>
      <c r="O54" s="5"/>
      <c r="P54" s="5"/>
      <c r="Q54" s="5"/>
      <c r="R54" s="5"/>
      <c r="S54" s="5"/>
      <c r="T54" s="5"/>
      <c r="U54" s="5"/>
      <c r="V54" s="36">
        <v>0.45600000000000002</v>
      </c>
      <c r="W54" s="36">
        <v>20.3</v>
      </c>
      <c r="X54" s="36">
        <v>0.14799999999999999</v>
      </c>
      <c r="Y54" s="36">
        <v>0</v>
      </c>
      <c r="Z54" s="36">
        <v>0.317</v>
      </c>
      <c r="AA54" s="36">
        <v>23</v>
      </c>
      <c r="AB54" s="36">
        <v>0.29099999999999998</v>
      </c>
      <c r="AC54" s="36">
        <v>40</v>
      </c>
      <c r="AD54" s="36">
        <v>0.315</v>
      </c>
      <c r="AE54" s="36">
        <v>37.6</v>
      </c>
      <c r="AF54" s="36">
        <v>0.23799999999999999</v>
      </c>
      <c r="AG54" s="36">
        <v>12</v>
      </c>
      <c r="AH54" s="5"/>
      <c r="AI54" s="5"/>
      <c r="AJ54" s="36">
        <v>0.42099999999999999</v>
      </c>
      <c r="AK54" s="36">
        <v>36.200000000000003</v>
      </c>
      <c r="AL54" s="36">
        <v>0.54200000000000004</v>
      </c>
      <c r="AM54" s="36">
        <v>0.23200000000000001</v>
      </c>
      <c r="AN54" s="36">
        <v>0.28799999999999998</v>
      </c>
      <c r="AO54" s="36">
        <v>6.12</v>
      </c>
      <c r="AP54" s="36">
        <v>0.33600000000000002</v>
      </c>
      <c r="AQ54" s="36">
        <v>7.01</v>
      </c>
      <c r="AR54" s="36">
        <v>0.253</v>
      </c>
      <c r="AS54" s="36">
        <v>9.8699999999999992</v>
      </c>
      <c r="AT54" s="36">
        <v>0.49099999999999999</v>
      </c>
      <c r="AU54" s="36">
        <v>14.5</v>
      </c>
      <c r="AV54" s="36">
        <v>0.49</v>
      </c>
      <c r="AW54" s="36">
        <v>50.6</v>
      </c>
      <c r="AX54" s="36">
        <v>0.373</v>
      </c>
      <c r="AY54" s="36">
        <v>53</v>
      </c>
      <c r="AZ54" s="5"/>
      <c r="BA54" s="5"/>
      <c r="BB54" s="5"/>
      <c r="BC54" s="5"/>
      <c r="BD54" s="5"/>
      <c r="BE54" s="5"/>
      <c r="BF54" s="5"/>
      <c r="BG54" s="5"/>
      <c r="BH54" s="5"/>
      <c r="BI54" s="5"/>
      <c r="BJ54" s="5"/>
      <c r="BK54" s="5"/>
      <c r="BL54" s="36">
        <v>0.39500000000000002</v>
      </c>
      <c r="BM54" s="36">
        <v>12.4</v>
      </c>
      <c r="BN54" s="36">
        <v>0.39900000000000002</v>
      </c>
      <c r="BO54" s="36">
        <v>6.14</v>
      </c>
      <c r="BP54" s="36">
        <v>0.36499999999999999</v>
      </c>
      <c r="BQ54" s="36">
        <v>14</v>
      </c>
      <c r="BR54" s="5"/>
      <c r="BS54" s="5"/>
      <c r="BT54" s="5"/>
      <c r="BU54" s="5"/>
      <c r="BV54" s="5"/>
      <c r="BW54" s="5"/>
      <c r="BX54" s="5"/>
      <c r="BY54" s="36">
        <v>0.38600000000000001</v>
      </c>
      <c r="BZ54" s="36">
        <v>1.8599999999999998E-2</v>
      </c>
      <c r="CA54" s="46">
        <v>4.8</v>
      </c>
    </row>
    <row r="55" spans="1:79">
      <c r="A55" s="13" t="s">
        <v>187</v>
      </c>
      <c r="B55" s="35">
        <v>26.8</v>
      </c>
      <c r="C55" s="35">
        <v>8.02</v>
      </c>
      <c r="D55" s="35">
        <v>14.5</v>
      </c>
      <c r="E55" s="35">
        <v>16</v>
      </c>
      <c r="F55" s="35">
        <v>12.2</v>
      </c>
      <c r="G55" s="35">
        <v>8.1999999999999993</v>
      </c>
      <c r="H55" s="35">
        <v>19.2</v>
      </c>
      <c r="I55" s="35">
        <v>20</v>
      </c>
      <c r="J55" s="3"/>
      <c r="K55" s="3"/>
      <c r="L55" s="35">
        <v>11.3</v>
      </c>
      <c r="M55" s="35">
        <v>34.299999999999997</v>
      </c>
      <c r="N55" s="35">
        <v>22.6</v>
      </c>
      <c r="O55" s="35">
        <v>5.52</v>
      </c>
      <c r="P55" s="35">
        <v>21.5</v>
      </c>
      <c r="Q55" s="35">
        <v>5.42</v>
      </c>
      <c r="R55" s="35">
        <v>31.5</v>
      </c>
      <c r="S55" s="35">
        <v>1.25</v>
      </c>
      <c r="T55" s="35">
        <v>22</v>
      </c>
      <c r="U55" s="35">
        <v>18.8</v>
      </c>
      <c r="V55" s="35">
        <v>21.7</v>
      </c>
      <c r="W55" s="35">
        <v>17.100000000000001</v>
      </c>
      <c r="X55" s="35">
        <v>24.8</v>
      </c>
      <c r="Y55" s="35">
        <v>19.8</v>
      </c>
      <c r="Z55" s="35">
        <v>21.7</v>
      </c>
      <c r="AA55" s="35">
        <v>5.69</v>
      </c>
      <c r="AB55" s="35">
        <v>24.3</v>
      </c>
      <c r="AC55" s="35">
        <v>6.88</v>
      </c>
      <c r="AD55" s="35">
        <v>24.4</v>
      </c>
      <c r="AE55" s="35">
        <v>6.18</v>
      </c>
      <c r="AF55" s="35">
        <v>22.2</v>
      </c>
      <c r="AG55" s="35">
        <v>23.1</v>
      </c>
      <c r="AH55" s="35">
        <v>20</v>
      </c>
      <c r="AI55" s="35">
        <v>4.59</v>
      </c>
      <c r="AJ55" s="35">
        <v>24.7</v>
      </c>
      <c r="AK55" s="35">
        <v>8.33</v>
      </c>
      <c r="AL55" s="35">
        <v>11.3</v>
      </c>
      <c r="AM55" s="35">
        <v>8.36</v>
      </c>
      <c r="AN55" s="35">
        <v>28.4</v>
      </c>
      <c r="AO55" s="35">
        <v>4.18</v>
      </c>
      <c r="AP55" s="35">
        <v>32.9</v>
      </c>
      <c r="AQ55" s="35">
        <v>3.46</v>
      </c>
      <c r="AR55" s="35">
        <v>37.799999999999997</v>
      </c>
      <c r="AS55" s="35">
        <v>3.92</v>
      </c>
      <c r="AT55" s="35">
        <v>27</v>
      </c>
      <c r="AU55" s="35">
        <v>3.56</v>
      </c>
      <c r="AV55" s="35">
        <v>29.9</v>
      </c>
      <c r="AW55" s="35">
        <v>4.42</v>
      </c>
      <c r="AX55" s="35">
        <v>29</v>
      </c>
      <c r="AY55" s="35">
        <v>8.7100000000000009</v>
      </c>
      <c r="AZ55" s="3"/>
      <c r="BA55" s="35">
        <v>24.1</v>
      </c>
      <c r="BB55" s="35">
        <v>5.46</v>
      </c>
      <c r="BC55" s="35">
        <v>14.2</v>
      </c>
      <c r="BD55" s="35">
        <v>9.77</v>
      </c>
      <c r="BE55" s="35">
        <v>7.39</v>
      </c>
      <c r="BF55" s="35">
        <v>24.9</v>
      </c>
      <c r="BG55" s="35">
        <v>3.47</v>
      </c>
      <c r="BH55" s="35">
        <v>14.9</v>
      </c>
      <c r="BI55" s="3"/>
      <c r="BJ55" s="3"/>
      <c r="BK55" s="3"/>
      <c r="BL55" s="35">
        <v>22.1</v>
      </c>
      <c r="BM55" s="35">
        <v>13.1</v>
      </c>
      <c r="BN55" s="35">
        <v>23.2</v>
      </c>
      <c r="BO55" s="35">
        <v>12.2</v>
      </c>
      <c r="BP55" s="35">
        <v>25.9</v>
      </c>
      <c r="BQ55" s="35">
        <v>13.6</v>
      </c>
      <c r="BR55" s="35">
        <v>25.7</v>
      </c>
      <c r="BS55" s="35">
        <v>2.0499999999999998</v>
      </c>
      <c r="BT55" s="35">
        <v>23.3</v>
      </c>
      <c r="BU55" s="35">
        <v>1.31</v>
      </c>
      <c r="BV55" s="35">
        <v>29.3</v>
      </c>
      <c r="BW55" s="35">
        <v>7.19</v>
      </c>
      <c r="BX55" s="3"/>
      <c r="BY55" s="35">
        <v>24.9</v>
      </c>
      <c r="BZ55" s="35">
        <v>2.63</v>
      </c>
      <c r="CA55" s="45">
        <v>10.5</v>
      </c>
    </row>
    <row r="56" spans="1:79">
      <c r="A56" s="13" t="s">
        <v>188</v>
      </c>
      <c r="B56" s="36">
        <v>6.7</v>
      </c>
      <c r="C56" s="36">
        <v>2.29</v>
      </c>
      <c r="D56" s="36">
        <v>8.74</v>
      </c>
      <c r="E56" s="36">
        <v>23</v>
      </c>
      <c r="F56" s="36">
        <v>6.47</v>
      </c>
      <c r="G56" s="36">
        <v>19.399999999999999</v>
      </c>
      <c r="H56" s="36">
        <v>13.3</v>
      </c>
      <c r="I56" s="36">
        <v>4.71</v>
      </c>
      <c r="J56" s="5"/>
      <c r="K56" s="5"/>
      <c r="L56" s="36">
        <v>8.09</v>
      </c>
      <c r="M56" s="36">
        <v>16.2</v>
      </c>
      <c r="N56" s="36">
        <v>11</v>
      </c>
      <c r="O56" s="36">
        <v>2.39</v>
      </c>
      <c r="P56" s="36">
        <v>9.1300000000000008</v>
      </c>
      <c r="Q56" s="36">
        <v>12.1</v>
      </c>
      <c r="R56" s="36">
        <v>13</v>
      </c>
      <c r="S56" s="36">
        <v>25.4</v>
      </c>
      <c r="T56" s="36">
        <v>17.2</v>
      </c>
      <c r="U56" s="36">
        <v>3.37</v>
      </c>
      <c r="V56" s="36">
        <v>5.88</v>
      </c>
      <c r="W56" s="36">
        <v>9.4600000000000009</v>
      </c>
      <c r="X56" s="36">
        <v>6.83</v>
      </c>
      <c r="Y56" s="36">
        <v>10.5</v>
      </c>
      <c r="Z56" s="36">
        <v>5.59</v>
      </c>
      <c r="AA56" s="36">
        <v>1.19</v>
      </c>
      <c r="AB56" s="36">
        <v>6.19</v>
      </c>
      <c r="AC56" s="36">
        <v>3.8</v>
      </c>
      <c r="AD56" s="36">
        <v>6.35</v>
      </c>
      <c r="AE56" s="36">
        <v>0.26400000000000001</v>
      </c>
      <c r="AF56" s="36">
        <v>6.68</v>
      </c>
      <c r="AG56" s="36">
        <v>14</v>
      </c>
      <c r="AH56" s="36">
        <v>7.09</v>
      </c>
      <c r="AI56" s="36">
        <v>3.77</v>
      </c>
      <c r="AJ56" s="36">
        <v>8.19</v>
      </c>
      <c r="AK56" s="36">
        <v>13.6</v>
      </c>
      <c r="AL56" s="36">
        <v>4.7300000000000004</v>
      </c>
      <c r="AM56" s="36">
        <v>27.4</v>
      </c>
      <c r="AN56" s="36">
        <v>8.02</v>
      </c>
      <c r="AO56" s="36">
        <v>11.6</v>
      </c>
      <c r="AP56" s="36">
        <v>9.2799999999999994</v>
      </c>
      <c r="AQ56" s="36">
        <v>6.41</v>
      </c>
      <c r="AR56" s="36">
        <v>10.7</v>
      </c>
      <c r="AS56" s="36">
        <v>3.32</v>
      </c>
      <c r="AT56" s="36">
        <v>7.7</v>
      </c>
      <c r="AU56" s="36">
        <v>19.899999999999999</v>
      </c>
      <c r="AV56" s="36">
        <v>10.199999999999999</v>
      </c>
      <c r="AW56" s="36">
        <v>11.6</v>
      </c>
      <c r="AX56" s="36">
        <v>9.7100000000000009</v>
      </c>
      <c r="AY56" s="36">
        <v>11.8</v>
      </c>
      <c r="AZ56" s="5"/>
      <c r="BA56" s="36">
        <v>7.63</v>
      </c>
      <c r="BB56" s="36">
        <v>8</v>
      </c>
      <c r="BC56" s="36">
        <v>4.87</v>
      </c>
      <c r="BD56" s="36">
        <v>11</v>
      </c>
      <c r="BE56" s="36">
        <v>3.47</v>
      </c>
      <c r="BF56" s="36">
        <v>19.899999999999999</v>
      </c>
      <c r="BG56" s="36">
        <v>3.11</v>
      </c>
      <c r="BH56" s="36">
        <v>13.1</v>
      </c>
      <c r="BI56" s="5"/>
      <c r="BJ56" s="5"/>
      <c r="BK56" s="5"/>
      <c r="BL56" s="36">
        <v>6.04</v>
      </c>
      <c r="BM56" s="36">
        <v>10.6</v>
      </c>
      <c r="BN56" s="36">
        <v>6.28</v>
      </c>
      <c r="BO56" s="36">
        <v>10.7</v>
      </c>
      <c r="BP56" s="36">
        <v>6.28</v>
      </c>
      <c r="BQ56" s="36">
        <v>6.85</v>
      </c>
      <c r="BR56" s="36">
        <v>6.99</v>
      </c>
      <c r="BS56" s="36">
        <v>7.62</v>
      </c>
      <c r="BT56" s="36">
        <v>10.3</v>
      </c>
      <c r="BU56" s="36">
        <v>4.1500000000000004</v>
      </c>
      <c r="BV56" s="36">
        <v>11.6</v>
      </c>
      <c r="BW56" s="36">
        <v>15.8</v>
      </c>
      <c r="BX56" s="5"/>
      <c r="BY56" s="36">
        <v>7.92</v>
      </c>
      <c r="BZ56" s="36">
        <v>2.42</v>
      </c>
      <c r="CA56" s="46">
        <v>30.6</v>
      </c>
    </row>
    <row r="57" spans="1:79">
      <c r="A57" s="13" t="s">
        <v>189</v>
      </c>
      <c r="B57" s="35">
        <v>0.379</v>
      </c>
      <c r="C57" s="35">
        <v>4.3600000000000003</v>
      </c>
      <c r="D57" s="35">
        <v>1.18</v>
      </c>
      <c r="E57" s="35">
        <v>17.7</v>
      </c>
      <c r="F57" s="35">
        <v>0.78100000000000003</v>
      </c>
      <c r="G57" s="3"/>
      <c r="H57" s="35">
        <v>0.38700000000000001</v>
      </c>
      <c r="I57" s="35">
        <v>18.3</v>
      </c>
      <c r="J57" s="3"/>
      <c r="K57" s="3"/>
      <c r="L57" s="35">
        <v>0.76</v>
      </c>
      <c r="M57" s="35">
        <v>23.1</v>
      </c>
      <c r="N57" s="35">
        <v>0.871</v>
      </c>
      <c r="O57" s="35">
        <v>20.3</v>
      </c>
      <c r="P57" s="35">
        <v>0.22</v>
      </c>
      <c r="Q57" s="3"/>
      <c r="R57" s="35">
        <v>0.32300000000000001</v>
      </c>
      <c r="S57" s="3"/>
      <c r="T57" s="35">
        <v>0.41899999999999998</v>
      </c>
      <c r="U57" s="3"/>
      <c r="V57" s="35">
        <v>0.33500000000000002</v>
      </c>
      <c r="W57" s="35">
        <v>3.06</v>
      </c>
      <c r="X57" s="35">
        <v>0.499</v>
      </c>
      <c r="Y57" s="35">
        <v>33.6</v>
      </c>
      <c r="Z57" s="35">
        <v>0.31</v>
      </c>
      <c r="AA57" s="35">
        <v>6.44</v>
      </c>
      <c r="AB57" s="35">
        <v>0.30199999999999999</v>
      </c>
      <c r="AC57" s="35">
        <v>6.84</v>
      </c>
      <c r="AD57" s="35">
        <v>0.254</v>
      </c>
      <c r="AE57" s="35">
        <v>8.3699999999999992</v>
      </c>
      <c r="AF57" s="35">
        <v>0.48599999999999999</v>
      </c>
      <c r="AG57" s="35">
        <v>14.5</v>
      </c>
      <c r="AH57" s="35">
        <v>0.30199999999999999</v>
      </c>
      <c r="AI57" s="3"/>
      <c r="AJ57" s="35">
        <v>0.39300000000000002</v>
      </c>
      <c r="AK57" s="35">
        <v>9.07</v>
      </c>
      <c r="AL57" s="35">
        <v>0.44400000000000001</v>
      </c>
      <c r="AM57" s="35">
        <v>5.6</v>
      </c>
      <c r="AN57" s="35">
        <v>0.55600000000000005</v>
      </c>
      <c r="AO57" s="35">
        <v>1.79</v>
      </c>
      <c r="AP57" s="35">
        <v>0.55800000000000005</v>
      </c>
      <c r="AQ57" s="35">
        <v>19.600000000000001</v>
      </c>
      <c r="AR57" s="35">
        <v>0.60699999999999998</v>
      </c>
      <c r="AS57" s="35">
        <v>18.2</v>
      </c>
      <c r="AT57" s="35">
        <v>0.43</v>
      </c>
      <c r="AU57" s="35">
        <v>21.3</v>
      </c>
      <c r="AV57" s="35">
        <v>0.54200000000000004</v>
      </c>
      <c r="AW57" s="35">
        <v>23.6</v>
      </c>
      <c r="AX57" s="35">
        <v>0.49199999999999999</v>
      </c>
      <c r="AY57" s="35">
        <v>8.0299999999999994</v>
      </c>
      <c r="AZ57" s="3"/>
      <c r="BA57" s="35">
        <v>0.313</v>
      </c>
      <c r="BB57" s="35">
        <v>19.399999999999999</v>
      </c>
      <c r="BC57" s="35">
        <v>0.33100000000000002</v>
      </c>
      <c r="BD57" s="35">
        <v>15.3</v>
      </c>
      <c r="BE57" s="35">
        <v>0.159</v>
      </c>
      <c r="BF57" s="35">
        <v>20.2</v>
      </c>
      <c r="BG57" s="35">
        <v>7.2900000000000006E-2</v>
      </c>
      <c r="BH57" s="35">
        <v>21.1</v>
      </c>
      <c r="BI57" s="3"/>
      <c r="BJ57" s="3"/>
      <c r="BK57" s="3"/>
      <c r="BL57" s="35">
        <v>0.42099999999999999</v>
      </c>
      <c r="BM57" s="35">
        <v>1.99</v>
      </c>
      <c r="BN57" s="35">
        <v>0.42</v>
      </c>
      <c r="BO57" s="35">
        <v>4.78</v>
      </c>
      <c r="BP57" s="35">
        <v>0.52900000000000003</v>
      </c>
      <c r="BQ57" s="35">
        <v>28.2</v>
      </c>
      <c r="BR57" s="35">
        <v>0.38600000000000001</v>
      </c>
      <c r="BS57" s="35">
        <v>29.3</v>
      </c>
      <c r="BT57" s="35">
        <v>0.65</v>
      </c>
      <c r="BU57" s="35">
        <v>13.8</v>
      </c>
      <c r="BV57" s="35">
        <v>0.439</v>
      </c>
      <c r="BW57" s="35">
        <v>0</v>
      </c>
      <c r="BX57" s="3"/>
      <c r="BY57" s="35">
        <v>0.47399999999999998</v>
      </c>
      <c r="BZ57" s="35">
        <v>9.8599999999999993E-2</v>
      </c>
      <c r="CA57" s="45">
        <v>20.8</v>
      </c>
    </row>
    <row r="58" spans="1:79">
      <c r="A58" s="13" t="s">
        <v>190</v>
      </c>
      <c r="B58" s="36">
        <v>0.433</v>
      </c>
      <c r="C58" s="36">
        <v>9.5299999999999994</v>
      </c>
      <c r="D58" s="36">
        <v>1.27</v>
      </c>
      <c r="E58" s="36">
        <v>4.28</v>
      </c>
      <c r="F58" s="36">
        <v>1.23</v>
      </c>
      <c r="G58" s="36">
        <v>0</v>
      </c>
      <c r="H58" s="36">
        <v>0.48699999999999999</v>
      </c>
      <c r="I58" s="36">
        <v>8.4499999999999993</v>
      </c>
      <c r="J58" s="5"/>
      <c r="K58" s="5"/>
      <c r="L58" s="36">
        <v>0.83299999999999996</v>
      </c>
      <c r="M58" s="36">
        <v>12.9</v>
      </c>
      <c r="N58" s="36">
        <v>1.18</v>
      </c>
      <c r="O58" s="36">
        <v>1.43</v>
      </c>
      <c r="P58" s="36">
        <v>0.36599999999999999</v>
      </c>
      <c r="Q58" s="5"/>
      <c r="R58" s="36">
        <v>0.38300000000000001</v>
      </c>
      <c r="S58" s="5"/>
      <c r="T58" s="36">
        <v>0.42599999999999999</v>
      </c>
      <c r="U58" s="5"/>
      <c r="V58" s="36">
        <v>0.50600000000000001</v>
      </c>
      <c r="W58" s="36">
        <v>45.6</v>
      </c>
      <c r="X58" s="36">
        <v>0.78200000000000003</v>
      </c>
      <c r="Y58" s="36">
        <v>30.6</v>
      </c>
      <c r="Z58" s="36">
        <v>0.376</v>
      </c>
      <c r="AA58" s="36">
        <v>30.2</v>
      </c>
      <c r="AB58" s="36">
        <v>0.372</v>
      </c>
      <c r="AC58" s="36">
        <v>27.2</v>
      </c>
      <c r="AD58" s="36">
        <v>0.36399999999999999</v>
      </c>
      <c r="AE58" s="36">
        <v>19.8</v>
      </c>
      <c r="AF58" s="36">
        <v>0.95899999999999996</v>
      </c>
      <c r="AG58" s="36">
        <v>61.5</v>
      </c>
      <c r="AH58" s="36">
        <v>0.45800000000000002</v>
      </c>
      <c r="AI58" s="5"/>
      <c r="AJ58" s="36">
        <v>0.78100000000000003</v>
      </c>
      <c r="AK58" s="36">
        <v>27.5</v>
      </c>
      <c r="AL58" s="36">
        <v>0.45400000000000001</v>
      </c>
      <c r="AM58" s="36">
        <v>59</v>
      </c>
      <c r="AN58" s="36">
        <v>0.504</v>
      </c>
      <c r="AO58" s="36">
        <v>22.5</v>
      </c>
      <c r="AP58" s="36">
        <v>0.74199999999999999</v>
      </c>
      <c r="AQ58" s="36">
        <v>32.4</v>
      </c>
      <c r="AR58" s="36">
        <v>0.82499999999999996</v>
      </c>
      <c r="AS58" s="36">
        <v>12.9</v>
      </c>
      <c r="AT58" s="36">
        <v>0.70299999999999996</v>
      </c>
      <c r="AU58" s="36">
        <v>7.74</v>
      </c>
      <c r="AV58" s="36">
        <v>0.76500000000000001</v>
      </c>
      <c r="AW58" s="36">
        <v>19.100000000000001</v>
      </c>
      <c r="AX58" s="36">
        <v>0.70399999999999996</v>
      </c>
      <c r="AY58" s="36">
        <v>12.9</v>
      </c>
      <c r="AZ58" s="5"/>
      <c r="BA58" s="36">
        <v>0.39500000000000002</v>
      </c>
      <c r="BB58" s="36">
        <v>30.2</v>
      </c>
      <c r="BC58" s="36">
        <v>0.20699999999999999</v>
      </c>
      <c r="BD58" s="36">
        <v>44.2</v>
      </c>
      <c r="BE58" s="36">
        <v>2.1000000000000001E-2</v>
      </c>
      <c r="BF58" s="36">
        <v>9.69</v>
      </c>
      <c r="BG58" s="5"/>
      <c r="BH58" s="5"/>
      <c r="BI58" s="5"/>
      <c r="BJ58" s="5"/>
      <c r="BK58" s="5"/>
      <c r="BL58" s="36">
        <v>0.68100000000000005</v>
      </c>
      <c r="BM58" s="36">
        <v>24.4</v>
      </c>
      <c r="BN58" s="36">
        <v>0.54300000000000004</v>
      </c>
      <c r="BO58" s="36">
        <v>28.1</v>
      </c>
      <c r="BP58" s="36">
        <v>0.91400000000000003</v>
      </c>
      <c r="BQ58" s="36">
        <v>8.99</v>
      </c>
      <c r="BR58" s="36">
        <v>0.41399999999999998</v>
      </c>
      <c r="BS58" s="36">
        <v>39.4</v>
      </c>
      <c r="BT58" s="36">
        <v>1.64</v>
      </c>
      <c r="BU58" s="36">
        <v>3.06</v>
      </c>
      <c r="BV58" s="36">
        <v>0.55800000000000005</v>
      </c>
      <c r="BW58" s="36">
        <v>0</v>
      </c>
      <c r="BX58" s="5"/>
      <c r="BY58" s="36">
        <v>0.79200000000000004</v>
      </c>
      <c r="BZ58" s="36">
        <v>0.44900000000000001</v>
      </c>
      <c r="CA58" s="46">
        <v>56.7</v>
      </c>
    </row>
    <row r="59" spans="1:79">
      <c r="A59" s="13" t="s">
        <v>191</v>
      </c>
      <c r="B59" s="35">
        <v>2.0899999999999998E-2</v>
      </c>
      <c r="C59" s="35">
        <v>24</v>
      </c>
      <c r="D59" s="35">
        <v>0.27</v>
      </c>
      <c r="E59" s="35">
        <v>12.2</v>
      </c>
      <c r="F59" s="35">
        <v>0.20699999999999999</v>
      </c>
      <c r="G59" s="35">
        <v>53.7</v>
      </c>
      <c r="H59" s="35">
        <v>6.1699999999999998E-2</v>
      </c>
      <c r="I59" s="35">
        <v>83.2</v>
      </c>
      <c r="J59" s="3"/>
      <c r="K59" s="3"/>
      <c r="L59" s="35">
        <v>0.25</v>
      </c>
      <c r="M59" s="35">
        <v>24.7</v>
      </c>
      <c r="N59" s="35">
        <v>0.161</v>
      </c>
      <c r="O59" s="35">
        <v>7.38</v>
      </c>
      <c r="P59" s="35">
        <v>7.1599999999999997E-2</v>
      </c>
      <c r="Q59" s="35">
        <v>3.13</v>
      </c>
      <c r="R59" s="35">
        <v>9.8000000000000004E-2</v>
      </c>
      <c r="S59" s="35">
        <v>25.2</v>
      </c>
      <c r="T59" s="35">
        <v>0.125</v>
      </c>
      <c r="U59" s="35">
        <v>13.9</v>
      </c>
      <c r="V59" s="35">
        <v>7.3499999999999996E-2</v>
      </c>
      <c r="W59" s="35">
        <v>32.1</v>
      </c>
      <c r="X59" s="35">
        <v>6.8000000000000005E-2</v>
      </c>
      <c r="Y59" s="35">
        <v>12.8</v>
      </c>
      <c r="Z59" s="35">
        <v>1.8700000000000001E-2</v>
      </c>
      <c r="AA59" s="35">
        <v>35.1</v>
      </c>
      <c r="AB59" s="35">
        <v>2.47E-2</v>
      </c>
      <c r="AC59" s="35">
        <v>3.72</v>
      </c>
      <c r="AD59" s="35">
        <v>2.8899999999999999E-2</v>
      </c>
      <c r="AE59" s="35">
        <v>11.4</v>
      </c>
      <c r="AF59" s="35">
        <v>5.6500000000000002E-2</v>
      </c>
      <c r="AG59" s="35">
        <v>26.1</v>
      </c>
      <c r="AH59" s="35">
        <v>8.8599999999999998E-2</v>
      </c>
      <c r="AI59" s="35">
        <v>26.6</v>
      </c>
      <c r="AJ59" s="35">
        <v>8.9800000000000005E-2</v>
      </c>
      <c r="AK59" s="35">
        <v>31.7</v>
      </c>
      <c r="AL59" s="3"/>
      <c r="AM59" s="3"/>
      <c r="AN59" s="35">
        <v>7.0000000000000007E-2</v>
      </c>
      <c r="AO59" s="35">
        <v>4.4400000000000004</v>
      </c>
      <c r="AP59" s="35">
        <v>7.1800000000000003E-2</v>
      </c>
      <c r="AQ59" s="35">
        <v>4.74</v>
      </c>
      <c r="AR59" s="35">
        <v>7.0499999999999993E-2</v>
      </c>
      <c r="AS59" s="35">
        <v>45.5</v>
      </c>
      <c r="AT59" s="35">
        <v>8.9300000000000004E-2</v>
      </c>
      <c r="AU59" s="35">
        <v>18</v>
      </c>
      <c r="AV59" s="35">
        <v>0.1</v>
      </c>
      <c r="AW59" s="35">
        <v>29</v>
      </c>
      <c r="AX59" s="35">
        <v>0.105</v>
      </c>
      <c r="AY59" s="35">
        <v>3.26</v>
      </c>
      <c r="AZ59" s="3"/>
      <c r="BA59" s="35">
        <v>8.8199999999999997E-3</v>
      </c>
      <c r="BB59" s="35">
        <v>12.3</v>
      </c>
      <c r="BC59" s="35">
        <v>1.66E-2</v>
      </c>
      <c r="BD59" s="35">
        <v>24.3</v>
      </c>
      <c r="BE59" s="35">
        <v>3.4799999999999998E-2</v>
      </c>
      <c r="BF59" s="35">
        <v>28.2</v>
      </c>
      <c r="BG59" s="35">
        <v>2.6100000000000002E-2</v>
      </c>
      <c r="BH59" s="35">
        <v>18.399999999999999</v>
      </c>
      <c r="BI59" s="3"/>
      <c r="BJ59" s="3"/>
      <c r="BK59" s="3"/>
      <c r="BL59" s="35">
        <v>5.5300000000000002E-2</v>
      </c>
      <c r="BM59" s="35">
        <v>9.19</v>
      </c>
      <c r="BN59" s="35">
        <v>2.4500000000000001E-2</v>
      </c>
      <c r="BO59" s="35">
        <v>19.3</v>
      </c>
      <c r="BP59" s="35">
        <v>6.9500000000000006E-2</v>
      </c>
      <c r="BQ59" s="35">
        <v>12.8</v>
      </c>
      <c r="BR59" s="35">
        <v>3.7699999999999997E-2</v>
      </c>
      <c r="BS59" s="35">
        <v>22.3</v>
      </c>
      <c r="BT59" s="35">
        <v>0.2</v>
      </c>
      <c r="BU59" s="35">
        <v>17.600000000000001</v>
      </c>
      <c r="BV59" s="35">
        <v>9.4899999999999998E-2</v>
      </c>
      <c r="BW59" s="35">
        <v>24.4</v>
      </c>
      <c r="BX59" s="3"/>
      <c r="BY59" s="35">
        <v>8.0199999999999994E-2</v>
      </c>
      <c r="BZ59" s="35">
        <v>6.3399999999999998E-2</v>
      </c>
      <c r="CA59" s="45">
        <v>79</v>
      </c>
    </row>
    <row r="60" spans="1:79">
      <c r="A60" s="13" t="s">
        <v>192</v>
      </c>
      <c r="B60" s="36">
        <v>0.28199999999999997</v>
      </c>
      <c r="C60" s="36">
        <v>5.44</v>
      </c>
      <c r="D60" s="36">
        <v>0.43</v>
      </c>
      <c r="E60" s="36">
        <v>24.6</v>
      </c>
      <c r="F60" s="36">
        <v>0.46800000000000003</v>
      </c>
      <c r="G60" s="36">
        <v>32.200000000000003</v>
      </c>
      <c r="H60" s="36">
        <v>0.34899999999999998</v>
      </c>
      <c r="I60" s="36">
        <v>50.5</v>
      </c>
      <c r="J60" s="5"/>
      <c r="K60" s="5"/>
      <c r="L60" s="36">
        <v>0.43</v>
      </c>
      <c r="M60" s="36">
        <v>15.9</v>
      </c>
      <c r="N60" s="36">
        <v>0.44600000000000001</v>
      </c>
      <c r="O60" s="36">
        <v>29.3</v>
      </c>
      <c r="P60" s="36">
        <v>0.16800000000000001</v>
      </c>
      <c r="Q60" s="36">
        <v>29.8</v>
      </c>
      <c r="R60" s="36">
        <v>0.41399999999999998</v>
      </c>
      <c r="S60" s="36">
        <v>15.2</v>
      </c>
      <c r="T60" s="36">
        <v>0.28499999999999998</v>
      </c>
      <c r="U60" s="36">
        <v>5.41</v>
      </c>
      <c r="V60" s="36">
        <v>0.26900000000000002</v>
      </c>
      <c r="W60" s="36">
        <v>23.9</v>
      </c>
      <c r="X60" s="36">
        <v>0.218</v>
      </c>
      <c r="Y60" s="36">
        <v>45.4</v>
      </c>
      <c r="Z60" s="36">
        <v>0.26</v>
      </c>
      <c r="AA60" s="36">
        <v>10.7</v>
      </c>
      <c r="AB60" s="36">
        <v>0.253</v>
      </c>
      <c r="AC60" s="36">
        <v>10.6</v>
      </c>
      <c r="AD60" s="36">
        <v>0.26500000000000001</v>
      </c>
      <c r="AE60" s="36">
        <v>16.8</v>
      </c>
      <c r="AF60" s="36">
        <v>0.23599999999999999</v>
      </c>
      <c r="AG60" s="36">
        <v>30</v>
      </c>
      <c r="AH60" s="36">
        <v>0.32900000000000001</v>
      </c>
      <c r="AI60" s="36">
        <v>35.6</v>
      </c>
      <c r="AJ60" s="36">
        <v>0.21199999999999999</v>
      </c>
      <c r="AK60" s="36">
        <v>3.91</v>
      </c>
      <c r="AL60" s="36">
        <v>0.2</v>
      </c>
      <c r="AM60" s="36">
        <v>33.9</v>
      </c>
      <c r="AN60" s="36">
        <v>0.14599999999999999</v>
      </c>
      <c r="AO60" s="36">
        <v>19.600000000000001</v>
      </c>
      <c r="AP60" s="36">
        <v>0.223</v>
      </c>
      <c r="AQ60" s="36">
        <v>37.6</v>
      </c>
      <c r="AR60" s="36">
        <v>0.28999999999999998</v>
      </c>
      <c r="AS60" s="36">
        <v>55.7</v>
      </c>
      <c r="AT60" s="36">
        <v>0.28699999999999998</v>
      </c>
      <c r="AU60" s="36">
        <v>19.2</v>
      </c>
      <c r="AV60" s="36">
        <v>0.37</v>
      </c>
      <c r="AW60" s="36">
        <v>15.9</v>
      </c>
      <c r="AX60" s="36">
        <v>0.27700000000000002</v>
      </c>
      <c r="AY60" s="36">
        <v>4.55</v>
      </c>
      <c r="AZ60" s="5"/>
      <c r="BA60" s="36">
        <v>0.115</v>
      </c>
      <c r="BB60" s="36">
        <v>16.600000000000001</v>
      </c>
      <c r="BC60" s="36">
        <v>0.121</v>
      </c>
      <c r="BD60" s="36">
        <v>14.9</v>
      </c>
      <c r="BE60" s="36">
        <v>7.0000000000000007E-2</v>
      </c>
      <c r="BF60" s="36">
        <v>27</v>
      </c>
      <c r="BG60" s="36">
        <v>0.114</v>
      </c>
      <c r="BH60" s="36">
        <v>26.5</v>
      </c>
      <c r="BI60" s="5"/>
      <c r="BJ60" s="5"/>
      <c r="BK60" s="5"/>
      <c r="BL60" s="36">
        <v>0.23699999999999999</v>
      </c>
      <c r="BM60" s="36">
        <v>12.8</v>
      </c>
      <c r="BN60" s="36">
        <v>0.24199999999999999</v>
      </c>
      <c r="BO60" s="36">
        <v>6.22</v>
      </c>
      <c r="BP60" s="36">
        <v>0.24199999999999999</v>
      </c>
      <c r="BQ60" s="36">
        <v>28.5</v>
      </c>
      <c r="BR60" s="36">
        <v>0.106</v>
      </c>
      <c r="BS60" s="36">
        <v>19.399999999999999</v>
      </c>
      <c r="BT60" s="36">
        <v>0.3</v>
      </c>
      <c r="BU60" s="36">
        <v>9.6999999999999993</v>
      </c>
      <c r="BV60" s="36">
        <v>0.23400000000000001</v>
      </c>
      <c r="BW60" s="36">
        <v>24.9</v>
      </c>
      <c r="BX60" s="5"/>
      <c r="BY60" s="36">
        <v>0.22700000000000001</v>
      </c>
      <c r="BZ60" s="36">
        <v>6.4299999999999996E-2</v>
      </c>
      <c r="CA60" s="46">
        <v>28.3</v>
      </c>
    </row>
    <row r="61" spans="1:79">
      <c r="A61" s="13" t="s">
        <v>194</v>
      </c>
      <c r="B61" s="35">
        <v>4.4499999999999998E-2</v>
      </c>
      <c r="C61" s="35">
        <v>23.3</v>
      </c>
      <c r="D61" s="35">
        <v>0.222</v>
      </c>
      <c r="E61" s="35">
        <v>40.1</v>
      </c>
      <c r="F61" s="35">
        <v>0.20899999999999999</v>
      </c>
      <c r="G61" s="35">
        <v>16.7</v>
      </c>
      <c r="H61" s="35">
        <v>0.183</v>
      </c>
      <c r="I61" s="35">
        <v>8.15</v>
      </c>
      <c r="J61" s="3"/>
      <c r="K61" s="3"/>
      <c r="L61" s="35">
        <v>0.13300000000000001</v>
      </c>
      <c r="M61" s="35">
        <v>39.299999999999997</v>
      </c>
      <c r="N61" s="35">
        <v>0.126</v>
      </c>
      <c r="O61" s="35">
        <v>26.3</v>
      </c>
      <c r="P61" s="35">
        <v>0.159</v>
      </c>
      <c r="Q61" s="35">
        <v>9.58</v>
      </c>
      <c r="R61" s="35">
        <v>0.20100000000000001</v>
      </c>
      <c r="S61" s="35">
        <v>31.8</v>
      </c>
      <c r="T61" s="35">
        <v>0.13300000000000001</v>
      </c>
      <c r="U61" s="35">
        <v>45.1</v>
      </c>
      <c r="V61" s="35">
        <v>8.9800000000000005E-2</v>
      </c>
      <c r="W61" s="35">
        <v>12.6</v>
      </c>
      <c r="X61" s="35">
        <v>0.115</v>
      </c>
      <c r="Y61" s="35">
        <v>2.67</v>
      </c>
      <c r="Z61" s="35">
        <v>4.8399999999999999E-2</v>
      </c>
      <c r="AA61" s="35">
        <v>35.700000000000003</v>
      </c>
      <c r="AB61" s="35">
        <v>5.21E-2</v>
      </c>
      <c r="AC61" s="35">
        <v>41.8</v>
      </c>
      <c r="AD61" s="35">
        <v>4.9200000000000001E-2</v>
      </c>
      <c r="AE61" s="35">
        <v>40</v>
      </c>
      <c r="AF61" s="35">
        <v>0.127</v>
      </c>
      <c r="AG61" s="35">
        <v>27.3</v>
      </c>
      <c r="AH61" s="35">
        <v>0.24399999999999999</v>
      </c>
      <c r="AI61" s="35">
        <v>40.4</v>
      </c>
      <c r="AJ61" s="3"/>
      <c r="AK61" s="3"/>
      <c r="AL61" s="35">
        <v>6.4899999999999999E-2</v>
      </c>
      <c r="AM61" s="35">
        <v>49.5</v>
      </c>
      <c r="AN61" s="35">
        <v>5.1499999999999997E-2</v>
      </c>
      <c r="AO61" s="35">
        <v>32.700000000000003</v>
      </c>
      <c r="AP61" s="35">
        <v>6.5699999999999995E-2</v>
      </c>
      <c r="AQ61" s="35">
        <v>13.9</v>
      </c>
      <c r="AR61" s="35">
        <v>5.3699999999999998E-2</v>
      </c>
      <c r="AS61" s="35">
        <v>10.5</v>
      </c>
      <c r="AT61" s="35">
        <v>6.83E-2</v>
      </c>
      <c r="AU61" s="35">
        <v>41</v>
      </c>
      <c r="AV61" s="35">
        <v>9.7199999999999995E-2</v>
      </c>
      <c r="AW61" s="35">
        <v>27.3</v>
      </c>
      <c r="AX61" s="35">
        <v>7.4700000000000003E-2</v>
      </c>
      <c r="AY61" s="35">
        <v>49.1</v>
      </c>
      <c r="AZ61" s="3"/>
      <c r="BA61" s="35">
        <v>3.2099999999999997E-2</v>
      </c>
      <c r="BB61" s="35">
        <v>47.6</v>
      </c>
      <c r="BC61" s="35">
        <v>2.52E-2</v>
      </c>
      <c r="BD61" s="35">
        <v>4.29</v>
      </c>
      <c r="BE61" s="35">
        <v>4.4299999999999999E-2</v>
      </c>
      <c r="BF61" s="35">
        <v>10.4</v>
      </c>
      <c r="BG61" s="35">
        <v>8.6800000000000002E-2</v>
      </c>
      <c r="BH61" s="35">
        <v>14.7</v>
      </c>
      <c r="BI61" s="3"/>
      <c r="BJ61" s="3"/>
      <c r="BK61" s="3"/>
      <c r="BL61" s="35">
        <v>4.4400000000000002E-2</v>
      </c>
      <c r="BM61" s="35">
        <v>35.799999999999997</v>
      </c>
      <c r="BN61" s="35">
        <v>5.57E-2</v>
      </c>
      <c r="BO61" s="35">
        <v>19</v>
      </c>
      <c r="BP61" s="35">
        <v>0.108</v>
      </c>
      <c r="BQ61" s="35">
        <v>67.900000000000006</v>
      </c>
      <c r="BR61" s="35">
        <v>2.5899999999999999E-2</v>
      </c>
      <c r="BS61" s="35">
        <v>20.8</v>
      </c>
      <c r="BT61" s="35">
        <v>0.127</v>
      </c>
      <c r="BU61" s="35">
        <v>14</v>
      </c>
      <c r="BV61" s="35">
        <v>0.16300000000000001</v>
      </c>
      <c r="BW61" s="35">
        <v>21</v>
      </c>
      <c r="BX61" s="3"/>
      <c r="BY61" s="35">
        <v>8.7400000000000005E-2</v>
      </c>
      <c r="BZ61" s="35">
        <v>5.3600000000000002E-2</v>
      </c>
      <c r="CA61" s="45">
        <v>61.4</v>
      </c>
    </row>
    <row r="62" spans="1:79">
      <c r="A62" s="13" t="s">
        <v>195</v>
      </c>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16"/>
    </row>
    <row r="63" spans="1:79">
      <c r="A63" s="13" t="s">
        <v>196</v>
      </c>
      <c r="B63" s="35">
        <v>6.9699999999999996E-3</v>
      </c>
      <c r="C63" s="35">
        <v>28.6</v>
      </c>
      <c r="D63" s="35">
        <v>5.0099999999999999E-2</v>
      </c>
      <c r="E63" s="35">
        <v>29.7</v>
      </c>
      <c r="F63" s="35">
        <v>3.9600000000000003E-2</v>
      </c>
      <c r="G63" s="35">
        <v>32.1</v>
      </c>
      <c r="H63" s="35">
        <v>7.4399999999999994E-2</v>
      </c>
      <c r="I63" s="35">
        <v>12.8</v>
      </c>
      <c r="J63" s="3"/>
      <c r="K63" s="3"/>
      <c r="L63" s="35">
        <v>2.5399999999999999E-2</v>
      </c>
      <c r="M63" s="35">
        <v>27.6</v>
      </c>
      <c r="N63" s="35">
        <v>5.57E-2</v>
      </c>
      <c r="O63" s="35">
        <v>52.3</v>
      </c>
      <c r="P63" s="35">
        <v>7.2300000000000003E-2</v>
      </c>
      <c r="Q63" s="35">
        <v>94.1</v>
      </c>
      <c r="R63" s="35">
        <v>2.2800000000000001E-2</v>
      </c>
      <c r="S63" s="35">
        <v>23.8</v>
      </c>
      <c r="T63" s="35">
        <v>3.1800000000000002E-2</v>
      </c>
      <c r="U63" s="35">
        <v>25.7</v>
      </c>
      <c r="V63" s="35">
        <v>2.2800000000000001E-2</v>
      </c>
      <c r="W63" s="35">
        <v>42.3</v>
      </c>
      <c r="X63" s="35">
        <v>1.14E-2</v>
      </c>
      <c r="Y63" s="35">
        <v>24.1</v>
      </c>
      <c r="Z63" s="35">
        <v>9.1699999999999993E-3</v>
      </c>
      <c r="AA63" s="35">
        <v>56</v>
      </c>
      <c r="AB63" s="35">
        <v>8.4700000000000001E-3</v>
      </c>
      <c r="AC63" s="35">
        <v>63.4</v>
      </c>
      <c r="AD63" s="35">
        <v>7.7499999999999999E-3</v>
      </c>
      <c r="AE63" s="35">
        <v>65.599999999999994</v>
      </c>
      <c r="AF63" s="35">
        <v>2.7900000000000001E-2</v>
      </c>
      <c r="AG63" s="35">
        <v>52</v>
      </c>
      <c r="AH63" s="35">
        <v>2.1299999999999999E-2</v>
      </c>
      <c r="AI63" s="35">
        <v>23.8</v>
      </c>
      <c r="AJ63" s="35">
        <v>1.9599999999999999E-2</v>
      </c>
      <c r="AK63" s="35">
        <v>68.5</v>
      </c>
      <c r="AL63" s="35">
        <v>5.0999999999999997E-2</v>
      </c>
      <c r="AM63" s="35">
        <v>15.6</v>
      </c>
      <c r="AN63" s="35">
        <v>2.5700000000000001E-2</v>
      </c>
      <c r="AO63" s="35">
        <v>38.4</v>
      </c>
      <c r="AP63" s="35">
        <v>3.27E-2</v>
      </c>
      <c r="AQ63" s="35">
        <v>23.5</v>
      </c>
      <c r="AR63" s="35">
        <v>2.35E-2</v>
      </c>
      <c r="AS63" s="35">
        <v>11.9</v>
      </c>
      <c r="AT63" s="35">
        <v>2.06E-2</v>
      </c>
      <c r="AU63" s="35">
        <v>51</v>
      </c>
      <c r="AV63" s="35">
        <v>0.03</v>
      </c>
      <c r="AW63" s="35">
        <v>51.5</v>
      </c>
      <c r="AX63" s="35">
        <v>1.2999999999999999E-2</v>
      </c>
      <c r="AY63" s="35">
        <v>35.5</v>
      </c>
      <c r="AZ63" s="3"/>
      <c r="BA63" s="35">
        <v>1.34E-2</v>
      </c>
      <c r="BB63" s="35">
        <v>28.5</v>
      </c>
      <c r="BC63" s="35">
        <v>5.6299999999999996E-3</v>
      </c>
      <c r="BD63" s="35">
        <v>43.8</v>
      </c>
      <c r="BE63" s="35">
        <v>1.6199999999999999E-2</v>
      </c>
      <c r="BF63" s="35">
        <v>31.5</v>
      </c>
      <c r="BG63" s="35">
        <v>3.7600000000000001E-2</v>
      </c>
      <c r="BH63" s="35">
        <v>28.3</v>
      </c>
      <c r="BI63" s="3"/>
      <c r="BJ63" s="3"/>
      <c r="BK63" s="3"/>
      <c r="BL63" s="35">
        <v>1.2800000000000001E-2</v>
      </c>
      <c r="BM63" s="35">
        <v>10.6</v>
      </c>
      <c r="BN63" s="35">
        <v>1.7000000000000001E-2</v>
      </c>
      <c r="BO63" s="35">
        <v>4.0599999999999996</v>
      </c>
      <c r="BP63" s="35">
        <v>1.37E-2</v>
      </c>
      <c r="BQ63" s="35">
        <v>0.45800000000000002</v>
      </c>
      <c r="BR63" s="35">
        <v>2.1999999999999999E-2</v>
      </c>
      <c r="BS63" s="35">
        <v>38.700000000000003</v>
      </c>
      <c r="BT63" s="35">
        <v>4.24E-2</v>
      </c>
      <c r="BU63" s="35">
        <v>56.6</v>
      </c>
      <c r="BV63" s="35">
        <v>3.2899999999999999E-2</v>
      </c>
      <c r="BW63" s="35">
        <v>24.7</v>
      </c>
      <c r="BX63" s="3"/>
      <c r="BY63" s="35">
        <v>2.35E-2</v>
      </c>
      <c r="BZ63" s="35">
        <v>1.18E-2</v>
      </c>
      <c r="CA63" s="45">
        <v>50.4</v>
      </c>
    </row>
    <row r="64" spans="1:79">
      <c r="A64" s="13" t="s">
        <v>197</v>
      </c>
      <c r="B64" s="36">
        <v>1.23</v>
      </c>
      <c r="C64" s="36">
        <v>18.3</v>
      </c>
      <c r="D64" s="36">
        <v>0.83799999999999997</v>
      </c>
      <c r="E64" s="36">
        <v>45.8</v>
      </c>
      <c r="F64" s="36">
        <v>1.2</v>
      </c>
      <c r="G64" s="36">
        <v>21.6</v>
      </c>
      <c r="H64" s="36">
        <v>0.58799999999999997</v>
      </c>
      <c r="I64" s="36">
        <v>22.8</v>
      </c>
      <c r="J64" s="5"/>
      <c r="K64" s="5"/>
      <c r="L64" s="36">
        <v>0.85799999999999998</v>
      </c>
      <c r="M64" s="36">
        <v>34.200000000000003</v>
      </c>
      <c r="N64" s="36">
        <v>0.84099999999999997</v>
      </c>
      <c r="O64" s="36">
        <v>2.23</v>
      </c>
      <c r="P64" s="36">
        <v>0.63100000000000001</v>
      </c>
      <c r="Q64" s="36">
        <v>37.6</v>
      </c>
      <c r="R64" s="36">
        <v>0.85899999999999999</v>
      </c>
      <c r="S64" s="36">
        <v>23.4</v>
      </c>
      <c r="T64" s="36">
        <v>0.79500000000000004</v>
      </c>
      <c r="U64" s="36">
        <v>10.1</v>
      </c>
      <c r="V64" s="36">
        <v>0.65200000000000002</v>
      </c>
      <c r="W64" s="36">
        <v>37.5</v>
      </c>
      <c r="X64" s="36">
        <v>0.69699999999999995</v>
      </c>
      <c r="Y64" s="36">
        <v>46.8</v>
      </c>
      <c r="Z64" s="36">
        <v>1.1499999999999999</v>
      </c>
      <c r="AA64" s="36">
        <v>26.5</v>
      </c>
      <c r="AB64" s="36">
        <v>1.1399999999999999</v>
      </c>
      <c r="AC64" s="36">
        <v>5.54</v>
      </c>
      <c r="AD64" s="36">
        <v>1.0900000000000001</v>
      </c>
      <c r="AE64" s="36">
        <v>9.77</v>
      </c>
      <c r="AF64" s="36">
        <v>0.71399999999999997</v>
      </c>
      <c r="AG64" s="36">
        <v>41.7</v>
      </c>
      <c r="AH64" s="36">
        <v>0.70499999999999996</v>
      </c>
      <c r="AI64" s="36">
        <v>12.1</v>
      </c>
      <c r="AJ64" s="36">
        <v>0.79</v>
      </c>
      <c r="AK64" s="36">
        <v>10.4</v>
      </c>
      <c r="AL64" s="36">
        <v>0.872</v>
      </c>
      <c r="AM64" s="36">
        <v>7.6</v>
      </c>
      <c r="AN64" s="36">
        <v>0.54100000000000004</v>
      </c>
      <c r="AO64" s="36">
        <v>22.2</v>
      </c>
      <c r="AP64" s="36">
        <v>0.77</v>
      </c>
      <c r="AQ64" s="36">
        <v>0.56499999999999995</v>
      </c>
      <c r="AR64" s="36">
        <v>1.06</v>
      </c>
      <c r="AS64" s="36">
        <v>5.39</v>
      </c>
      <c r="AT64" s="36">
        <v>0.51700000000000002</v>
      </c>
      <c r="AU64" s="36">
        <v>39.299999999999997</v>
      </c>
      <c r="AV64" s="36">
        <v>0.82099999999999995</v>
      </c>
      <c r="AW64" s="36">
        <v>22</v>
      </c>
      <c r="AX64" s="36">
        <v>0.873</v>
      </c>
      <c r="AY64" s="36">
        <v>17.2</v>
      </c>
      <c r="AZ64" s="5"/>
      <c r="BA64" s="36">
        <v>1.47</v>
      </c>
      <c r="BB64" s="36">
        <v>14.6</v>
      </c>
      <c r="BC64" s="36">
        <v>1.05</v>
      </c>
      <c r="BD64" s="36">
        <v>7.22</v>
      </c>
      <c r="BE64" s="36">
        <v>1.73</v>
      </c>
      <c r="BF64" s="36">
        <v>16.8</v>
      </c>
      <c r="BG64" s="36">
        <v>1.36</v>
      </c>
      <c r="BH64" s="36">
        <v>9.0399999999999991</v>
      </c>
      <c r="BI64" s="5"/>
      <c r="BJ64" s="5"/>
      <c r="BK64" s="5"/>
      <c r="BL64" s="36">
        <v>0.98799999999999999</v>
      </c>
      <c r="BM64" s="36">
        <v>57.7</v>
      </c>
      <c r="BN64" s="36">
        <v>0.86799999999999999</v>
      </c>
      <c r="BO64" s="36">
        <v>11.9</v>
      </c>
      <c r="BP64" s="36">
        <v>0.48899999999999999</v>
      </c>
      <c r="BQ64" s="36">
        <v>61.8</v>
      </c>
      <c r="BR64" s="36">
        <v>1.56</v>
      </c>
      <c r="BS64" s="36">
        <v>16.600000000000001</v>
      </c>
      <c r="BT64" s="36">
        <v>0.76300000000000001</v>
      </c>
      <c r="BU64" s="36">
        <v>38.4</v>
      </c>
      <c r="BV64" s="36">
        <v>0.86599999999999999</v>
      </c>
      <c r="BW64" s="36">
        <v>16.899999999999999</v>
      </c>
      <c r="BX64" s="5"/>
      <c r="BY64" s="36">
        <v>0.92200000000000004</v>
      </c>
      <c r="BZ64" s="36">
        <v>0.35399999999999998</v>
      </c>
      <c r="CA64" s="46">
        <v>38.4</v>
      </c>
    </row>
    <row r="65" spans="1:79">
      <c r="A65" s="13" t="s">
        <v>198</v>
      </c>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14"/>
    </row>
    <row r="66" spans="1:79">
      <c r="A66" s="13" t="s">
        <v>200</v>
      </c>
      <c r="B66" s="36">
        <v>0.23899999999999999</v>
      </c>
      <c r="C66" s="36">
        <v>32.299999999999997</v>
      </c>
      <c r="D66" s="36">
        <v>0.16800000000000001</v>
      </c>
      <c r="E66" s="36">
        <v>11</v>
      </c>
      <c r="F66" s="36">
        <v>0.27500000000000002</v>
      </c>
      <c r="G66" s="36">
        <v>29.5</v>
      </c>
      <c r="H66" s="36">
        <v>7.9699999999999993E-2</v>
      </c>
      <c r="I66" s="36">
        <v>11.8</v>
      </c>
      <c r="J66" s="5"/>
      <c r="K66" s="5"/>
      <c r="L66" s="36">
        <v>0.10199999999999999</v>
      </c>
      <c r="M66" s="36">
        <v>42.1</v>
      </c>
      <c r="N66" s="36">
        <v>0.129</v>
      </c>
      <c r="O66" s="36">
        <v>1.99</v>
      </c>
      <c r="P66" s="36">
        <v>0.155</v>
      </c>
      <c r="Q66" s="36">
        <v>14.4</v>
      </c>
      <c r="R66" s="36">
        <v>0.20799999999999999</v>
      </c>
      <c r="S66" s="36">
        <v>18</v>
      </c>
      <c r="T66" s="36">
        <v>0.22700000000000001</v>
      </c>
      <c r="U66" s="36">
        <v>11</v>
      </c>
      <c r="V66" s="36">
        <v>8.3500000000000005E-2</v>
      </c>
      <c r="W66" s="36">
        <v>16.399999999999999</v>
      </c>
      <c r="X66" s="36">
        <v>8.1299999999999997E-2</v>
      </c>
      <c r="Y66" s="36">
        <v>26.3</v>
      </c>
      <c r="Z66" s="36">
        <v>0.30399999999999999</v>
      </c>
      <c r="AA66" s="36">
        <v>33.6</v>
      </c>
      <c r="AB66" s="36">
        <v>0.247</v>
      </c>
      <c r="AC66" s="36">
        <v>33.200000000000003</v>
      </c>
      <c r="AD66" s="36">
        <v>0.23</v>
      </c>
      <c r="AE66" s="36">
        <v>23.7</v>
      </c>
      <c r="AF66" s="36">
        <v>0.106</v>
      </c>
      <c r="AG66" s="36">
        <v>1.84</v>
      </c>
      <c r="AH66" s="36">
        <v>0.13</v>
      </c>
      <c r="AI66" s="36">
        <v>14.4</v>
      </c>
      <c r="AJ66" s="36">
        <v>0.121</v>
      </c>
      <c r="AK66" s="36">
        <v>0.98199999999999998</v>
      </c>
      <c r="AL66" s="36">
        <v>0.52200000000000002</v>
      </c>
      <c r="AM66" s="36">
        <v>29.4</v>
      </c>
      <c r="AN66" s="36">
        <v>9.8000000000000004E-2</v>
      </c>
      <c r="AO66" s="36">
        <v>21</v>
      </c>
      <c r="AP66" s="36">
        <v>5.3900000000000003E-2</v>
      </c>
      <c r="AQ66" s="36">
        <v>31.9</v>
      </c>
      <c r="AR66" s="36">
        <v>4.3900000000000002E-2</v>
      </c>
      <c r="AS66" s="36">
        <v>9.1</v>
      </c>
      <c r="AT66" s="36">
        <v>7.1300000000000002E-2</v>
      </c>
      <c r="AU66" s="36">
        <v>8.7100000000000009</v>
      </c>
      <c r="AV66" s="36">
        <v>6.8500000000000005E-2</v>
      </c>
      <c r="AW66" s="36">
        <v>17.7</v>
      </c>
      <c r="AX66" s="36">
        <v>5.6899999999999999E-2</v>
      </c>
      <c r="AY66" s="36">
        <v>12.8</v>
      </c>
      <c r="AZ66" s="5"/>
      <c r="BA66" s="36">
        <v>0.111</v>
      </c>
      <c r="BB66" s="36">
        <v>42.7</v>
      </c>
      <c r="BC66" s="36">
        <v>0.121</v>
      </c>
      <c r="BD66" s="36">
        <v>47.4</v>
      </c>
      <c r="BE66" s="36">
        <v>0.161</v>
      </c>
      <c r="BF66" s="36">
        <v>19.3</v>
      </c>
      <c r="BG66" s="36">
        <v>0.59099999999999997</v>
      </c>
      <c r="BH66" s="36">
        <v>24.4</v>
      </c>
      <c r="BI66" s="5"/>
      <c r="BJ66" s="5"/>
      <c r="BK66" s="5"/>
      <c r="BL66" s="36">
        <v>8.7400000000000005E-2</v>
      </c>
      <c r="BM66" s="36">
        <v>41.9</v>
      </c>
      <c r="BN66" s="36">
        <v>0.184</v>
      </c>
      <c r="BO66" s="36">
        <v>41.2</v>
      </c>
      <c r="BP66" s="36">
        <v>6.6500000000000004E-2</v>
      </c>
      <c r="BQ66" s="36">
        <v>21.8</v>
      </c>
      <c r="BR66" s="36">
        <v>0.17799999999999999</v>
      </c>
      <c r="BS66" s="36">
        <v>27.8</v>
      </c>
      <c r="BT66" s="36">
        <v>9.8900000000000002E-2</v>
      </c>
      <c r="BU66" s="36">
        <v>34.799999999999997</v>
      </c>
      <c r="BV66" s="36">
        <v>0.215</v>
      </c>
      <c r="BW66" s="36">
        <v>10.7</v>
      </c>
      <c r="BX66" s="5"/>
      <c r="BY66" s="36">
        <v>0.13800000000000001</v>
      </c>
      <c r="BZ66" s="36">
        <v>6.1400000000000003E-2</v>
      </c>
      <c r="CA66" s="46">
        <v>44.4</v>
      </c>
    </row>
    <row r="67" spans="1:79">
      <c r="A67" s="13" t="s">
        <v>201</v>
      </c>
      <c r="B67" s="35">
        <v>4.07E-2</v>
      </c>
      <c r="C67" s="35">
        <v>6.82</v>
      </c>
      <c r="D67" s="35">
        <v>0.19900000000000001</v>
      </c>
      <c r="E67" s="35">
        <v>15.5</v>
      </c>
      <c r="F67" s="35">
        <v>0.26</v>
      </c>
      <c r="G67" s="35">
        <v>8.69</v>
      </c>
      <c r="H67" s="35">
        <v>0.14799999999999999</v>
      </c>
      <c r="I67" s="35">
        <v>12.4</v>
      </c>
      <c r="J67" s="3"/>
      <c r="K67" s="3"/>
      <c r="L67" s="35">
        <v>0.126</v>
      </c>
      <c r="M67" s="35">
        <v>27.5</v>
      </c>
      <c r="N67" s="35">
        <v>0.13600000000000001</v>
      </c>
      <c r="O67" s="35">
        <v>53.3</v>
      </c>
      <c r="P67" s="35">
        <v>0.157</v>
      </c>
      <c r="Q67" s="35">
        <v>3.42</v>
      </c>
      <c r="R67" s="35">
        <v>0.21299999999999999</v>
      </c>
      <c r="S67" s="35">
        <v>25.5</v>
      </c>
      <c r="T67" s="35">
        <v>0.23799999999999999</v>
      </c>
      <c r="U67" s="35">
        <v>40.9</v>
      </c>
      <c r="V67" s="35">
        <v>0.16800000000000001</v>
      </c>
      <c r="W67" s="35">
        <v>13.2</v>
      </c>
      <c r="X67" s="35">
        <v>0.182</v>
      </c>
      <c r="Y67" s="35">
        <v>56.8</v>
      </c>
      <c r="Z67" s="35">
        <v>3.0599999999999999E-2</v>
      </c>
      <c r="AA67" s="35">
        <v>10.199999999999999</v>
      </c>
      <c r="AB67" s="35">
        <v>2.47E-2</v>
      </c>
      <c r="AC67" s="35">
        <v>6.49</v>
      </c>
      <c r="AD67" s="35">
        <v>3.3399999999999999E-2</v>
      </c>
      <c r="AE67" s="35">
        <v>1.34</v>
      </c>
      <c r="AF67" s="35">
        <v>0.14699999999999999</v>
      </c>
      <c r="AG67" s="35">
        <v>21.7</v>
      </c>
      <c r="AH67" s="35">
        <v>0.17899999999999999</v>
      </c>
      <c r="AI67" s="35">
        <v>12.9</v>
      </c>
      <c r="AJ67" s="35">
        <v>9.1999999999999998E-2</v>
      </c>
      <c r="AK67" s="35">
        <v>28.9</v>
      </c>
      <c r="AL67" s="35">
        <v>0.124</v>
      </c>
      <c r="AM67" s="35">
        <v>14.6</v>
      </c>
      <c r="AN67" s="35">
        <v>7.1999999999999995E-2</v>
      </c>
      <c r="AO67" s="35">
        <v>15.2</v>
      </c>
      <c r="AP67" s="35">
        <v>9.1200000000000003E-2</v>
      </c>
      <c r="AQ67" s="35">
        <v>25.4</v>
      </c>
      <c r="AR67" s="35">
        <v>0.11700000000000001</v>
      </c>
      <c r="AS67" s="35">
        <v>1.22</v>
      </c>
      <c r="AT67" s="35">
        <v>9.7699999999999995E-2</v>
      </c>
      <c r="AU67" s="35">
        <v>2.19</v>
      </c>
      <c r="AV67" s="35">
        <v>0.1</v>
      </c>
      <c r="AW67" s="35">
        <v>9.98</v>
      </c>
      <c r="AX67" s="35">
        <v>0.11899999999999999</v>
      </c>
      <c r="AY67" s="35">
        <v>15.4</v>
      </c>
      <c r="AZ67" s="3"/>
      <c r="BA67" s="35">
        <v>4.5499999999999999E-2</v>
      </c>
      <c r="BB67" s="35">
        <v>19.7</v>
      </c>
      <c r="BC67" s="35">
        <v>1.6899999999999998E-2</v>
      </c>
      <c r="BD67" s="35">
        <v>49.8</v>
      </c>
      <c r="BE67" s="35">
        <v>2.4400000000000002E-2</v>
      </c>
      <c r="BF67" s="35">
        <v>31.3</v>
      </c>
      <c r="BG67" s="35">
        <v>4.7199999999999999E-2</v>
      </c>
      <c r="BH67" s="35">
        <v>56.8</v>
      </c>
      <c r="BI67" s="3"/>
      <c r="BJ67" s="3"/>
      <c r="BK67" s="3"/>
      <c r="BL67" s="35">
        <v>0.10100000000000001</v>
      </c>
      <c r="BM67" s="35">
        <v>32.6</v>
      </c>
      <c r="BN67" s="35">
        <v>5.5800000000000002E-2</v>
      </c>
      <c r="BO67" s="35">
        <v>31.3</v>
      </c>
      <c r="BP67" s="35">
        <v>0.13</v>
      </c>
      <c r="BQ67" s="35">
        <v>28.1</v>
      </c>
      <c r="BR67" s="35">
        <v>3.3099999999999997E-2</v>
      </c>
      <c r="BS67" s="35">
        <v>29</v>
      </c>
      <c r="BT67" s="35">
        <v>0.2</v>
      </c>
      <c r="BU67" s="35">
        <v>18.600000000000001</v>
      </c>
      <c r="BV67" s="35">
        <v>0.20200000000000001</v>
      </c>
      <c r="BW67" s="35">
        <v>17.899999999999999</v>
      </c>
      <c r="BX67" s="3"/>
      <c r="BY67" s="35">
        <v>0.12</v>
      </c>
      <c r="BZ67" s="35">
        <v>7.0900000000000005E-2</v>
      </c>
      <c r="CA67" s="45">
        <v>59</v>
      </c>
    </row>
    <row r="68" spans="1:79">
      <c r="A68" s="13" t="s">
        <v>202</v>
      </c>
      <c r="B68" s="36">
        <v>1.18</v>
      </c>
      <c r="C68" s="36">
        <v>7.02</v>
      </c>
      <c r="D68" s="36">
        <v>1.62</v>
      </c>
      <c r="E68" s="36">
        <v>23</v>
      </c>
      <c r="F68" s="36">
        <v>1.82</v>
      </c>
      <c r="G68" s="36">
        <v>19.7</v>
      </c>
      <c r="H68" s="36">
        <v>2.19</v>
      </c>
      <c r="I68" s="36">
        <v>8.7899999999999991</v>
      </c>
      <c r="J68" s="5"/>
      <c r="K68" s="5"/>
      <c r="L68" s="36">
        <v>2.17</v>
      </c>
      <c r="M68" s="36">
        <v>19.3</v>
      </c>
      <c r="N68" s="36">
        <v>1.52</v>
      </c>
      <c r="O68" s="36">
        <v>11.2</v>
      </c>
      <c r="P68" s="36">
        <v>0.67700000000000005</v>
      </c>
      <c r="Q68" s="36">
        <v>7.93</v>
      </c>
      <c r="R68" s="36">
        <v>0.97399999999999998</v>
      </c>
      <c r="S68" s="36">
        <v>16.600000000000001</v>
      </c>
      <c r="T68" s="36">
        <v>0.78200000000000003</v>
      </c>
      <c r="U68" s="36">
        <v>3.08</v>
      </c>
      <c r="V68" s="36">
        <v>0.27</v>
      </c>
      <c r="W68" s="36">
        <v>37.799999999999997</v>
      </c>
      <c r="X68" s="36">
        <v>0.25</v>
      </c>
      <c r="Y68" s="36">
        <v>40.1</v>
      </c>
      <c r="Z68" s="36">
        <v>1.23</v>
      </c>
      <c r="AA68" s="36">
        <v>9.91</v>
      </c>
      <c r="AB68" s="36">
        <v>1.2</v>
      </c>
      <c r="AC68" s="36">
        <v>11.9</v>
      </c>
      <c r="AD68" s="36">
        <v>1.18</v>
      </c>
      <c r="AE68" s="36">
        <v>17.899999999999999</v>
      </c>
      <c r="AF68" s="36">
        <v>0.26200000000000001</v>
      </c>
      <c r="AG68" s="36">
        <v>32.200000000000003</v>
      </c>
      <c r="AH68" s="36">
        <v>0.82099999999999995</v>
      </c>
      <c r="AI68" s="36">
        <v>1.68</v>
      </c>
      <c r="AJ68" s="36">
        <v>1.07</v>
      </c>
      <c r="AK68" s="36">
        <v>0.55500000000000005</v>
      </c>
      <c r="AL68" s="36">
        <v>1.64</v>
      </c>
      <c r="AM68" s="36">
        <v>21.9</v>
      </c>
      <c r="AN68" s="36">
        <v>1.46</v>
      </c>
      <c r="AO68" s="36">
        <v>41.9</v>
      </c>
      <c r="AP68" s="36">
        <v>1.1399999999999999</v>
      </c>
      <c r="AQ68" s="36">
        <v>61.2</v>
      </c>
      <c r="AR68" s="36">
        <v>1.46</v>
      </c>
      <c r="AS68" s="36">
        <v>48.9</v>
      </c>
      <c r="AT68" s="36">
        <v>1.17</v>
      </c>
      <c r="AU68" s="36">
        <v>10</v>
      </c>
      <c r="AV68" s="36">
        <v>1.1399999999999999</v>
      </c>
      <c r="AW68" s="36">
        <v>16.100000000000001</v>
      </c>
      <c r="AX68" s="36">
        <v>1.17</v>
      </c>
      <c r="AY68" s="36">
        <v>3.93</v>
      </c>
      <c r="AZ68" s="5"/>
      <c r="BA68" s="36">
        <v>0.57899999999999996</v>
      </c>
      <c r="BB68" s="36">
        <v>22.7</v>
      </c>
      <c r="BC68" s="36">
        <v>0.89400000000000002</v>
      </c>
      <c r="BD68" s="36">
        <v>8.6999999999999993</v>
      </c>
      <c r="BE68" s="36">
        <v>0.99099999999999999</v>
      </c>
      <c r="BF68" s="36">
        <v>11.8</v>
      </c>
      <c r="BG68" s="36">
        <v>1.0900000000000001</v>
      </c>
      <c r="BH68" s="36">
        <v>11.3</v>
      </c>
      <c r="BI68" s="5"/>
      <c r="BJ68" s="5"/>
      <c r="BK68" s="5"/>
      <c r="BL68" s="36">
        <v>1.24</v>
      </c>
      <c r="BM68" s="36">
        <v>50.6</v>
      </c>
      <c r="BN68" s="36">
        <v>0.88400000000000001</v>
      </c>
      <c r="BO68" s="36">
        <v>6.17</v>
      </c>
      <c r="BP68" s="36">
        <v>0.25800000000000001</v>
      </c>
      <c r="BQ68" s="36">
        <v>43.4</v>
      </c>
      <c r="BR68" s="36">
        <v>0.82799999999999996</v>
      </c>
      <c r="BS68" s="36">
        <v>15.9</v>
      </c>
      <c r="BT68" s="36">
        <v>1.65</v>
      </c>
      <c r="BU68" s="36">
        <v>12.7</v>
      </c>
      <c r="BV68" s="36">
        <v>0.93899999999999995</v>
      </c>
      <c r="BW68" s="36">
        <v>0</v>
      </c>
      <c r="BX68" s="5"/>
      <c r="BY68" s="36">
        <v>0.96699999999999997</v>
      </c>
      <c r="BZ68" s="36">
        <v>0.46300000000000002</v>
      </c>
      <c r="CA68" s="46">
        <v>47.9</v>
      </c>
    </row>
    <row r="69" spans="1:79">
      <c r="A69" s="13" t="s">
        <v>203</v>
      </c>
      <c r="B69" s="35">
        <v>0.13900000000000001</v>
      </c>
      <c r="C69" s="35">
        <v>9.3699999999999992</v>
      </c>
      <c r="D69" s="35">
        <v>3.1E-2</v>
      </c>
      <c r="E69" s="3"/>
      <c r="F69" s="35">
        <v>2.0899999999999998E-2</v>
      </c>
      <c r="G69" s="3"/>
      <c r="H69" s="35">
        <v>3.5299999999999998E-2</v>
      </c>
      <c r="I69" s="3"/>
      <c r="J69" s="3"/>
      <c r="K69" s="3"/>
      <c r="L69" s="35">
        <v>2.4299999999999999E-2</v>
      </c>
      <c r="M69" s="3"/>
      <c r="N69" s="35">
        <v>2.4899999999999999E-2</v>
      </c>
      <c r="O69" s="3"/>
      <c r="P69" s="35">
        <v>4.82E-2</v>
      </c>
      <c r="Q69" s="35">
        <v>49.2</v>
      </c>
      <c r="R69" s="35">
        <v>7.4099999999999999E-2</v>
      </c>
      <c r="S69" s="35">
        <v>49.3</v>
      </c>
      <c r="T69" s="35">
        <v>9.1899999999999996E-2</v>
      </c>
      <c r="U69" s="35">
        <v>42.9</v>
      </c>
      <c r="V69" s="35">
        <v>2.18E-2</v>
      </c>
      <c r="W69" s="35">
        <v>1.73</v>
      </c>
      <c r="X69" s="35">
        <v>0.04</v>
      </c>
      <c r="Y69" s="35">
        <v>16.899999999999999</v>
      </c>
      <c r="Z69" s="35">
        <v>0.152</v>
      </c>
      <c r="AA69" s="35">
        <v>8.4</v>
      </c>
      <c r="AB69" s="35">
        <v>0.152</v>
      </c>
      <c r="AC69" s="35">
        <v>9.83</v>
      </c>
      <c r="AD69" s="35">
        <v>0.13300000000000001</v>
      </c>
      <c r="AE69" s="35">
        <v>19.399999999999999</v>
      </c>
      <c r="AF69" s="35">
        <v>3.5299999999999998E-2</v>
      </c>
      <c r="AG69" s="35">
        <v>3.13</v>
      </c>
      <c r="AH69" s="35">
        <v>4.4600000000000001E-2</v>
      </c>
      <c r="AI69" s="35">
        <v>29.4</v>
      </c>
      <c r="AJ69" s="35">
        <v>3.3000000000000002E-2</v>
      </c>
      <c r="AK69" s="35">
        <v>32.5</v>
      </c>
      <c r="AL69" s="35">
        <v>5.5300000000000002E-2</v>
      </c>
      <c r="AM69" s="35">
        <v>22.3</v>
      </c>
      <c r="AN69" s="35">
        <v>3.7999999999999999E-2</v>
      </c>
      <c r="AO69" s="35">
        <v>17</v>
      </c>
      <c r="AP69" s="35">
        <v>4.8500000000000001E-2</v>
      </c>
      <c r="AQ69" s="35">
        <v>28.8</v>
      </c>
      <c r="AR69" s="35">
        <v>3.95E-2</v>
      </c>
      <c r="AS69" s="35">
        <v>4.34</v>
      </c>
      <c r="AT69" s="35">
        <v>2.76E-2</v>
      </c>
      <c r="AU69" s="35">
        <v>21.9</v>
      </c>
      <c r="AV69" s="35">
        <v>2.2499999999999999E-2</v>
      </c>
      <c r="AW69" s="35">
        <v>20.6</v>
      </c>
      <c r="AX69" s="35">
        <v>3.0300000000000001E-2</v>
      </c>
      <c r="AY69" s="35">
        <v>15.9</v>
      </c>
      <c r="AZ69" s="3"/>
      <c r="BA69" s="35">
        <v>1.52E-2</v>
      </c>
      <c r="BB69" s="35">
        <v>29.6</v>
      </c>
      <c r="BC69" s="35">
        <v>4.2700000000000002E-2</v>
      </c>
      <c r="BD69" s="35">
        <v>44.4</v>
      </c>
      <c r="BE69" s="35">
        <v>7.4700000000000003E-2</v>
      </c>
      <c r="BF69" s="35">
        <v>20.7</v>
      </c>
      <c r="BG69" s="35">
        <v>0.13900000000000001</v>
      </c>
      <c r="BH69" s="35">
        <v>14.2</v>
      </c>
      <c r="BI69" s="3"/>
      <c r="BJ69" s="3"/>
      <c r="BK69" s="3"/>
      <c r="BL69" s="35">
        <v>3.9100000000000003E-2</v>
      </c>
      <c r="BM69" s="35">
        <v>0.26800000000000002</v>
      </c>
      <c r="BN69" s="35">
        <v>0.13</v>
      </c>
      <c r="BO69" s="35">
        <v>12.6</v>
      </c>
      <c r="BP69" s="35">
        <v>2.5499999999999998E-2</v>
      </c>
      <c r="BQ69" s="35">
        <v>16</v>
      </c>
      <c r="BR69" s="35">
        <v>4.2099999999999999E-2</v>
      </c>
      <c r="BS69" s="35">
        <v>22.8</v>
      </c>
      <c r="BT69" s="35">
        <v>4.0500000000000001E-2</v>
      </c>
      <c r="BU69" s="35">
        <v>0</v>
      </c>
      <c r="BV69" s="35">
        <v>7.0900000000000005E-2</v>
      </c>
      <c r="BW69" s="35">
        <v>44.3</v>
      </c>
      <c r="BX69" s="3"/>
      <c r="BY69" s="35">
        <v>5.79E-2</v>
      </c>
      <c r="BZ69" s="35">
        <v>3.8100000000000002E-2</v>
      </c>
      <c r="CA69" s="45">
        <v>65.8</v>
      </c>
    </row>
    <row r="70" spans="1:79">
      <c r="A70" s="13" t="s">
        <v>207</v>
      </c>
      <c r="B70" s="36">
        <v>2.1800000000000002</v>
      </c>
      <c r="C70" s="36">
        <v>0.27</v>
      </c>
      <c r="D70" s="36">
        <v>4.22</v>
      </c>
      <c r="E70" s="36">
        <v>11.4</v>
      </c>
      <c r="F70" s="36">
        <v>4.5599999999999996</v>
      </c>
      <c r="G70" s="36">
        <v>20.5</v>
      </c>
      <c r="H70" s="36">
        <v>5.66</v>
      </c>
      <c r="I70" s="36">
        <v>19.2</v>
      </c>
      <c r="J70" s="5"/>
      <c r="K70" s="5"/>
      <c r="L70" s="36">
        <v>5.19</v>
      </c>
      <c r="M70" s="36">
        <v>9.08</v>
      </c>
      <c r="N70" s="36">
        <v>4.34</v>
      </c>
      <c r="O70" s="36">
        <v>12.8</v>
      </c>
      <c r="P70" s="36">
        <v>2.25</v>
      </c>
      <c r="Q70" s="36">
        <v>11.6</v>
      </c>
      <c r="R70" s="36">
        <v>2.57</v>
      </c>
      <c r="S70" s="36">
        <v>46.4</v>
      </c>
      <c r="T70" s="36">
        <v>1.53</v>
      </c>
      <c r="U70" s="36">
        <v>21.5</v>
      </c>
      <c r="V70" s="36">
        <v>3.9</v>
      </c>
      <c r="W70" s="36">
        <v>27.1</v>
      </c>
      <c r="X70" s="36">
        <v>4.41</v>
      </c>
      <c r="Y70" s="36">
        <v>13.7</v>
      </c>
      <c r="Z70" s="36">
        <v>2.52</v>
      </c>
      <c r="AA70" s="36">
        <v>1.99</v>
      </c>
      <c r="AB70" s="36">
        <v>2.1</v>
      </c>
      <c r="AC70" s="36">
        <v>1.36</v>
      </c>
      <c r="AD70" s="36">
        <v>1.9</v>
      </c>
      <c r="AE70" s="36">
        <v>5.87</v>
      </c>
      <c r="AF70" s="36">
        <v>3.77</v>
      </c>
      <c r="AG70" s="36">
        <v>10.9</v>
      </c>
      <c r="AH70" s="36">
        <v>2.35</v>
      </c>
      <c r="AI70" s="36">
        <v>14.5</v>
      </c>
      <c r="AJ70" s="36">
        <v>3.16</v>
      </c>
      <c r="AK70" s="36">
        <v>8.65</v>
      </c>
      <c r="AL70" s="36">
        <v>2.84</v>
      </c>
      <c r="AM70" s="36">
        <v>20.9</v>
      </c>
      <c r="AN70" s="36">
        <v>2.2999999999999998</v>
      </c>
      <c r="AO70" s="36">
        <v>0.27</v>
      </c>
      <c r="AP70" s="36">
        <v>2.52</v>
      </c>
      <c r="AQ70" s="36">
        <v>0.28799999999999998</v>
      </c>
      <c r="AR70" s="36">
        <v>2.65</v>
      </c>
      <c r="AS70" s="36">
        <v>33.700000000000003</v>
      </c>
      <c r="AT70" s="36">
        <v>3.45</v>
      </c>
      <c r="AU70" s="36">
        <v>23.1</v>
      </c>
      <c r="AV70" s="36">
        <v>3.45</v>
      </c>
      <c r="AW70" s="36">
        <v>10.6</v>
      </c>
      <c r="AX70" s="36">
        <v>3.84</v>
      </c>
      <c r="AY70" s="36">
        <v>1.94</v>
      </c>
      <c r="AZ70" s="5"/>
      <c r="BA70" s="36">
        <v>1.38</v>
      </c>
      <c r="BB70" s="36">
        <v>2.83</v>
      </c>
      <c r="BC70" s="36">
        <v>1.9</v>
      </c>
      <c r="BD70" s="36">
        <v>5.35</v>
      </c>
      <c r="BE70" s="36">
        <v>2.4300000000000002</v>
      </c>
      <c r="BF70" s="36">
        <v>3.75</v>
      </c>
      <c r="BG70" s="36">
        <v>3.18</v>
      </c>
      <c r="BH70" s="36">
        <v>4.5999999999999996</v>
      </c>
      <c r="BI70" s="5"/>
      <c r="BJ70" s="5"/>
      <c r="BK70" s="5"/>
      <c r="BL70" s="36">
        <v>2.27</v>
      </c>
      <c r="BM70" s="36">
        <v>19.600000000000001</v>
      </c>
      <c r="BN70" s="36">
        <v>2.36</v>
      </c>
      <c r="BO70" s="36">
        <v>47.3</v>
      </c>
      <c r="BP70" s="36">
        <v>3.64</v>
      </c>
      <c r="BQ70" s="36">
        <v>14</v>
      </c>
      <c r="BR70" s="36">
        <v>2.0099999999999998</v>
      </c>
      <c r="BS70" s="36">
        <v>7.24</v>
      </c>
      <c r="BT70" s="36">
        <v>4.59</v>
      </c>
      <c r="BU70" s="36">
        <v>5.03</v>
      </c>
      <c r="BV70" s="36">
        <v>3.1</v>
      </c>
      <c r="BW70" s="36">
        <v>14.3</v>
      </c>
      <c r="BX70" s="5"/>
      <c r="BY70" s="36">
        <v>3</v>
      </c>
      <c r="BZ70" s="36">
        <v>0.98799999999999999</v>
      </c>
      <c r="CA70" s="46">
        <v>33</v>
      </c>
    </row>
    <row r="71" spans="1:79" ht="15.95" thickBot="1">
      <c r="A71" s="47" t="s">
        <v>208</v>
      </c>
      <c r="B71" s="48">
        <v>0.52300000000000002</v>
      </c>
      <c r="C71" s="48">
        <v>25.5</v>
      </c>
      <c r="D71" s="48">
        <v>0.36399999999999999</v>
      </c>
      <c r="E71" s="48">
        <v>7.03</v>
      </c>
      <c r="F71" s="48">
        <v>0.28899999999999998</v>
      </c>
      <c r="G71" s="48">
        <v>6.03</v>
      </c>
      <c r="H71" s="48">
        <v>0.47299999999999998</v>
      </c>
      <c r="I71" s="48">
        <v>50.6</v>
      </c>
      <c r="J71" s="49"/>
      <c r="K71" s="49"/>
      <c r="L71" s="48">
        <v>0.36</v>
      </c>
      <c r="M71" s="48">
        <v>1.43</v>
      </c>
      <c r="N71" s="48">
        <v>0.33100000000000002</v>
      </c>
      <c r="O71" s="48">
        <v>41.2</v>
      </c>
      <c r="P71" s="48">
        <v>0.52600000000000002</v>
      </c>
      <c r="Q71" s="48">
        <v>28.8</v>
      </c>
      <c r="R71" s="48">
        <v>0.94899999999999995</v>
      </c>
      <c r="S71" s="48">
        <v>14.3</v>
      </c>
      <c r="T71" s="48">
        <v>0.64400000000000002</v>
      </c>
      <c r="U71" s="48">
        <v>29.3</v>
      </c>
      <c r="V71" s="48">
        <v>0.52300000000000002</v>
      </c>
      <c r="W71" s="48">
        <v>15.6</v>
      </c>
      <c r="X71" s="48">
        <v>0.497</v>
      </c>
      <c r="Y71" s="48">
        <v>25.5</v>
      </c>
      <c r="Z71" s="48">
        <v>0.59599999999999997</v>
      </c>
      <c r="AA71" s="48">
        <v>25.4</v>
      </c>
      <c r="AB71" s="48">
        <v>0.56200000000000006</v>
      </c>
      <c r="AC71" s="48">
        <v>22</v>
      </c>
      <c r="AD71" s="48">
        <v>0.54600000000000004</v>
      </c>
      <c r="AE71" s="48">
        <v>33.1</v>
      </c>
      <c r="AF71" s="48">
        <v>0.56699999999999995</v>
      </c>
      <c r="AG71" s="48">
        <v>11.4</v>
      </c>
      <c r="AH71" s="48">
        <v>0.45500000000000002</v>
      </c>
      <c r="AI71" s="48">
        <v>40.299999999999997</v>
      </c>
      <c r="AJ71" s="48">
        <v>0.627</v>
      </c>
      <c r="AK71" s="48">
        <v>31.1</v>
      </c>
      <c r="AL71" s="48">
        <v>1.2</v>
      </c>
      <c r="AM71" s="48">
        <v>7.82</v>
      </c>
      <c r="AN71" s="48">
        <v>0.63200000000000001</v>
      </c>
      <c r="AO71" s="48">
        <v>19.600000000000001</v>
      </c>
      <c r="AP71" s="48">
        <v>0.77800000000000002</v>
      </c>
      <c r="AQ71" s="48">
        <v>3.88</v>
      </c>
      <c r="AR71" s="48">
        <v>0.67100000000000004</v>
      </c>
      <c r="AS71" s="48">
        <v>14.2</v>
      </c>
      <c r="AT71" s="48">
        <v>0.79500000000000004</v>
      </c>
      <c r="AU71" s="48">
        <v>4.72</v>
      </c>
      <c r="AV71" s="48">
        <v>0.68799999999999994</v>
      </c>
      <c r="AW71" s="48">
        <v>34.9</v>
      </c>
      <c r="AX71" s="48">
        <v>0.77100000000000002</v>
      </c>
      <c r="AY71" s="48">
        <v>14.1</v>
      </c>
      <c r="AZ71" s="49"/>
      <c r="BA71" s="48">
        <v>0.216</v>
      </c>
      <c r="BB71" s="48">
        <v>43.8</v>
      </c>
      <c r="BC71" s="48">
        <v>0.30499999999999999</v>
      </c>
      <c r="BD71" s="48">
        <v>20.9</v>
      </c>
      <c r="BE71" s="48">
        <v>0.28899999999999998</v>
      </c>
      <c r="BF71" s="48">
        <v>4.8499999999999996</v>
      </c>
      <c r="BG71" s="48">
        <v>0.51200000000000001</v>
      </c>
      <c r="BH71" s="48">
        <v>50.3</v>
      </c>
      <c r="BI71" s="49"/>
      <c r="BJ71" s="49"/>
      <c r="BK71" s="49"/>
      <c r="BL71" s="48">
        <v>0.55100000000000005</v>
      </c>
      <c r="BM71" s="48">
        <v>5.09</v>
      </c>
      <c r="BN71" s="48">
        <v>0.69699999999999995</v>
      </c>
      <c r="BO71" s="48">
        <v>19.600000000000001</v>
      </c>
      <c r="BP71" s="48">
        <v>0.499</v>
      </c>
      <c r="BQ71" s="48">
        <v>28.3</v>
      </c>
      <c r="BR71" s="48">
        <v>0.23699999999999999</v>
      </c>
      <c r="BS71" s="48">
        <v>83.2</v>
      </c>
      <c r="BT71" s="48">
        <v>0.307</v>
      </c>
      <c r="BU71" s="48">
        <v>16.399999999999999</v>
      </c>
      <c r="BV71" s="48">
        <v>0.73099999999999998</v>
      </c>
      <c r="BW71" s="48">
        <v>55.5</v>
      </c>
      <c r="BX71" s="49"/>
      <c r="BY71" s="48">
        <v>0.504</v>
      </c>
      <c r="BZ71" s="48">
        <v>0.20100000000000001</v>
      </c>
      <c r="CA71" s="50">
        <v>39.799999999999997</v>
      </c>
    </row>
    <row r="72" spans="1:79">
      <c r="A72" s="52"/>
    </row>
    <row r="73" spans="1:79">
      <c r="A73" s="52"/>
    </row>
    <row r="77" spans="1:79">
      <c r="A77" s="52"/>
    </row>
    <row r="78" spans="1:79">
      <c r="A78" s="52"/>
    </row>
    <row r="79" spans="1:79">
      <c r="A79" s="52"/>
    </row>
    <row r="80" spans="1:79">
      <c r="A80" s="52"/>
    </row>
    <row r="81" spans="1:1">
      <c r="A81" s="52"/>
    </row>
    <row r="82" spans="1:1">
      <c r="A82" s="52"/>
    </row>
    <row r="88" spans="1:1">
      <c r="A88" s="52"/>
    </row>
    <row r="89" spans="1:1">
      <c r="A89" s="52"/>
    </row>
    <row r="90" spans="1:1">
      <c r="A90" s="52"/>
    </row>
    <row r="91" spans="1:1">
      <c r="A91" s="52"/>
    </row>
    <row r="92" spans="1:1">
      <c r="A92" s="52"/>
    </row>
    <row r="93" spans="1:1">
      <c r="A93" s="52"/>
    </row>
    <row r="94" spans="1:1">
      <c r="A94" s="52"/>
    </row>
    <row r="95" spans="1:1">
      <c r="A95" s="52"/>
    </row>
    <row r="96" spans="1:1">
      <c r="A96" s="52"/>
    </row>
    <row r="97" spans="1:1">
      <c r="A97" s="52"/>
    </row>
    <row r="98" spans="1:1">
      <c r="A98" s="52"/>
    </row>
    <row r="99" spans="1:1">
      <c r="A99" s="52"/>
    </row>
    <row r="100" spans="1:1">
      <c r="A100" s="52"/>
    </row>
    <row r="101" spans="1:1">
      <c r="A101" s="52"/>
    </row>
    <row r="102" spans="1:1">
      <c r="A102" s="52"/>
    </row>
    <row r="103" spans="1:1">
      <c r="A103" s="52"/>
    </row>
    <row r="104" spans="1:1">
      <c r="A104" s="52"/>
    </row>
    <row r="105" spans="1:1">
      <c r="A105" s="52"/>
    </row>
    <row r="106" spans="1:1">
      <c r="A106" s="52"/>
    </row>
    <row r="107" spans="1:1">
      <c r="A107" s="52"/>
    </row>
    <row r="108" spans="1:1">
      <c r="A108" s="52"/>
    </row>
    <row r="109" spans="1:1">
      <c r="A109" s="52"/>
    </row>
    <row r="110" spans="1:1">
      <c r="A110" s="52"/>
    </row>
    <row r="111" spans="1:1">
      <c r="A111" s="52"/>
    </row>
    <row r="112" spans="1:1">
      <c r="A112" s="52"/>
    </row>
    <row r="114" spans="1:1">
      <c r="A114" s="52"/>
    </row>
    <row r="115" spans="1:1">
      <c r="A115" s="52"/>
    </row>
    <row r="116" spans="1:1">
      <c r="A116" s="52"/>
    </row>
    <row r="117" spans="1:1">
      <c r="A117" s="52"/>
    </row>
    <row r="121" spans="1:1">
      <c r="A121" s="52"/>
    </row>
    <row r="122" spans="1:1">
      <c r="A122" s="52"/>
    </row>
    <row r="123" spans="1:1">
      <c r="A123" s="52"/>
    </row>
    <row r="124" spans="1:1">
      <c r="A124" s="52"/>
    </row>
    <row r="125" spans="1:1">
      <c r="A125" s="52"/>
    </row>
    <row r="126" spans="1:1">
      <c r="A126" s="52"/>
    </row>
    <row r="128" spans="1:1">
      <c r="A128" s="52"/>
    </row>
    <row r="131" spans="1:1">
      <c r="A131" s="52"/>
    </row>
    <row r="132" spans="1:1">
      <c r="A132" s="52"/>
    </row>
    <row r="135" spans="1:1">
      <c r="A135" s="52"/>
    </row>
    <row r="136" spans="1:1">
      <c r="A136" s="52"/>
    </row>
    <row r="138" spans="1:1">
      <c r="A138" s="52"/>
    </row>
    <row r="139" spans="1:1">
      <c r="A139" s="52"/>
    </row>
    <row r="142" spans="1:1">
      <c r="A142" s="52"/>
    </row>
    <row r="143" spans="1:1">
      <c r="A143" s="52"/>
    </row>
    <row r="221" spans="1:1">
      <c r="A221" s="52"/>
    </row>
    <row r="223" spans="1:1">
      <c r="A223" s="52"/>
    </row>
    <row r="225" spans="1:1">
      <c r="A225" s="52"/>
    </row>
    <row r="226" spans="1:1">
      <c r="A226" s="52"/>
    </row>
    <row r="229" spans="1:1">
      <c r="A229" s="52"/>
    </row>
    <row r="230" spans="1:1">
      <c r="A230" s="52"/>
    </row>
    <row r="233" spans="1:1">
      <c r="A233" s="52"/>
    </row>
    <row r="234" spans="1:1">
      <c r="A234" s="52"/>
    </row>
    <row r="237" spans="1:1">
      <c r="A237" s="52"/>
    </row>
    <row r="238" spans="1:1">
      <c r="A238" s="52"/>
    </row>
    <row r="302" spans="1:1">
      <c r="A302" s="52"/>
    </row>
    <row r="311" spans="1:1">
      <c r="A311" s="53"/>
    </row>
    <row r="313" spans="1:1">
      <c r="A313" s="52"/>
    </row>
    <row r="315" spans="1:1">
      <c r="A315" s="52"/>
    </row>
    <row r="317" spans="1:1">
      <c r="A317" s="52"/>
    </row>
    <row r="318" spans="1:1">
      <c r="A318" s="52"/>
    </row>
    <row r="321" spans="1:1">
      <c r="A321" s="52"/>
    </row>
    <row r="322" spans="1:1">
      <c r="A322" s="52"/>
    </row>
    <row r="324" spans="1:1">
      <c r="A324" s="52"/>
    </row>
    <row r="326" spans="1:1">
      <c r="A326" s="52"/>
    </row>
    <row r="327" spans="1:1">
      <c r="A327" s="52"/>
    </row>
    <row r="330" spans="1:1">
      <c r="A330" s="52"/>
    </row>
    <row r="331" spans="1:1">
      <c r="A331" s="52"/>
    </row>
    <row r="333" spans="1:1">
      <c r="A333" s="52"/>
    </row>
    <row r="334" spans="1:1">
      <c r="A334" s="52"/>
    </row>
    <row r="337" spans="1:1">
      <c r="A337" s="52"/>
    </row>
    <row r="338" spans="1:1">
      <c r="A338" s="52"/>
    </row>
    <row r="340" spans="1:1">
      <c r="A340" s="52"/>
    </row>
    <row r="341" spans="1:1">
      <c r="A341" s="52"/>
    </row>
    <row r="344" spans="1:1">
      <c r="A344" s="52"/>
    </row>
    <row r="345" spans="1:1">
      <c r="A345" s="52"/>
    </row>
    <row r="347" spans="1:1">
      <c r="A347" s="52"/>
    </row>
    <row r="348" spans="1:1">
      <c r="A348" s="52"/>
    </row>
    <row r="351" spans="1:1">
      <c r="A351" s="52"/>
    </row>
    <row r="352" spans="1:1">
      <c r="A352" s="52"/>
    </row>
    <row r="354" spans="1:1">
      <c r="A354" s="52"/>
    </row>
    <row r="355" spans="1:1">
      <c r="A355" s="52"/>
    </row>
    <row r="358" spans="1:1">
      <c r="A358" s="52"/>
    </row>
    <row r="359" spans="1:1">
      <c r="A359" s="52"/>
    </row>
    <row r="360" spans="1:1">
      <c r="A360" s="53"/>
    </row>
    <row r="361" spans="1:1">
      <c r="A361" s="53"/>
    </row>
    <row r="364" spans="1:1">
      <c r="A364" s="53"/>
    </row>
    <row r="365" spans="1:1">
      <c r="A365" s="53"/>
    </row>
    <row r="366" spans="1:1">
      <c r="A366" s="52"/>
    </row>
    <row r="367" spans="1:1">
      <c r="A367" s="52"/>
    </row>
    <row r="370" spans="1:1">
      <c r="A370" s="52"/>
    </row>
    <row r="371" spans="1:1">
      <c r="A371" s="52"/>
    </row>
    <row r="449" spans="1:1">
      <c r="A449" s="52"/>
    </row>
    <row r="451" spans="1:1">
      <c r="A451" s="52"/>
    </row>
    <row r="452" spans="1:1">
      <c r="A452" s="52"/>
    </row>
    <row r="455" spans="1:1">
      <c r="A455" s="52"/>
    </row>
    <row r="456" spans="1:1">
      <c r="A456" s="52"/>
    </row>
    <row r="458" spans="1:1">
      <c r="A458" s="52"/>
    </row>
    <row r="459" spans="1:1">
      <c r="A459" s="53"/>
    </row>
    <row r="460" spans="1:1">
      <c r="A460" s="53"/>
    </row>
    <row r="461" spans="1:1">
      <c r="A461" s="52"/>
    </row>
    <row r="463" spans="1:1">
      <c r="A463" s="52"/>
    </row>
    <row r="464" spans="1:1">
      <c r="A464" s="52"/>
    </row>
    <row r="465" spans="1:1">
      <c r="A465" s="52"/>
    </row>
    <row r="468" spans="1:1">
      <c r="A468" s="52"/>
    </row>
    <row r="469" spans="1:1">
      <c r="A469" s="52"/>
    </row>
    <row r="470" spans="1:1">
      <c r="A470" s="53"/>
    </row>
    <row r="471" spans="1:1">
      <c r="A471" s="53"/>
    </row>
    <row r="474" spans="1:1">
      <c r="A474" s="53"/>
    </row>
    <row r="475" spans="1:1">
      <c r="A475" s="53"/>
    </row>
    <row r="476" spans="1:1">
      <c r="A476" s="53"/>
    </row>
    <row r="477" spans="1:1">
      <c r="A477" s="53"/>
    </row>
    <row r="480" spans="1:1">
      <c r="A480" s="52"/>
    </row>
    <row r="481" spans="1:1">
      <c r="A481" s="52"/>
    </row>
    <row r="482" spans="1:1">
      <c r="A482" s="52"/>
    </row>
    <row r="485" spans="1:1">
      <c r="A485" s="52"/>
    </row>
    <row r="486" spans="1:1">
      <c r="A486" s="52"/>
    </row>
    <row r="488" spans="1:1">
      <c r="A488" s="52"/>
    </row>
    <row r="489" spans="1:1">
      <c r="A489" s="52"/>
    </row>
    <row r="492" spans="1:1">
      <c r="A492" s="52"/>
    </row>
    <row r="493" spans="1:1">
      <c r="A493" s="52"/>
    </row>
    <row r="495" spans="1:1">
      <c r="A495" s="52"/>
    </row>
    <row r="497" spans="1:1">
      <c r="A497" s="52"/>
    </row>
    <row r="498" spans="1:1">
      <c r="A498" s="52"/>
    </row>
    <row r="501" spans="1:1">
      <c r="A501" s="52"/>
    </row>
    <row r="502" spans="1:1">
      <c r="A502" s="52"/>
    </row>
    <row r="504" spans="1:1">
      <c r="A504" s="52"/>
    </row>
    <row r="505" spans="1:1">
      <c r="A505" s="52"/>
    </row>
    <row r="508" spans="1:1">
      <c r="A508" s="52"/>
    </row>
    <row r="509" spans="1:1">
      <c r="A509" s="52"/>
    </row>
    <row r="511" spans="1:1">
      <c r="A511" s="52"/>
    </row>
    <row r="513" spans="1:1">
      <c r="A513" s="52"/>
    </row>
    <row r="514" spans="1:1">
      <c r="A514" s="52"/>
    </row>
    <row r="516" spans="1:1">
      <c r="A516" s="52"/>
    </row>
    <row r="519" spans="1:1">
      <c r="A519" s="52"/>
    </row>
    <row r="520" spans="1:1">
      <c r="A520" s="52"/>
    </row>
    <row r="522" spans="1:1">
      <c r="A522" s="52"/>
    </row>
    <row r="523" spans="1:1">
      <c r="A523" s="52"/>
    </row>
    <row r="526" spans="1:1">
      <c r="A526" s="52"/>
    </row>
    <row r="527" spans="1:1">
      <c r="A527" s="52"/>
    </row>
    <row r="528" spans="1:1">
      <c r="A528" s="53"/>
    </row>
    <row r="529" spans="1:1">
      <c r="A529" s="53"/>
    </row>
    <row r="532" spans="1:1">
      <c r="A532" s="53"/>
    </row>
    <row r="533" spans="1:1">
      <c r="A533" s="53"/>
    </row>
    <row r="534" spans="1:1">
      <c r="A534" s="52"/>
    </row>
    <row r="536" spans="1:1">
      <c r="A536" s="52"/>
    </row>
    <row r="538" spans="1:1">
      <c r="A538" s="52"/>
    </row>
    <row r="539" spans="1:1">
      <c r="A539" s="52"/>
    </row>
    <row r="542" spans="1:1">
      <c r="A542" s="52"/>
    </row>
    <row r="543" spans="1:1">
      <c r="A543" s="52"/>
    </row>
    <row r="581" spans="1:1">
      <c r="A581" s="52"/>
    </row>
    <row r="619" spans="1:1">
      <c r="A619" s="52"/>
    </row>
    <row r="621" spans="1:1">
      <c r="A621" s="52"/>
    </row>
    <row r="623" spans="1:1">
      <c r="A623" s="52"/>
    </row>
    <row r="624" spans="1:1">
      <c r="A624" s="52"/>
    </row>
    <row r="627" spans="1:1">
      <c r="A627" s="52"/>
    </row>
    <row r="628" spans="1:1">
      <c r="A628" s="52"/>
    </row>
    <row r="629" spans="1:1">
      <c r="A629" s="53"/>
    </row>
    <row r="630" spans="1:1">
      <c r="A630" s="53"/>
    </row>
    <row r="633" spans="1:1">
      <c r="A633" s="53"/>
    </row>
    <row r="634" spans="1:1">
      <c r="A634" s="53"/>
    </row>
    <row r="635" spans="1:1">
      <c r="A635" s="53"/>
    </row>
    <row r="636" spans="1:1">
      <c r="A636" s="53"/>
    </row>
    <row r="637" spans="1:1">
      <c r="A637" s="53"/>
    </row>
    <row r="638" spans="1:1">
      <c r="A638" s="52"/>
    </row>
    <row r="639" spans="1:1">
      <c r="A639" s="52"/>
    </row>
    <row r="641" spans="1:1">
      <c r="A641" s="52"/>
    </row>
    <row r="642" spans="1:1">
      <c r="A642" s="52"/>
    </row>
    <row r="645" spans="1:1">
      <c r="A645" s="52"/>
    </row>
    <row r="646" spans="1:1">
      <c r="A646" s="52"/>
    </row>
    <row r="648" spans="1:1">
      <c r="A648" s="52"/>
    </row>
    <row r="650" spans="1:1">
      <c r="A650" s="52"/>
    </row>
    <row r="651" spans="1:1">
      <c r="A651" s="52"/>
    </row>
    <row r="654" spans="1:1">
      <c r="A654" s="52"/>
    </row>
    <row r="655" spans="1:1">
      <c r="A655" s="52"/>
    </row>
    <row r="657" spans="1:1">
      <c r="A657" s="52"/>
    </row>
    <row r="658" spans="1:1">
      <c r="A658" s="52"/>
    </row>
    <row r="661" spans="1:1">
      <c r="A661" s="52"/>
    </row>
    <row r="662" spans="1:1">
      <c r="A662" s="52"/>
    </row>
    <row r="740" spans="1:1">
      <c r="A740" s="52"/>
    </row>
    <row r="741" spans="1:1">
      <c r="A741" s="53"/>
    </row>
    <row r="742" spans="1:1">
      <c r="A742" s="53"/>
    </row>
    <row r="745" spans="1:1">
      <c r="A745" s="53"/>
    </row>
    <row r="746" spans="1:1">
      <c r="A746" s="53"/>
    </row>
    <row r="747" spans="1:1">
      <c r="A747" s="52"/>
    </row>
    <row r="748" spans="1:1">
      <c r="A748" s="52"/>
    </row>
    <row r="751" spans="1:1">
      <c r="A751" s="52"/>
    </row>
    <row r="752" spans="1:1">
      <c r="A752" s="52"/>
    </row>
    <row r="754" spans="1:1">
      <c r="A754" s="52"/>
    </row>
    <row r="755" spans="1:1">
      <c r="A755" s="52"/>
    </row>
    <row r="758" spans="1:1">
      <c r="A758" s="52"/>
    </row>
    <row r="759" spans="1:1">
      <c r="A759" s="52"/>
    </row>
    <row r="761" spans="1:1">
      <c r="A761" s="52"/>
    </row>
    <row r="762" spans="1:1">
      <c r="A762" s="52"/>
    </row>
    <row r="765" spans="1:1">
      <c r="A765" s="52"/>
    </row>
    <row r="766" spans="1:1">
      <c r="A766" s="52"/>
    </row>
    <row r="768" spans="1:1">
      <c r="A768" s="52"/>
    </row>
    <row r="769" spans="1:1">
      <c r="A769" s="52"/>
    </row>
    <row r="772" spans="1:1">
      <c r="A772" s="52"/>
    </row>
    <row r="773" spans="1:1">
      <c r="A773" s="52"/>
    </row>
    <row r="775" spans="1:1">
      <c r="A775" s="52"/>
    </row>
    <row r="776" spans="1:1">
      <c r="A776" s="52"/>
    </row>
    <row r="777" spans="1:1">
      <c r="A777" s="52"/>
    </row>
    <row r="780" spans="1:1">
      <c r="A780" s="52"/>
    </row>
    <row r="781" spans="1:1">
      <c r="A781" s="52"/>
    </row>
    <row r="783" spans="1:1">
      <c r="A783" s="52"/>
    </row>
    <row r="784" spans="1:1">
      <c r="A784" s="52"/>
    </row>
    <row r="787" spans="1:1">
      <c r="A787" s="52"/>
    </row>
    <row r="788" spans="1:1">
      <c r="A788" s="52"/>
    </row>
    <row r="866" spans="1:1">
      <c r="A866" s="52"/>
    </row>
    <row r="868" spans="1:1">
      <c r="A868" s="52"/>
    </row>
    <row r="869" spans="1:1">
      <c r="A869" s="52"/>
    </row>
    <row r="872" spans="1:1">
      <c r="A872" s="52"/>
    </row>
    <row r="873" spans="1:1">
      <c r="A873" s="52"/>
    </row>
    <row r="893" spans="1:1">
      <c r="A893" s="52"/>
    </row>
    <row r="899" spans="1:1">
      <c r="A899" s="52"/>
    </row>
    <row r="933" spans="1:1">
      <c r="A933" s="52"/>
    </row>
    <row r="940" spans="1:1">
      <c r="A940" s="53"/>
    </row>
    <row r="942" spans="1:1">
      <c r="A942" s="52"/>
    </row>
    <row r="944" spans="1:1">
      <c r="A944" s="52"/>
    </row>
    <row r="945" spans="1:1">
      <c r="A945" s="52"/>
    </row>
    <row r="948" spans="1:1">
      <c r="A948" s="52"/>
    </row>
    <row r="949" spans="1:1">
      <c r="A949" s="52"/>
    </row>
    <row r="951" spans="1:1">
      <c r="A951" s="52"/>
    </row>
    <row r="952" spans="1:1">
      <c r="A952" s="52"/>
    </row>
    <row r="955" spans="1:1">
      <c r="A955" s="52"/>
    </row>
    <row r="956" spans="1:1">
      <c r="A956" s="52"/>
    </row>
    <row r="1007" spans="1:1">
      <c r="A1007" s="53"/>
    </row>
    <row r="1008" spans="1:1">
      <c r="A1008" s="53"/>
    </row>
    <row r="1009" spans="1:1">
      <c r="A1009" s="53"/>
    </row>
    <row r="1010" spans="1:1">
      <c r="A1010" s="53"/>
    </row>
    <row r="1020" spans="1:1">
      <c r="A1020" s="53"/>
    </row>
    <row r="1026" spans="1:1">
      <c r="A1026" s="53"/>
    </row>
    <row r="1028" spans="1:1">
      <c r="A1028" s="52"/>
    </row>
    <row r="1030" spans="1:1">
      <c r="A1030" s="52"/>
    </row>
    <row r="1031" spans="1:1">
      <c r="A1031" s="52"/>
    </row>
    <row r="1034" spans="1:1">
      <c r="A1034" s="52"/>
    </row>
    <row r="1035" spans="1:1">
      <c r="A1035" s="52"/>
    </row>
    <row r="1037" spans="1:1">
      <c r="A1037" s="52"/>
    </row>
    <row r="1038" spans="1:1">
      <c r="A1038" s="52"/>
    </row>
    <row r="1041" spans="1:1">
      <c r="A1041" s="52"/>
    </row>
    <row r="1042" spans="1:1">
      <c r="A1042" s="52"/>
    </row>
    <row r="1044" spans="1:1">
      <c r="A1044" s="52"/>
    </row>
    <row r="1045" spans="1:1">
      <c r="A1045" s="52"/>
    </row>
    <row r="1048" spans="1:1">
      <c r="A1048" s="52"/>
    </row>
    <row r="1049" spans="1:1">
      <c r="A1049" s="52"/>
    </row>
    <row r="1051" spans="1:1">
      <c r="A1051" s="52"/>
    </row>
    <row r="1052" spans="1:1">
      <c r="A1052" s="52"/>
    </row>
    <row r="1055" spans="1:1">
      <c r="A1055" s="52"/>
    </row>
    <row r="1056" spans="1:1">
      <c r="A1056" s="52"/>
    </row>
    <row r="1058" spans="1:1">
      <c r="A1058" s="52"/>
    </row>
    <row r="1059" spans="1:1">
      <c r="A1059" s="52"/>
    </row>
    <row r="1062" spans="1:1">
      <c r="A1062" s="52"/>
    </row>
    <row r="1063" spans="1:1">
      <c r="A1063" s="52"/>
    </row>
    <row r="1065" spans="1:1">
      <c r="A1065" s="52"/>
    </row>
    <row r="1066" spans="1:1">
      <c r="A1066" s="52"/>
    </row>
    <row r="1069" spans="1:1">
      <c r="A1069" s="52"/>
    </row>
    <row r="1070" spans="1:1">
      <c r="A1070" s="52"/>
    </row>
    <row r="1072" spans="1:1">
      <c r="A1072" s="52"/>
    </row>
    <row r="1073" spans="1:1">
      <c r="A1073" s="52"/>
    </row>
    <row r="1076" spans="1:1">
      <c r="A1076" s="52"/>
    </row>
    <row r="1077" spans="1:1">
      <c r="A1077" s="52"/>
    </row>
    <row r="1079" spans="1:1">
      <c r="A1079" s="52"/>
    </row>
    <row r="1080" spans="1:1">
      <c r="A1080" s="52"/>
    </row>
    <row r="1083" spans="1:1">
      <c r="A1083" s="52"/>
    </row>
    <row r="1084" spans="1:1">
      <c r="A1084" s="52"/>
    </row>
    <row r="1085" spans="1:1">
      <c r="A1085" s="53"/>
    </row>
    <row r="1086" spans="1:1">
      <c r="A1086" s="53"/>
    </row>
    <row r="1089" spans="1:1">
      <c r="A1089" s="53"/>
    </row>
    <row r="1090" spans="1:1">
      <c r="A1090" s="53"/>
    </row>
    <row r="1091" spans="1:1">
      <c r="A1091" s="52"/>
    </row>
    <row r="1092" spans="1:1">
      <c r="A1092" s="52"/>
    </row>
    <row r="1095" spans="1:1">
      <c r="A1095" s="52"/>
    </row>
    <row r="1096" spans="1:1">
      <c r="A1096" s="52"/>
    </row>
    <row r="1114" spans="1:1">
      <c r="A1114" s="52"/>
    </row>
    <row r="1116" spans="1:1">
      <c r="A1116" s="52"/>
    </row>
    <row r="1128" spans="1:1">
      <c r="A1128" s="52"/>
    </row>
    <row r="1135" spans="1:1">
      <c r="A1135" s="52"/>
    </row>
    <row r="1137" spans="1:1">
      <c r="A1137" s="52"/>
    </row>
    <row r="1138" spans="1:1">
      <c r="A1138" s="52"/>
    </row>
    <row r="1141" spans="1:1">
      <c r="A1141" s="52"/>
    </row>
    <row r="1142" spans="1:1">
      <c r="A1142" s="52"/>
    </row>
    <row r="1144" spans="1:1">
      <c r="A1144" s="52"/>
    </row>
    <row r="1145" spans="1:1">
      <c r="A1145" s="52"/>
    </row>
    <row r="1148" spans="1:1">
      <c r="A1148" s="52"/>
    </row>
    <row r="1149" spans="1:1">
      <c r="A1149" s="52"/>
    </row>
    <row r="1150" spans="1:1">
      <c r="A1150" s="52"/>
    </row>
    <row r="1152" spans="1:1">
      <c r="A1152" s="52"/>
    </row>
    <row r="1153" spans="1:1">
      <c r="A1153" s="53"/>
    </row>
    <row r="1154" spans="1:1">
      <c r="A1154" s="53"/>
    </row>
    <row r="1155" spans="1:1">
      <c r="A1155" s="52"/>
    </row>
    <row r="1156" spans="1:1">
      <c r="A1156" s="52"/>
    </row>
    <row r="1157" spans="1:1">
      <c r="A1157" s="52"/>
    </row>
    <row r="1160" spans="1:1">
      <c r="A1160" s="52"/>
    </row>
    <row r="1161" spans="1:1">
      <c r="A1161" s="52"/>
    </row>
    <row r="1163" spans="1:1">
      <c r="A1163" s="52"/>
    </row>
    <row r="1164" spans="1:1">
      <c r="A1164" s="53"/>
    </row>
    <row r="1165" spans="1:1">
      <c r="A1165" s="53"/>
    </row>
    <row r="1166" spans="1:1">
      <c r="A1166" s="52"/>
    </row>
    <row r="1167" spans="1:1">
      <c r="A1167" s="52"/>
    </row>
    <row r="1168" spans="1:1">
      <c r="A1168" s="52"/>
    </row>
    <row r="1173" spans="1:1">
      <c r="A1173" s="52"/>
    </row>
    <row r="1174" spans="1:1">
      <c r="A1174" s="52"/>
    </row>
    <row r="1176" spans="1:1">
      <c r="A1176" s="52"/>
    </row>
    <row r="1178" spans="1:1">
      <c r="A1178" s="52"/>
    </row>
    <row r="1179" spans="1:1">
      <c r="A1179" s="52"/>
    </row>
    <row r="1182" spans="1:1">
      <c r="A1182" s="52"/>
    </row>
    <row r="1183" spans="1:1">
      <c r="A1183" s="52"/>
    </row>
    <row r="1185" spans="1:1">
      <c r="A1185" s="52"/>
    </row>
    <row r="1186" spans="1:1">
      <c r="A1186" s="52"/>
    </row>
    <row r="1189" spans="1:1">
      <c r="A1189" s="52"/>
    </row>
    <row r="1190" spans="1:1">
      <c r="A1190" s="52"/>
    </row>
    <row r="1192" spans="1:1">
      <c r="A1192" s="52"/>
    </row>
    <row r="1194" spans="1:1">
      <c r="A1194" s="52"/>
    </row>
    <row r="1195" spans="1:1">
      <c r="A1195" s="52"/>
    </row>
    <row r="1198" spans="1:1">
      <c r="A1198" s="52"/>
    </row>
    <row r="1199" spans="1:1">
      <c r="A1199" s="52"/>
    </row>
    <row r="1277" spans="1:1">
      <c r="A1277" s="52"/>
    </row>
    <row r="1279" spans="1:1">
      <c r="A1279" s="52"/>
    </row>
    <row r="1280" spans="1:1">
      <c r="A1280" s="52"/>
    </row>
    <row r="1283" spans="1:1">
      <c r="A1283" s="52"/>
    </row>
    <row r="1284" spans="1:1">
      <c r="A1284" s="52"/>
    </row>
    <row r="1286" spans="1:1">
      <c r="A1286" s="52"/>
    </row>
    <row r="1287" spans="1:1">
      <c r="A1287" s="52"/>
    </row>
    <row r="1290" spans="1:1">
      <c r="A1290" s="52"/>
    </row>
    <row r="1291" spans="1:1">
      <c r="A1291" s="52"/>
    </row>
    <row r="1369" spans="1:1">
      <c r="A1369" s="52"/>
    </row>
    <row r="1371" spans="1:1">
      <c r="A1371" s="52"/>
    </row>
    <row r="1372" spans="1:1">
      <c r="A1372" s="52"/>
    </row>
    <row r="1375" spans="1:1">
      <c r="A1375" s="52"/>
    </row>
    <row r="1376" spans="1:1">
      <c r="A1376" s="52"/>
    </row>
    <row r="1378" spans="1:1">
      <c r="A1378" s="52"/>
    </row>
    <row r="1379" spans="1:1">
      <c r="A1379" s="52"/>
    </row>
    <row r="1382" spans="1:1">
      <c r="A1382" s="52"/>
    </row>
    <row r="1383" spans="1:1">
      <c r="A1383" s="52"/>
    </row>
    <row r="1385" spans="1:1">
      <c r="A1385" s="52"/>
    </row>
    <row r="1386" spans="1:1">
      <c r="A1386" s="52"/>
    </row>
    <row r="1389" spans="1:1">
      <c r="A1389" s="52"/>
    </row>
    <row r="1390" spans="1:1">
      <c r="A1390" s="52"/>
    </row>
    <row r="1391" spans="1:1">
      <c r="A1391" s="53"/>
    </row>
    <row r="1392" spans="1:1">
      <c r="A1392" s="53"/>
    </row>
    <row r="1395" spans="1:1">
      <c r="A1395" s="53"/>
    </row>
    <row r="1396" spans="1:1">
      <c r="A1396" s="53"/>
    </row>
    <row r="1397" spans="1:1">
      <c r="A1397" s="52"/>
    </row>
    <row r="1398" spans="1:1">
      <c r="A1398" s="52"/>
    </row>
    <row r="1401" spans="1:1">
      <c r="A1401" s="52"/>
    </row>
    <row r="1402" spans="1:1">
      <c r="A1402" s="52"/>
    </row>
    <row r="1404" spans="1:1">
      <c r="A1404" s="52"/>
    </row>
    <row r="1405" spans="1:1">
      <c r="A1405" s="52"/>
    </row>
    <row r="1408" spans="1:1">
      <c r="A1408" s="52"/>
    </row>
    <row r="1409" spans="1:1">
      <c r="A1409" s="52"/>
    </row>
    <row r="1411" spans="1:1">
      <c r="A1411" s="52"/>
    </row>
    <row r="1412" spans="1:1">
      <c r="A1412" s="52"/>
    </row>
    <row r="1415" spans="1:1">
      <c r="A1415" s="52"/>
    </row>
    <row r="1416" spans="1:1">
      <c r="A1416" s="5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583"/>
  <sheetViews>
    <sheetView topLeftCell="A28" zoomScale="25" workbookViewId="0">
      <selection activeCell="C54" sqref="C54:H55"/>
    </sheetView>
  </sheetViews>
  <sheetFormatPr defaultColWidth="8.85546875" defaultRowHeight="15"/>
  <cols>
    <col min="1" max="1" width="58.140625" bestFit="1" customWidth="1"/>
  </cols>
  <sheetData>
    <row r="1" spans="1:42">
      <c r="A1" s="10"/>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2"/>
    </row>
    <row r="2" spans="1:42">
      <c r="A2" s="91" t="s">
        <v>72</v>
      </c>
      <c r="B2" s="30" t="s">
        <v>73</v>
      </c>
      <c r="C2" s="30" t="s">
        <v>74</v>
      </c>
      <c r="D2" s="30" t="s">
        <v>75</v>
      </c>
      <c r="E2" s="30" t="s">
        <v>76</v>
      </c>
      <c r="F2" s="30" t="s">
        <v>77</v>
      </c>
      <c r="G2" s="30" t="s">
        <v>78</v>
      </c>
      <c r="H2" s="30" t="s">
        <v>79</v>
      </c>
      <c r="I2" s="30" t="s">
        <v>80</v>
      </c>
      <c r="J2" s="30" t="s">
        <v>81</v>
      </c>
      <c r="K2" s="30" t="s">
        <v>82</v>
      </c>
      <c r="L2" s="30" t="s">
        <v>83</v>
      </c>
      <c r="M2" s="30" t="s">
        <v>84</v>
      </c>
      <c r="N2" s="30" t="s">
        <v>85</v>
      </c>
      <c r="O2" s="30" t="s">
        <v>86</v>
      </c>
      <c r="P2" s="30" t="s">
        <v>87</v>
      </c>
      <c r="Q2" s="30" t="s">
        <v>88</v>
      </c>
      <c r="R2" s="30" t="s">
        <v>89</v>
      </c>
      <c r="S2" s="30" t="s">
        <v>90</v>
      </c>
      <c r="T2" s="30" t="s">
        <v>91</v>
      </c>
      <c r="U2" s="30" t="s">
        <v>92</v>
      </c>
      <c r="V2" s="30" t="s">
        <v>93</v>
      </c>
      <c r="W2" s="30" t="s">
        <v>94</v>
      </c>
      <c r="X2" s="30" t="s">
        <v>95</v>
      </c>
      <c r="Y2" s="30" t="s">
        <v>96</v>
      </c>
      <c r="Z2" s="30" t="s">
        <v>97</v>
      </c>
      <c r="AA2" s="5"/>
      <c r="AB2" s="30" t="s">
        <v>98</v>
      </c>
      <c r="AC2" s="30" t="s">
        <v>99</v>
      </c>
      <c r="AD2" s="30" t="s">
        <v>100</v>
      </c>
      <c r="AE2" s="30" t="s">
        <v>101</v>
      </c>
      <c r="AF2" s="30" t="s">
        <v>102</v>
      </c>
      <c r="AG2" s="5"/>
      <c r="AH2" s="30" t="s">
        <v>103</v>
      </c>
      <c r="AI2" s="30" t="s">
        <v>105</v>
      </c>
      <c r="AJ2" s="30" t="s">
        <v>106</v>
      </c>
      <c r="AK2" s="30" t="s">
        <v>107</v>
      </c>
      <c r="AL2" s="30" t="s">
        <v>212</v>
      </c>
      <c r="AM2" s="5"/>
      <c r="AN2" s="5"/>
      <c r="AO2" s="5"/>
      <c r="AP2" s="16"/>
    </row>
    <row r="3" spans="1:42">
      <c r="A3" s="91" t="s">
        <v>110</v>
      </c>
      <c r="B3" s="32">
        <v>2</v>
      </c>
      <c r="C3" s="32">
        <v>3</v>
      </c>
      <c r="D3" s="32">
        <v>3</v>
      </c>
      <c r="E3" s="32">
        <v>4</v>
      </c>
      <c r="F3" s="32">
        <v>4</v>
      </c>
      <c r="G3" s="32">
        <v>5</v>
      </c>
      <c r="H3" s="32">
        <v>3</v>
      </c>
      <c r="I3" s="32">
        <v>3</v>
      </c>
      <c r="J3" s="32">
        <v>3</v>
      </c>
      <c r="K3" s="32">
        <v>4</v>
      </c>
      <c r="L3" s="32">
        <v>3</v>
      </c>
      <c r="M3" s="32">
        <v>2</v>
      </c>
      <c r="N3" s="32">
        <v>2</v>
      </c>
      <c r="O3" s="32">
        <v>2</v>
      </c>
      <c r="P3" s="32">
        <v>2</v>
      </c>
      <c r="Q3" s="32">
        <v>4</v>
      </c>
      <c r="R3" s="32">
        <v>5</v>
      </c>
      <c r="S3" s="32">
        <v>2</v>
      </c>
      <c r="T3" s="30" t="s">
        <v>213</v>
      </c>
      <c r="U3" s="30" t="s">
        <v>213</v>
      </c>
      <c r="V3" s="30" t="s">
        <v>213</v>
      </c>
      <c r="W3" s="32">
        <v>1</v>
      </c>
      <c r="X3" s="32">
        <v>1</v>
      </c>
      <c r="Y3" s="32">
        <v>1</v>
      </c>
      <c r="Z3" s="32">
        <v>1</v>
      </c>
      <c r="AA3" s="5"/>
      <c r="AB3" s="32">
        <v>5</v>
      </c>
      <c r="AC3" s="32">
        <v>5</v>
      </c>
      <c r="AD3" s="32">
        <v>5</v>
      </c>
      <c r="AE3" s="32">
        <v>4</v>
      </c>
      <c r="AF3" s="31"/>
      <c r="AG3" s="5"/>
      <c r="AH3" s="32">
        <v>1</v>
      </c>
      <c r="AI3" s="32">
        <v>2</v>
      </c>
      <c r="AJ3" s="32">
        <v>3</v>
      </c>
      <c r="AK3" s="32">
        <v>4</v>
      </c>
      <c r="AL3" s="32">
        <v>5</v>
      </c>
      <c r="AM3" s="5"/>
      <c r="AN3" s="33" t="s">
        <v>147</v>
      </c>
      <c r="AO3" s="34"/>
      <c r="AP3" s="43"/>
    </row>
    <row r="4" spans="1:42" ht="27.95">
      <c r="A4" s="92"/>
      <c r="B4" s="1" t="s">
        <v>111</v>
      </c>
      <c r="C4" s="1" t="s">
        <v>112</v>
      </c>
      <c r="D4" s="1" t="s">
        <v>113</v>
      </c>
      <c r="E4" s="1" t="s">
        <v>114</v>
      </c>
      <c r="F4" s="1" t="s">
        <v>115</v>
      </c>
      <c r="G4" s="1" t="s">
        <v>116</v>
      </c>
      <c r="H4" s="1" t="s">
        <v>117</v>
      </c>
      <c r="I4" s="1" t="s">
        <v>118</v>
      </c>
      <c r="J4" s="1" t="s">
        <v>119</v>
      </c>
      <c r="K4" s="1" t="s">
        <v>120</v>
      </c>
      <c r="L4" s="1" t="s">
        <v>121</v>
      </c>
      <c r="M4" s="1" t="s">
        <v>122</v>
      </c>
      <c r="N4" s="1" t="s">
        <v>123</v>
      </c>
      <c r="O4" s="1" t="s">
        <v>124</v>
      </c>
      <c r="P4" s="1" t="s">
        <v>125</v>
      </c>
      <c r="Q4" s="1" t="s">
        <v>126</v>
      </c>
      <c r="R4" s="1" t="s">
        <v>127</v>
      </c>
      <c r="S4" s="1" t="s">
        <v>128</v>
      </c>
      <c r="T4" s="1" t="s">
        <v>129</v>
      </c>
      <c r="U4" s="1" t="s">
        <v>130</v>
      </c>
      <c r="V4" s="1" t="s">
        <v>131</v>
      </c>
      <c r="W4" s="1" t="s">
        <v>132</v>
      </c>
      <c r="X4" s="1" t="s">
        <v>133</v>
      </c>
      <c r="Y4" s="1" t="s">
        <v>134</v>
      </c>
      <c r="Z4" s="1" t="s">
        <v>135</v>
      </c>
      <c r="AA4" s="3"/>
      <c r="AB4" s="1" t="s">
        <v>136</v>
      </c>
      <c r="AC4" s="1" t="s">
        <v>137</v>
      </c>
      <c r="AD4" s="1" t="s">
        <v>138</v>
      </c>
      <c r="AE4" s="1" t="s">
        <v>139</v>
      </c>
      <c r="AF4" s="2"/>
      <c r="AG4" s="3"/>
      <c r="AH4" s="1" t="s">
        <v>140</v>
      </c>
      <c r="AI4" s="1" t="s">
        <v>142</v>
      </c>
      <c r="AJ4" s="1" t="s">
        <v>143</v>
      </c>
      <c r="AK4" s="1" t="s">
        <v>144</v>
      </c>
      <c r="AL4" s="1" t="s">
        <v>214</v>
      </c>
      <c r="AM4" s="3"/>
      <c r="AN4" s="1" t="s">
        <v>3</v>
      </c>
      <c r="AO4" s="1" t="s">
        <v>5</v>
      </c>
      <c r="AP4" s="44" t="s">
        <v>7</v>
      </c>
    </row>
    <row r="5" spans="1:42">
      <c r="A5" s="93" t="s">
        <v>215</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36">
        <v>0</v>
      </c>
      <c r="AP5" s="16"/>
    </row>
    <row r="6" spans="1:42">
      <c r="A6" s="93" t="s">
        <v>216</v>
      </c>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5">
        <v>0</v>
      </c>
      <c r="AP6" s="14"/>
    </row>
    <row r="7" spans="1:42">
      <c r="A7" s="93" t="s">
        <v>217</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36">
        <v>0</v>
      </c>
      <c r="AP7" s="16"/>
    </row>
    <row r="8" spans="1:42">
      <c r="A8" s="93" t="s">
        <v>218</v>
      </c>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5">
        <v>0</v>
      </c>
      <c r="AP8" s="14"/>
    </row>
    <row r="9" spans="1:42">
      <c r="A9" s="93" t="s">
        <v>219</v>
      </c>
      <c r="B9" s="5"/>
      <c r="C9" s="36">
        <v>0.13500000000000001</v>
      </c>
      <c r="D9" s="36">
        <v>0.25800000000000001</v>
      </c>
      <c r="E9" s="5"/>
      <c r="F9" s="5"/>
      <c r="G9" s="5"/>
      <c r="H9" s="36">
        <v>0.254</v>
      </c>
      <c r="I9" s="36">
        <v>0.153</v>
      </c>
      <c r="J9" s="36">
        <v>0.113</v>
      </c>
      <c r="K9" s="5"/>
      <c r="L9" s="5"/>
      <c r="M9" s="5"/>
      <c r="N9" s="5"/>
      <c r="O9" s="5"/>
      <c r="P9" s="5"/>
      <c r="Q9" s="5"/>
      <c r="R9" s="5"/>
      <c r="S9" s="36">
        <v>0.27</v>
      </c>
      <c r="T9" s="36">
        <v>0.47799999999999998</v>
      </c>
      <c r="U9" s="36">
        <v>0.223</v>
      </c>
      <c r="V9" s="36">
        <v>0.191</v>
      </c>
      <c r="W9" s="36">
        <v>0.254</v>
      </c>
      <c r="X9" s="36">
        <v>0.13</v>
      </c>
      <c r="Y9" s="36">
        <v>0.25900000000000001</v>
      </c>
      <c r="Z9" s="36">
        <v>0.26600000000000001</v>
      </c>
      <c r="AA9" s="5"/>
      <c r="AB9" s="5"/>
      <c r="AC9" s="5"/>
      <c r="AD9" s="5"/>
      <c r="AE9" s="36">
        <v>0.26900000000000002</v>
      </c>
      <c r="AF9" s="5"/>
      <c r="AG9" s="5"/>
      <c r="AH9" s="36">
        <v>0.128</v>
      </c>
      <c r="AI9" s="5"/>
      <c r="AJ9" s="5"/>
      <c r="AK9" s="5"/>
      <c r="AL9" s="5"/>
      <c r="AM9" s="5"/>
      <c r="AN9" s="36">
        <v>0.128</v>
      </c>
      <c r="AO9" s="5"/>
      <c r="AP9" s="46">
        <v>0</v>
      </c>
    </row>
    <row r="10" spans="1:42">
      <c r="A10" s="93" t="s">
        <v>220</v>
      </c>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5">
        <v>0</v>
      </c>
      <c r="AP10" s="14"/>
    </row>
    <row r="11" spans="1:42">
      <c r="A11" s="93" t="s">
        <v>221</v>
      </c>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36">
        <v>0</v>
      </c>
      <c r="AP11" s="16"/>
    </row>
    <row r="12" spans="1:42">
      <c r="A12" s="93" t="s">
        <v>222</v>
      </c>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5">
        <v>0</v>
      </c>
      <c r="AP12" s="14"/>
    </row>
    <row r="13" spans="1:42">
      <c r="A13" s="93" t="s">
        <v>223</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36">
        <v>0</v>
      </c>
      <c r="AP13" s="16"/>
    </row>
    <row r="14" spans="1:42">
      <c r="A14" s="93" t="s">
        <v>224</v>
      </c>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5">
        <v>0</v>
      </c>
      <c r="AP14" s="14"/>
    </row>
    <row r="15" spans="1:42">
      <c r="A15" s="93" t="s">
        <v>225</v>
      </c>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36">
        <v>0</v>
      </c>
      <c r="AP15" s="16"/>
    </row>
    <row r="16" spans="1:42">
      <c r="A16" s="93" t="s">
        <v>226</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5">
        <v>0</v>
      </c>
      <c r="AP16" s="14"/>
    </row>
    <row r="17" spans="1:42">
      <c r="A17" s="93" t="s">
        <v>227</v>
      </c>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36">
        <v>0</v>
      </c>
      <c r="AP17" s="16"/>
    </row>
    <row r="18" spans="1:42">
      <c r="A18" s="93" t="s">
        <v>228</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5">
        <v>0</v>
      </c>
      <c r="AP18" s="14"/>
    </row>
    <row r="19" spans="1:42">
      <c r="A19" s="93" t="s">
        <v>229</v>
      </c>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36">
        <v>0</v>
      </c>
      <c r="AP19" s="16"/>
    </row>
    <row r="20" spans="1:42">
      <c r="A20" s="93" t="s">
        <v>230</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5">
        <v>0</v>
      </c>
      <c r="AP20" s="14"/>
    </row>
    <row r="21" spans="1:42">
      <c r="A21" s="93" t="s">
        <v>231</v>
      </c>
      <c r="B21" s="5"/>
      <c r="C21" s="36">
        <v>5.79E-2</v>
      </c>
      <c r="D21" s="36">
        <v>4.3499999999999997E-2</v>
      </c>
      <c r="E21" s="5"/>
      <c r="F21" s="5"/>
      <c r="G21" s="5"/>
      <c r="H21" s="36">
        <v>3.7900000000000003E-2</v>
      </c>
      <c r="I21" s="36">
        <v>4.6300000000000001E-2</v>
      </c>
      <c r="J21" s="36">
        <v>3.3799999999999997E-2</v>
      </c>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36">
        <v>0</v>
      </c>
      <c r="AP21" s="16"/>
    </row>
    <row r="22" spans="1:42">
      <c r="A22" s="93" t="s">
        <v>232</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5">
        <v>0</v>
      </c>
      <c r="AP22" s="14"/>
    </row>
    <row r="23" spans="1:42">
      <c r="A23" s="93" t="s">
        <v>233</v>
      </c>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36">
        <v>0</v>
      </c>
      <c r="AP23" s="16"/>
    </row>
    <row r="24" spans="1:42">
      <c r="A24" s="93" t="s">
        <v>234</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5">
        <v>0</v>
      </c>
      <c r="AP24" s="14"/>
    </row>
    <row r="25" spans="1:42">
      <c r="A25" s="93" t="s">
        <v>235</v>
      </c>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36">
        <v>0</v>
      </c>
      <c r="AP25" s="16"/>
    </row>
    <row r="26" spans="1:42">
      <c r="A26" s="93" t="s">
        <v>236</v>
      </c>
      <c r="B26" s="35">
        <v>0.13900000000000001</v>
      </c>
      <c r="C26" s="35">
        <v>0.158</v>
      </c>
      <c r="D26" s="35">
        <v>8.8900000000000007E-2</v>
      </c>
      <c r="E26" s="35">
        <v>0.12</v>
      </c>
      <c r="F26" s="35">
        <v>9.1399999999999995E-2</v>
      </c>
      <c r="G26" s="35">
        <v>8.6499999999999994E-2</v>
      </c>
      <c r="H26" s="35">
        <v>0.20799999999999999</v>
      </c>
      <c r="I26" s="35">
        <v>0.16400000000000001</v>
      </c>
      <c r="J26" s="35">
        <v>0.155</v>
      </c>
      <c r="K26" s="35">
        <v>0.10299999999999999</v>
      </c>
      <c r="L26" s="35">
        <v>0.128</v>
      </c>
      <c r="M26" s="35">
        <v>0.13700000000000001</v>
      </c>
      <c r="N26" s="35">
        <v>0.123</v>
      </c>
      <c r="O26" s="35">
        <v>0.123</v>
      </c>
      <c r="P26" s="35">
        <v>0.159</v>
      </c>
      <c r="Q26" s="35">
        <v>0.10299999999999999</v>
      </c>
      <c r="R26" s="35">
        <v>0.11700000000000001</v>
      </c>
      <c r="S26" s="35">
        <v>0.16200000000000001</v>
      </c>
      <c r="T26" s="35">
        <v>9.3299999999999994E-2</v>
      </c>
      <c r="U26" s="35">
        <v>0.129</v>
      </c>
      <c r="V26" s="35">
        <v>0.186</v>
      </c>
      <c r="W26" s="35">
        <v>0.122</v>
      </c>
      <c r="X26" s="35">
        <v>9.0700000000000003E-2</v>
      </c>
      <c r="Y26" s="35">
        <v>0.183</v>
      </c>
      <c r="Z26" s="35">
        <v>0.157</v>
      </c>
      <c r="AA26" s="3"/>
      <c r="AB26" s="3"/>
      <c r="AC26" s="3"/>
      <c r="AD26" s="3"/>
      <c r="AE26" s="35">
        <v>6.8400000000000002E-2</v>
      </c>
      <c r="AF26" s="3"/>
      <c r="AG26" s="3"/>
      <c r="AH26" s="35">
        <v>0.10199999999999999</v>
      </c>
      <c r="AI26" s="35">
        <v>0.16</v>
      </c>
      <c r="AJ26" s="35">
        <v>0.115</v>
      </c>
      <c r="AK26" s="35">
        <v>0.11899999999999999</v>
      </c>
      <c r="AL26" s="3"/>
      <c r="AM26" s="3"/>
      <c r="AN26" s="35">
        <v>0.124</v>
      </c>
      <c r="AO26" s="35">
        <v>2.52E-2</v>
      </c>
      <c r="AP26" s="45">
        <v>20.3</v>
      </c>
    </row>
    <row r="27" spans="1:42">
      <c r="A27" s="93" t="s">
        <v>237</v>
      </c>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36">
        <v>0</v>
      </c>
      <c r="AP27" s="16"/>
    </row>
    <row r="28" spans="1:42">
      <c r="A28" s="93" t="s">
        <v>238</v>
      </c>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5">
        <v>0</v>
      </c>
      <c r="AP28" s="14"/>
    </row>
    <row r="29" spans="1:42">
      <c r="A29" s="93" t="s">
        <v>239</v>
      </c>
      <c r="B29" s="36">
        <v>5.6300000000000003E-2</v>
      </c>
      <c r="C29" s="36">
        <v>5.21E-2</v>
      </c>
      <c r="D29" s="36">
        <v>3.7199999999999997E-2</v>
      </c>
      <c r="E29" s="5"/>
      <c r="F29" s="5"/>
      <c r="G29" s="36">
        <v>7.0999999999999994E-2</v>
      </c>
      <c r="H29" s="36">
        <v>8.6900000000000005E-2</v>
      </c>
      <c r="I29" s="36">
        <v>6.4799999999999996E-2</v>
      </c>
      <c r="J29" s="36">
        <v>8.6199999999999999E-2</v>
      </c>
      <c r="K29" s="5"/>
      <c r="L29" s="5"/>
      <c r="M29" s="36">
        <v>5.3600000000000002E-2</v>
      </c>
      <c r="N29" s="36">
        <v>2.3599999999999999E-2</v>
      </c>
      <c r="O29" s="36">
        <v>5.5899999999999998E-2</v>
      </c>
      <c r="P29" s="36">
        <v>0.109</v>
      </c>
      <c r="Q29" s="5"/>
      <c r="R29" s="36">
        <v>4.9799999999999997E-2</v>
      </c>
      <c r="S29" s="36">
        <v>5.6800000000000003E-2</v>
      </c>
      <c r="T29" s="36">
        <v>9.3399999999999997E-2</v>
      </c>
      <c r="U29" s="36">
        <v>6.5600000000000006E-2</v>
      </c>
      <c r="V29" s="36">
        <v>3.8300000000000001E-2</v>
      </c>
      <c r="W29" s="36">
        <v>4.1799999999999997E-2</v>
      </c>
      <c r="X29" s="36">
        <v>3.0599999999999999E-2</v>
      </c>
      <c r="Y29" s="36">
        <v>4.2900000000000001E-2</v>
      </c>
      <c r="Z29" s="36">
        <v>7.5999999999999998E-2</v>
      </c>
      <c r="AA29" s="5"/>
      <c r="AB29" s="36">
        <v>0.128</v>
      </c>
      <c r="AC29" s="36">
        <v>3.85E-2</v>
      </c>
      <c r="AD29" s="36">
        <v>5.0799999999999998E-2</v>
      </c>
      <c r="AE29" s="36">
        <v>8.8800000000000004E-2</v>
      </c>
      <c r="AF29" s="5"/>
      <c r="AG29" s="5"/>
      <c r="AH29" s="36">
        <v>6.9599999999999995E-2</v>
      </c>
      <c r="AI29" s="36">
        <v>7.0199999999999999E-2</v>
      </c>
      <c r="AJ29" s="5"/>
      <c r="AK29" s="5"/>
      <c r="AL29" s="36">
        <v>3.15E-2</v>
      </c>
      <c r="AM29" s="5"/>
      <c r="AN29" s="36">
        <v>5.7099999999999998E-2</v>
      </c>
      <c r="AO29" s="36">
        <v>2.2200000000000001E-2</v>
      </c>
      <c r="AP29" s="46">
        <v>38.799999999999997</v>
      </c>
    </row>
    <row r="30" spans="1:42">
      <c r="A30" s="93" t="s">
        <v>240</v>
      </c>
      <c r="B30" s="35">
        <v>1.19</v>
      </c>
      <c r="C30" s="35">
        <v>0.113</v>
      </c>
      <c r="D30" s="35">
        <v>8.0699999999999994E-2</v>
      </c>
      <c r="E30" s="35">
        <v>4.7</v>
      </c>
      <c r="F30" s="35">
        <v>0.80400000000000005</v>
      </c>
      <c r="G30" s="35">
        <v>5.05</v>
      </c>
      <c r="H30" s="35">
        <v>6.4500000000000002E-2</v>
      </c>
      <c r="I30" s="35">
        <v>6.4000000000000001E-2</v>
      </c>
      <c r="J30" s="3"/>
      <c r="K30" s="35">
        <v>0.83</v>
      </c>
      <c r="L30" s="3"/>
      <c r="M30" s="35">
        <v>1.6</v>
      </c>
      <c r="N30" s="35">
        <v>1.87</v>
      </c>
      <c r="O30" s="35">
        <v>1.96</v>
      </c>
      <c r="P30" s="35">
        <v>0.94299999999999995</v>
      </c>
      <c r="Q30" s="35">
        <v>1.38</v>
      </c>
      <c r="R30" s="35">
        <v>5.74</v>
      </c>
      <c r="S30" s="35">
        <v>5.6399999999999999E-2</v>
      </c>
      <c r="T30" s="35">
        <v>0.19900000000000001</v>
      </c>
      <c r="U30" s="35">
        <v>5.0799999999999998E-2</v>
      </c>
      <c r="V30" s="35">
        <v>3.49E-2</v>
      </c>
      <c r="W30" s="35">
        <v>3.32E-2</v>
      </c>
      <c r="X30" s="35">
        <v>2.1899999999999999E-2</v>
      </c>
      <c r="Y30" s="35">
        <v>4.2500000000000003E-2</v>
      </c>
      <c r="Z30" s="35">
        <v>3.5400000000000001E-2</v>
      </c>
      <c r="AA30" s="3"/>
      <c r="AB30" s="35">
        <v>0.69</v>
      </c>
      <c r="AC30" s="35">
        <v>2.1</v>
      </c>
      <c r="AD30" s="35">
        <v>0.72</v>
      </c>
      <c r="AE30" s="35">
        <v>0.86499999999999999</v>
      </c>
      <c r="AF30" s="3"/>
      <c r="AG30" s="3"/>
      <c r="AH30" s="35">
        <v>0.13100000000000001</v>
      </c>
      <c r="AI30" s="35">
        <v>0.89400000000000002</v>
      </c>
      <c r="AJ30" s="3"/>
      <c r="AK30" s="35">
        <v>0.68799999999999994</v>
      </c>
      <c r="AL30" s="35">
        <v>6.16</v>
      </c>
      <c r="AM30" s="3"/>
      <c r="AN30" s="35">
        <v>1.97</v>
      </c>
      <c r="AO30" s="35">
        <v>2.81</v>
      </c>
      <c r="AP30" s="45">
        <v>143</v>
      </c>
    </row>
    <row r="31" spans="1:42">
      <c r="A31" s="93" t="s">
        <v>241</v>
      </c>
      <c r="B31" s="5"/>
      <c r="C31" s="36">
        <v>0.42199999999999999</v>
      </c>
      <c r="D31" s="36">
        <v>0.54700000000000004</v>
      </c>
      <c r="E31" s="5"/>
      <c r="F31" s="5"/>
      <c r="G31" s="5"/>
      <c r="H31" s="36">
        <v>0.31</v>
      </c>
      <c r="I31" s="36">
        <v>0.253</v>
      </c>
      <c r="J31" s="5"/>
      <c r="K31" s="5"/>
      <c r="L31" s="5"/>
      <c r="M31" s="5"/>
      <c r="N31" s="5"/>
      <c r="O31" s="5"/>
      <c r="P31" s="5"/>
      <c r="Q31" s="5"/>
      <c r="R31" s="5"/>
      <c r="S31" s="36">
        <v>0.109</v>
      </c>
      <c r="T31" s="36">
        <v>0.129</v>
      </c>
      <c r="U31" s="36">
        <v>0.58599999999999997</v>
      </c>
      <c r="V31" s="36">
        <v>7.0099999999999996E-2</v>
      </c>
      <c r="W31" s="36">
        <v>0.29599999999999999</v>
      </c>
      <c r="X31" s="36">
        <v>9.8299999999999998E-2</v>
      </c>
      <c r="Y31" s="36">
        <v>0.16400000000000001</v>
      </c>
      <c r="Z31" s="36">
        <v>8.5900000000000004E-2</v>
      </c>
      <c r="AA31" s="5"/>
      <c r="AB31" s="5"/>
      <c r="AC31" s="5"/>
      <c r="AD31" s="5"/>
      <c r="AE31" s="5"/>
      <c r="AF31" s="5"/>
      <c r="AG31" s="5"/>
      <c r="AH31" s="36">
        <v>0.28100000000000003</v>
      </c>
      <c r="AI31" s="5"/>
      <c r="AJ31" s="5"/>
      <c r="AK31" s="5"/>
      <c r="AL31" s="5"/>
      <c r="AM31" s="5"/>
      <c r="AN31" s="36">
        <v>0.28100000000000003</v>
      </c>
      <c r="AO31" s="5"/>
      <c r="AP31" s="46">
        <v>0</v>
      </c>
    </row>
    <row r="32" spans="1:42">
      <c r="A32" s="93" t="s">
        <v>242</v>
      </c>
      <c r="B32" s="3"/>
      <c r="C32" s="35">
        <v>4.1000000000000002E-2</v>
      </c>
      <c r="D32" s="35">
        <v>2.7900000000000001E-2</v>
      </c>
      <c r="E32" s="3"/>
      <c r="F32" s="3"/>
      <c r="G32" s="3"/>
      <c r="H32" s="35">
        <v>8.3599999999999994E-3</v>
      </c>
      <c r="I32" s="35">
        <v>1.4E-2</v>
      </c>
      <c r="J32" s="3"/>
      <c r="K32" s="3"/>
      <c r="L32" s="3"/>
      <c r="M32" s="3"/>
      <c r="N32" s="3"/>
      <c r="O32" s="3"/>
      <c r="P32" s="35">
        <v>4.3E-3</v>
      </c>
      <c r="Q32" s="3"/>
      <c r="R32" s="3"/>
      <c r="S32" s="3"/>
      <c r="T32" s="35">
        <v>2.5399999999999999E-2</v>
      </c>
      <c r="U32" s="35">
        <v>1.6400000000000001E-2</v>
      </c>
      <c r="V32" s="3"/>
      <c r="W32" s="3"/>
      <c r="X32" s="3"/>
      <c r="Y32" s="3"/>
      <c r="Z32" s="3"/>
      <c r="AA32" s="3"/>
      <c r="AB32" s="3"/>
      <c r="AC32" s="3"/>
      <c r="AD32" s="3"/>
      <c r="AE32" s="3"/>
      <c r="AF32" s="3"/>
      <c r="AG32" s="3"/>
      <c r="AH32" s="3"/>
      <c r="AI32" s="3"/>
      <c r="AJ32" s="35">
        <v>7.9500000000000001E-2</v>
      </c>
      <c r="AK32" s="3"/>
      <c r="AL32" s="3"/>
      <c r="AM32" s="3"/>
      <c r="AN32" s="35">
        <v>7.9500000000000001E-2</v>
      </c>
      <c r="AO32" s="3"/>
      <c r="AP32" s="45">
        <v>0</v>
      </c>
    </row>
    <row r="33" spans="1:42">
      <c r="A33" s="93" t="s">
        <v>243</v>
      </c>
      <c r="B33" s="36">
        <v>0.112</v>
      </c>
      <c r="C33" s="36">
        <v>5.8900000000000001E-2</v>
      </c>
      <c r="D33" s="36">
        <v>5.4899999999999997E-2</v>
      </c>
      <c r="E33" s="36">
        <v>0.127</v>
      </c>
      <c r="F33" s="36">
        <v>0.17899999999999999</v>
      </c>
      <c r="G33" s="36">
        <v>0.108</v>
      </c>
      <c r="H33" s="36">
        <v>6.8599999999999994E-2</v>
      </c>
      <c r="I33" s="36">
        <v>5.5199999999999999E-2</v>
      </c>
      <c r="J33" s="36">
        <v>5.3900000000000003E-2</v>
      </c>
      <c r="K33" s="36">
        <v>8.09E-2</v>
      </c>
      <c r="L33" s="5"/>
      <c r="M33" s="36">
        <v>9.0999999999999998E-2</v>
      </c>
      <c r="N33" s="36">
        <v>8.9300000000000004E-2</v>
      </c>
      <c r="O33" s="36">
        <v>9.3399999999999997E-2</v>
      </c>
      <c r="P33" s="36">
        <v>0.11700000000000001</v>
      </c>
      <c r="Q33" s="36">
        <v>7.2099999999999997E-2</v>
      </c>
      <c r="R33" s="36">
        <v>8.8300000000000003E-2</v>
      </c>
      <c r="S33" s="36">
        <v>7.8299999999999995E-2</v>
      </c>
      <c r="T33" s="36">
        <v>6.0400000000000002E-2</v>
      </c>
      <c r="U33" s="36">
        <v>6.5799999999999997E-2</v>
      </c>
      <c r="V33" s="36">
        <v>3.9800000000000002E-2</v>
      </c>
      <c r="W33" s="36">
        <v>5.7200000000000001E-2</v>
      </c>
      <c r="X33" s="36">
        <v>2.92E-2</v>
      </c>
      <c r="Y33" s="36">
        <v>6.8099999999999994E-2</v>
      </c>
      <c r="Z33" s="36">
        <v>6.7400000000000002E-2</v>
      </c>
      <c r="AA33" s="5"/>
      <c r="AB33" s="36">
        <v>9.3700000000000006E-2</v>
      </c>
      <c r="AC33" s="36">
        <v>7.0499999999999993E-2</v>
      </c>
      <c r="AD33" s="36">
        <v>4.7500000000000001E-2</v>
      </c>
      <c r="AE33" s="36">
        <v>0.20200000000000001</v>
      </c>
      <c r="AF33" s="5"/>
      <c r="AG33" s="5"/>
      <c r="AH33" s="5"/>
      <c r="AI33" s="36">
        <v>6.8599999999999994E-2</v>
      </c>
      <c r="AJ33" s="5"/>
      <c r="AK33" s="36">
        <v>6.1899999999999997E-2</v>
      </c>
      <c r="AL33" s="36">
        <v>7.8E-2</v>
      </c>
      <c r="AM33" s="5"/>
      <c r="AN33" s="36">
        <v>6.9500000000000006E-2</v>
      </c>
      <c r="AO33" s="36">
        <v>8.0999999999999996E-3</v>
      </c>
      <c r="AP33" s="46">
        <v>11.6</v>
      </c>
    </row>
    <row r="34" spans="1:42">
      <c r="A34" s="93" t="s">
        <v>244</v>
      </c>
      <c r="B34" s="35">
        <v>1.4500000000000001E-2</v>
      </c>
      <c r="C34" s="35">
        <v>0.496</v>
      </c>
      <c r="D34" s="35">
        <v>0.499</v>
      </c>
      <c r="E34" s="3"/>
      <c r="F34" s="3"/>
      <c r="G34" s="3"/>
      <c r="H34" s="35">
        <v>0.40600000000000003</v>
      </c>
      <c r="I34" s="35">
        <v>0.35799999999999998</v>
      </c>
      <c r="J34" s="35">
        <v>0.5</v>
      </c>
      <c r="K34" s="3"/>
      <c r="L34" s="35">
        <v>0.64400000000000002</v>
      </c>
      <c r="M34" s="35">
        <v>7.2499999999999995E-2</v>
      </c>
      <c r="N34" s="35">
        <v>3.9899999999999998E-2</v>
      </c>
      <c r="O34" s="35">
        <v>2.41E-2</v>
      </c>
      <c r="P34" s="35">
        <v>1.0800000000000001E-2</v>
      </c>
      <c r="Q34" s="3"/>
      <c r="R34" s="3"/>
      <c r="S34" s="35">
        <v>5.2999999999999999E-2</v>
      </c>
      <c r="T34" s="35">
        <v>0.121</v>
      </c>
      <c r="U34" s="35">
        <v>0.1</v>
      </c>
      <c r="V34" s="3"/>
      <c r="W34" s="35">
        <v>0.108</v>
      </c>
      <c r="X34" s="35">
        <v>3.1099999999999999E-2</v>
      </c>
      <c r="Y34" s="35">
        <v>5.3400000000000003E-2</v>
      </c>
      <c r="Z34" s="35">
        <v>3.7600000000000001E-2</v>
      </c>
      <c r="AA34" s="3"/>
      <c r="AB34" s="3"/>
      <c r="AC34" s="3"/>
      <c r="AD34" s="3"/>
      <c r="AE34" s="35">
        <v>0.34100000000000003</v>
      </c>
      <c r="AF34" s="3"/>
      <c r="AG34" s="3"/>
      <c r="AH34" s="3"/>
      <c r="AI34" s="35">
        <v>0.108</v>
      </c>
      <c r="AJ34" s="35">
        <v>0.78700000000000003</v>
      </c>
      <c r="AK34" s="35">
        <v>6.5699999999999995E-2</v>
      </c>
      <c r="AL34" s="3"/>
      <c r="AM34" s="3"/>
      <c r="AN34" s="35">
        <v>0.32</v>
      </c>
      <c r="AO34" s="35">
        <v>0.40500000000000003</v>
      </c>
      <c r="AP34" s="45">
        <v>126</v>
      </c>
    </row>
    <row r="35" spans="1:42">
      <c r="A35" s="93" t="s">
        <v>245</v>
      </c>
      <c r="B35" s="5"/>
      <c r="C35" s="36">
        <v>0.55100000000000005</v>
      </c>
      <c r="D35" s="36">
        <v>0.40600000000000003</v>
      </c>
      <c r="E35" s="5"/>
      <c r="F35" s="5"/>
      <c r="G35" s="36">
        <v>1.9800000000000002E-2</v>
      </c>
      <c r="H35" s="36">
        <v>0.315</v>
      </c>
      <c r="I35" s="36">
        <v>0.20799999999999999</v>
      </c>
      <c r="J35" s="36">
        <v>0.32300000000000001</v>
      </c>
      <c r="K35" s="5"/>
      <c r="L35" s="5"/>
      <c r="M35" s="36">
        <v>6.3899999999999998E-2</v>
      </c>
      <c r="N35" s="5"/>
      <c r="O35" s="5"/>
      <c r="P35" s="5"/>
      <c r="Q35" s="5"/>
      <c r="R35" s="5"/>
      <c r="S35" s="36">
        <v>5.2699999999999997E-2</v>
      </c>
      <c r="T35" s="5"/>
      <c r="U35" s="5"/>
      <c r="V35" s="5"/>
      <c r="W35" s="5"/>
      <c r="X35" s="5"/>
      <c r="Y35" s="5"/>
      <c r="Z35" s="5"/>
      <c r="AA35" s="5"/>
      <c r="AB35" s="36">
        <v>1.9199999999999998E-2</v>
      </c>
      <c r="AC35" s="36">
        <v>2.12E-2</v>
      </c>
      <c r="AD35" s="36">
        <v>2.63E-2</v>
      </c>
      <c r="AE35" s="5"/>
      <c r="AF35" s="5"/>
      <c r="AG35" s="5"/>
      <c r="AH35" s="5"/>
      <c r="AI35" s="36">
        <v>6.4399999999999999E-2</v>
      </c>
      <c r="AJ35" s="5"/>
      <c r="AK35" s="5"/>
      <c r="AL35" s="36">
        <v>3.6900000000000002E-2</v>
      </c>
      <c r="AM35" s="5"/>
      <c r="AN35" s="36">
        <v>5.0700000000000002E-2</v>
      </c>
      <c r="AO35" s="36">
        <v>1.9400000000000001E-2</v>
      </c>
      <c r="AP35" s="46">
        <v>38.299999999999997</v>
      </c>
    </row>
    <row r="36" spans="1:42">
      <c r="A36" s="93" t="s">
        <v>246</v>
      </c>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5">
        <v>0</v>
      </c>
      <c r="AP36" s="14"/>
    </row>
    <row r="37" spans="1:42">
      <c r="A37" s="93" t="s">
        <v>247</v>
      </c>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36">
        <v>0</v>
      </c>
      <c r="AP37" s="16"/>
    </row>
    <row r="38" spans="1:42">
      <c r="A38" s="93" t="s">
        <v>248</v>
      </c>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5">
        <v>0</v>
      </c>
      <c r="AP38" s="14"/>
    </row>
    <row r="39" spans="1:42">
      <c r="A39" s="93" t="s">
        <v>249</v>
      </c>
      <c r="B39" s="5"/>
      <c r="C39" s="36">
        <v>1.35E-2</v>
      </c>
      <c r="D39" s="5"/>
      <c r="E39" s="5"/>
      <c r="F39" s="5"/>
      <c r="G39" s="5"/>
      <c r="H39" s="5"/>
      <c r="I39" s="5"/>
      <c r="J39" s="5"/>
      <c r="K39" s="5"/>
      <c r="L39" s="5"/>
      <c r="M39" s="5"/>
      <c r="N39" s="5"/>
      <c r="O39" s="5"/>
      <c r="P39" s="5"/>
      <c r="Q39" s="5"/>
      <c r="R39" s="5"/>
      <c r="S39" s="5"/>
      <c r="T39" s="5"/>
      <c r="U39" s="5"/>
      <c r="V39" s="5"/>
      <c r="W39" s="36">
        <v>1.0800000000000001E-2</v>
      </c>
      <c r="X39" s="5"/>
      <c r="Y39" s="5"/>
      <c r="Z39" s="5"/>
      <c r="AA39" s="5"/>
      <c r="AB39" s="5"/>
      <c r="AC39" s="5"/>
      <c r="AD39" s="5"/>
      <c r="AE39" s="5"/>
      <c r="AF39" s="5"/>
      <c r="AG39" s="5"/>
      <c r="AH39" s="5"/>
      <c r="AI39" s="5"/>
      <c r="AJ39" s="5"/>
      <c r="AK39" s="5"/>
      <c r="AL39" s="5"/>
      <c r="AM39" s="5"/>
      <c r="AN39" s="5"/>
      <c r="AO39" s="36">
        <v>0</v>
      </c>
      <c r="AP39" s="16"/>
    </row>
    <row r="40" spans="1:42">
      <c r="A40" s="93" t="s">
        <v>250</v>
      </c>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5">
        <v>0</v>
      </c>
      <c r="AP40" s="14"/>
    </row>
    <row r="41" spans="1:42">
      <c r="A41" s="93" t="s">
        <v>251</v>
      </c>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36">
        <v>0</v>
      </c>
      <c r="AP41" s="16"/>
    </row>
    <row r="42" spans="1:42">
      <c r="A42" s="93" t="s">
        <v>252</v>
      </c>
      <c r="B42" s="35">
        <v>2.9100000000000001E-2</v>
      </c>
      <c r="C42" s="35">
        <v>2.06E-2</v>
      </c>
      <c r="D42" s="35">
        <v>1.7399999999999999E-2</v>
      </c>
      <c r="E42" s="35">
        <v>1.78E-2</v>
      </c>
      <c r="F42" s="35">
        <v>3.78E-2</v>
      </c>
      <c r="G42" s="35">
        <v>1.37E-2</v>
      </c>
      <c r="H42" s="35">
        <v>1.6299999999999999E-2</v>
      </c>
      <c r="I42" s="35">
        <v>1.78E-2</v>
      </c>
      <c r="J42" s="35">
        <v>1.1599999999999999E-2</v>
      </c>
      <c r="K42" s="35">
        <v>2.5700000000000001E-2</v>
      </c>
      <c r="L42" s="35">
        <v>5.8599999999999999E-2</v>
      </c>
      <c r="M42" s="35">
        <v>2.3400000000000001E-2</v>
      </c>
      <c r="N42" s="35">
        <v>2.0299999999999999E-2</v>
      </c>
      <c r="O42" s="35">
        <v>1.67E-2</v>
      </c>
      <c r="P42" s="35">
        <v>1.9599999999999999E-2</v>
      </c>
      <c r="Q42" s="35">
        <v>2.12E-2</v>
      </c>
      <c r="R42" s="35">
        <v>5.7499999999999999E-3</v>
      </c>
      <c r="S42" s="35">
        <v>1.6299999999999999E-2</v>
      </c>
      <c r="T42" s="35">
        <v>1.7100000000000001E-2</v>
      </c>
      <c r="U42" s="35">
        <v>1.5299999999999999E-2</v>
      </c>
      <c r="V42" s="35">
        <v>1.7100000000000001E-2</v>
      </c>
      <c r="W42" s="35">
        <v>9.41E-3</v>
      </c>
      <c r="X42" s="35">
        <v>9.0500000000000008E-3</v>
      </c>
      <c r="Y42" s="35">
        <v>9.2499999999999995E-3</v>
      </c>
      <c r="Z42" s="35">
        <v>1.7000000000000001E-2</v>
      </c>
      <c r="AA42" s="3"/>
      <c r="AB42" s="35">
        <v>1.0800000000000001E-2</v>
      </c>
      <c r="AC42" s="35">
        <v>1.0200000000000001E-2</v>
      </c>
      <c r="AD42" s="35">
        <v>1.24E-2</v>
      </c>
      <c r="AE42" s="35">
        <v>3.2500000000000001E-2</v>
      </c>
      <c r="AF42" s="3"/>
      <c r="AG42" s="3"/>
      <c r="AH42" s="35">
        <v>1.2699999999999999E-2</v>
      </c>
      <c r="AI42" s="35">
        <v>2.6200000000000001E-2</v>
      </c>
      <c r="AJ42" s="35">
        <v>0.04</v>
      </c>
      <c r="AK42" s="35">
        <v>2.23E-2</v>
      </c>
      <c r="AL42" s="35">
        <v>1.3899999999999999E-2</v>
      </c>
      <c r="AM42" s="3"/>
      <c r="AN42" s="35">
        <v>2.3E-2</v>
      </c>
      <c r="AO42" s="35">
        <v>1.0999999999999999E-2</v>
      </c>
      <c r="AP42" s="45">
        <v>47.9</v>
      </c>
    </row>
    <row r="43" spans="1:42">
      <c r="A43" s="93" t="s">
        <v>253</v>
      </c>
      <c r="B43" s="36">
        <v>1.4500000000000001E-2</v>
      </c>
      <c r="C43" s="36">
        <v>7.7700000000000005E-2</v>
      </c>
      <c r="D43" s="36">
        <v>7.4300000000000005E-2</v>
      </c>
      <c r="E43" s="36">
        <v>0.04</v>
      </c>
      <c r="F43" s="36">
        <v>3.9600000000000003E-2</v>
      </c>
      <c r="G43" s="36">
        <v>2.6499999999999999E-2</v>
      </c>
      <c r="H43" s="36">
        <v>6.1899999999999997E-2</v>
      </c>
      <c r="I43" s="36">
        <v>4.5999999999999999E-2</v>
      </c>
      <c r="J43" s="36">
        <v>8.2699999999999996E-2</v>
      </c>
      <c r="K43" s="5"/>
      <c r="L43" s="5"/>
      <c r="M43" s="36">
        <v>3.8100000000000002E-2</v>
      </c>
      <c r="N43" s="36">
        <v>2.5999999999999999E-2</v>
      </c>
      <c r="O43" s="36">
        <v>2.8799999999999999E-2</v>
      </c>
      <c r="P43" s="36">
        <v>1.7999999999999999E-2</v>
      </c>
      <c r="Q43" s="36">
        <v>3.0200000000000001E-2</v>
      </c>
      <c r="R43" s="36">
        <v>3.3099999999999997E-2</v>
      </c>
      <c r="S43" s="36">
        <v>2.5600000000000001E-2</v>
      </c>
      <c r="T43" s="36">
        <v>3.7600000000000001E-2</v>
      </c>
      <c r="U43" s="36">
        <v>2.5899999999999999E-2</v>
      </c>
      <c r="V43" s="36">
        <v>7.1900000000000002E-3</v>
      </c>
      <c r="W43" s="36">
        <v>2.2499999999999999E-2</v>
      </c>
      <c r="X43" s="36">
        <v>9.6900000000000007E-3</v>
      </c>
      <c r="Y43" s="36">
        <v>1.5100000000000001E-2</v>
      </c>
      <c r="Z43" s="36">
        <v>7.8399999999999997E-3</v>
      </c>
      <c r="AA43" s="5"/>
      <c r="AB43" s="36">
        <v>9.4599999999999997E-3</v>
      </c>
      <c r="AC43" s="36">
        <v>1.6299999999999999E-2</v>
      </c>
      <c r="AD43" s="36">
        <v>2.41E-2</v>
      </c>
      <c r="AE43" s="5"/>
      <c r="AF43" s="5"/>
      <c r="AG43" s="5"/>
      <c r="AH43" s="36">
        <v>2.01E-2</v>
      </c>
      <c r="AI43" s="36">
        <v>2.7E-2</v>
      </c>
      <c r="AJ43" s="36">
        <v>5.2699999999999997E-2</v>
      </c>
      <c r="AK43" s="36">
        <v>2.6499999999999999E-2</v>
      </c>
      <c r="AL43" s="36">
        <v>3.3399999999999999E-2</v>
      </c>
      <c r="AM43" s="5"/>
      <c r="AN43" s="36">
        <v>3.1899999999999998E-2</v>
      </c>
      <c r="AO43" s="36">
        <v>1.2500000000000001E-2</v>
      </c>
      <c r="AP43" s="46">
        <v>39.299999999999997</v>
      </c>
    </row>
    <row r="44" spans="1:42">
      <c r="A44" s="93" t="s">
        <v>254</v>
      </c>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5">
        <v>0</v>
      </c>
      <c r="AP44" s="14"/>
    </row>
    <row r="45" spans="1:42">
      <c r="A45" s="93" t="s">
        <v>255</v>
      </c>
      <c r="B45" s="5"/>
      <c r="C45" s="36">
        <v>4.5400000000000003E-2</v>
      </c>
      <c r="D45" s="36">
        <v>3.44E-2</v>
      </c>
      <c r="E45" s="5"/>
      <c r="F45" s="5"/>
      <c r="G45" s="5"/>
      <c r="H45" s="36">
        <v>2.7699999999999999E-2</v>
      </c>
      <c r="I45" s="36">
        <v>3.1E-2</v>
      </c>
      <c r="J45" s="36">
        <v>3.32E-2</v>
      </c>
      <c r="K45" s="5"/>
      <c r="L45" s="5"/>
      <c r="M45" s="5"/>
      <c r="N45" s="5"/>
      <c r="O45" s="5"/>
      <c r="P45" s="5"/>
      <c r="Q45" s="5"/>
      <c r="R45" s="5"/>
      <c r="S45" s="36">
        <v>7.7499999999999999E-3</v>
      </c>
      <c r="T45" s="36">
        <v>4.4200000000000003E-3</v>
      </c>
      <c r="U45" s="36">
        <v>2.1000000000000001E-2</v>
      </c>
      <c r="V45" s="36">
        <v>3.6900000000000001E-3</v>
      </c>
      <c r="W45" s="36">
        <v>1.46E-2</v>
      </c>
      <c r="X45" s="36">
        <v>1.5100000000000001E-3</v>
      </c>
      <c r="Y45" s="5"/>
      <c r="Z45" s="36">
        <v>1.5499999999999999E-3</v>
      </c>
      <c r="AA45" s="5"/>
      <c r="AB45" s="5"/>
      <c r="AC45" s="5"/>
      <c r="AD45" s="5"/>
      <c r="AE45" s="5"/>
      <c r="AF45" s="5"/>
      <c r="AG45" s="5"/>
      <c r="AH45" s="36">
        <v>9.2700000000000005E-3</v>
      </c>
      <c r="AI45" s="5"/>
      <c r="AJ45" s="5"/>
      <c r="AK45" s="5"/>
      <c r="AL45" s="5"/>
      <c r="AM45" s="5"/>
      <c r="AN45" s="36">
        <v>9.2700000000000005E-3</v>
      </c>
      <c r="AO45" s="5"/>
      <c r="AP45" s="46">
        <v>0</v>
      </c>
    </row>
    <row r="46" spans="1:42">
      <c r="A46" s="93" t="s">
        <v>256</v>
      </c>
      <c r="B46" s="3"/>
      <c r="C46" s="35">
        <v>9.74E-2</v>
      </c>
      <c r="D46" s="35">
        <v>0.11700000000000001</v>
      </c>
      <c r="E46" s="3"/>
      <c r="F46" s="3"/>
      <c r="G46" s="3"/>
      <c r="H46" s="35">
        <v>5.9700000000000003E-2</v>
      </c>
      <c r="I46" s="35">
        <v>3.61E-2</v>
      </c>
      <c r="J46" s="35">
        <v>0.109</v>
      </c>
      <c r="K46" s="3"/>
      <c r="L46" s="3"/>
      <c r="M46" s="3"/>
      <c r="N46" s="3"/>
      <c r="O46" s="3"/>
      <c r="P46" s="3"/>
      <c r="Q46" s="3"/>
      <c r="R46" s="3"/>
      <c r="S46" s="3"/>
      <c r="T46" s="3"/>
      <c r="U46" s="3"/>
      <c r="V46" s="3"/>
      <c r="W46" s="3"/>
      <c r="X46" s="3"/>
      <c r="Y46" s="3"/>
      <c r="Z46" s="3"/>
      <c r="AA46" s="3"/>
      <c r="AB46" s="3"/>
      <c r="AC46" s="3"/>
      <c r="AD46" s="3"/>
      <c r="AE46" s="3"/>
      <c r="AF46" s="3"/>
      <c r="AG46" s="3"/>
      <c r="AH46" s="3"/>
      <c r="AI46" s="3"/>
      <c r="AJ46" s="35">
        <v>0.11799999999999999</v>
      </c>
      <c r="AK46" s="3"/>
      <c r="AL46" s="3"/>
      <c r="AM46" s="3"/>
      <c r="AN46" s="35">
        <v>0.11799999999999999</v>
      </c>
      <c r="AO46" s="3"/>
      <c r="AP46" s="45">
        <v>0</v>
      </c>
    </row>
    <row r="47" spans="1:42">
      <c r="A47" s="93" t="s">
        <v>257</v>
      </c>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36">
        <v>0</v>
      </c>
      <c r="AP47" s="16"/>
    </row>
    <row r="48" spans="1:42">
      <c r="A48" s="93" t="s">
        <v>258</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5">
        <v>0</v>
      </c>
      <c r="AP48" s="14"/>
    </row>
    <row r="49" spans="1:42">
      <c r="A49" s="93" t="s">
        <v>259</v>
      </c>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36">
        <v>0</v>
      </c>
      <c r="AP49" s="16"/>
    </row>
    <row r="50" spans="1:42">
      <c r="A50" s="93" t="s">
        <v>260</v>
      </c>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5">
        <v>0</v>
      </c>
      <c r="AP50" s="14"/>
    </row>
    <row r="51" spans="1:42">
      <c r="A51" s="93" t="s">
        <v>261</v>
      </c>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36">
        <v>0</v>
      </c>
      <c r="AP51" s="16"/>
    </row>
    <row r="52" spans="1:42">
      <c r="A52" s="93" t="s">
        <v>262</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5">
        <v>0</v>
      </c>
      <c r="AP52" s="14"/>
    </row>
    <row r="53" spans="1:42">
      <c r="A53" s="93" t="s">
        <v>263</v>
      </c>
      <c r="B53" s="36">
        <v>0.106</v>
      </c>
      <c r="C53" s="36">
        <v>7.46E-2</v>
      </c>
      <c r="D53" s="36">
        <v>7.5899999999999995E-2</v>
      </c>
      <c r="E53" s="5"/>
      <c r="F53" s="5"/>
      <c r="G53" s="36">
        <v>0.105</v>
      </c>
      <c r="H53" s="36">
        <v>0.16600000000000001</v>
      </c>
      <c r="I53" s="36">
        <v>9.2700000000000005E-2</v>
      </c>
      <c r="J53" s="36">
        <v>8.3299999999999999E-2</v>
      </c>
      <c r="K53" s="5"/>
      <c r="L53" s="5"/>
      <c r="M53" s="36">
        <v>6.9599999999999995E-2</v>
      </c>
      <c r="N53" s="36">
        <v>5.2299999999999999E-2</v>
      </c>
      <c r="O53" s="36">
        <v>0.10299999999999999</v>
      </c>
      <c r="P53" s="36">
        <v>0.224</v>
      </c>
      <c r="Q53" s="5"/>
      <c r="R53" s="36">
        <v>6.0699999999999997E-2</v>
      </c>
      <c r="S53" s="36">
        <v>0.11600000000000001</v>
      </c>
      <c r="T53" s="36">
        <v>8.4699999999999998E-2</v>
      </c>
      <c r="U53" s="36">
        <v>9.3200000000000005E-2</v>
      </c>
      <c r="V53" s="36">
        <v>3.3500000000000002E-2</v>
      </c>
      <c r="W53" s="36">
        <v>7.0099999999999996E-2</v>
      </c>
      <c r="X53" s="36">
        <v>5.2900000000000003E-2</v>
      </c>
      <c r="Y53" s="36">
        <v>0.129</v>
      </c>
      <c r="Z53" s="36">
        <v>0.20799999999999999</v>
      </c>
      <c r="AA53" s="5"/>
      <c r="AB53" s="36">
        <v>0.34100000000000003</v>
      </c>
      <c r="AC53" s="36">
        <v>6.9800000000000001E-2</v>
      </c>
      <c r="AD53" s="36">
        <v>6.0900000000000003E-2</v>
      </c>
      <c r="AE53" s="36">
        <v>0.182</v>
      </c>
      <c r="AF53" s="5"/>
      <c r="AG53" s="5"/>
      <c r="AH53" s="36">
        <v>4.7100000000000003E-2</v>
      </c>
      <c r="AI53" s="36">
        <v>8.3500000000000005E-2</v>
      </c>
      <c r="AJ53" s="36">
        <v>8.8900000000000007E-2</v>
      </c>
      <c r="AK53" s="5"/>
      <c r="AL53" s="36">
        <v>5.5100000000000003E-2</v>
      </c>
      <c r="AM53" s="5"/>
      <c r="AN53" s="36">
        <v>6.8599999999999994E-2</v>
      </c>
      <c r="AO53" s="36">
        <v>2.06E-2</v>
      </c>
      <c r="AP53" s="46">
        <v>30</v>
      </c>
    </row>
    <row r="54" spans="1:42">
      <c r="A54" s="93" t="s">
        <v>264</v>
      </c>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5">
        <v>0</v>
      </c>
      <c r="AP54" s="14"/>
    </row>
    <row r="55" spans="1:42">
      <c r="A55" s="93" t="s">
        <v>265</v>
      </c>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36">
        <v>0</v>
      </c>
      <c r="AP55" s="16"/>
    </row>
    <row r="56" spans="1:42">
      <c r="A56" s="93" t="s">
        <v>266</v>
      </c>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5">
        <v>0</v>
      </c>
      <c r="AP56" s="14"/>
    </row>
    <row r="57" spans="1:42">
      <c r="A57" s="93" t="s">
        <v>267</v>
      </c>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36">
        <v>0</v>
      </c>
      <c r="AP57" s="16"/>
    </row>
    <row r="58" spans="1:42">
      <c r="A58" s="93" t="s">
        <v>268</v>
      </c>
      <c r="B58" s="3"/>
      <c r="C58" s="35">
        <v>5.9499999999999997E-2</v>
      </c>
      <c r="D58" s="35">
        <v>5.0799999999999998E-2</v>
      </c>
      <c r="E58" s="3"/>
      <c r="F58" s="3"/>
      <c r="G58" s="3"/>
      <c r="H58" s="35">
        <v>3.4799999999999998E-2</v>
      </c>
      <c r="I58" s="35">
        <v>4.2000000000000003E-2</v>
      </c>
      <c r="J58" s="35">
        <v>2.01E-2</v>
      </c>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5">
        <v>0</v>
      </c>
      <c r="AP58" s="14"/>
    </row>
    <row r="59" spans="1:42">
      <c r="A59" s="93" t="s">
        <v>269</v>
      </c>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36">
        <v>0</v>
      </c>
      <c r="AP59" s="16"/>
    </row>
    <row r="60" spans="1:42">
      <c r="A60" s="93" t="s">
        <v>270</v>
      </c>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5">
        <v>0</v>
      </c>
      <c r="AP60" s="14"/>
    </row>
    <row r="61" spans="1:42">
      <c r="A61" s="93" t="s">
        <v>271</v>
      </c>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36">
        <v>0</v>
      </c>
      <c r="AP61" s="16"/>
    </row>
    <row r="62" spans="1:42">
      <c r="A62" s="93" t="s">
        <v>272</v>
      </c>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5">
        <v>0</v>
      </c>
      <c r="AP62" s="14"/>
    </row>
    <row r="63" spans="1:42">
      <c r="A63" s="93" t="s">
        <v>273</v>
      </c>
      <c r="B63" s="5"/>
      <c r="C63" s="36">
        <v>0.29199999999999998</v>
      </c>
      <c r="D63" s="36">
        <v>0.441</v>
      </c>
      <c r="E63" s="5"/>
      <c r="F63" s="5"/>
      <c r="G63" s="5"/>
      <c r="H63" s="36">
        <v>0.13600000000000001</v>
      </c>
      <c r="I63" s="36">
        <v>6.0199999999999997E-2</v>
      </c>
      <c r="J63" s="36">
        <v>0.16900000000000001</v>
      </c>
      <c r="K63" s="5"/>
      <c r="L63" s="5"/>
      <c r="M63" s="5"/>
      <c r="N63" s="5"/>
      <c r="O63" s="5"/>
      <c r="P63" s="5"/>
      <c r="Q63" s="5"/>
      <c r="R63" s="5"/>
      <c r="S63" s="5"/>
      <c r="T63" s="5"/>
      <c r="U63" s="5"/>
      <c r="V63" s="5"/>
      <c r="W63" s="5"/>
      <c r="X63" s="5"/>
      <c r="Y63" s="5"/>
      <c r="Z63" s="5"/>
      <c r="AA63" s="5"/>
      <c r="AB63" s="5"/>
      <c r="AC63" s="5"/>
      <c r="AD63" s="5"/>
      <c r="AE63" s="5"/>
      <c r="AF63" s="5"/>
      <c r="AG63" s="5"/>
      <c r="AH63" s="5"/>
      <c r="AI63" s="5"/>
      <c r="AJ63" s="36">
        <v>7.9500000000000001E-2</v>
      </c>
      <c r="AK63" s="5"/>
      <c r="AL63" s="5"/>
      <c r="AM63" s="5"/>
      <c r="AN63" s="36">
        <v>7.9500000000000001E-2</v>
      </c>
      <c r="AO63" s="5"/>
      <c r="AP63" s="46">
        <v>0</v>
      </c>
    </row>
    <row r="64" spans="1:42">
      <c r="A64" s="93" t="s">
        <v>274</v>
      </c>
      <c r="B64" s="35">
        <v>3.7199999999999997E-2</v>
      </c>
      <c r="C64" s="35">
        <v>4.6199999999999998E-2</v>
      </c>
      <c r="D64" s="3"/>
      <c r="E64" s="3"/>
      <c r="F64" s="3"/>
      <c r="G64" s="3"/>
      <c r="H64" s="35">
        <v>4.6899999999999997E-2</v>
      </c>
      <c r="I64" s="35">
        <v>3.6600000000000001E-2</v>
      </c>
      <c r="J64" s="35">
        <v>5.1999999999999998E-2</v>
      </c>
      <c r="K64" s="3"/>
      <c r="L64" s="3"/>
      <c r="M64" s="35">
        <v>5.0599999999999999E-2</v>
      </c>
      <c r="N64" s="3"/>
      <c r="O64" s="3"/>
      <c r="P64" s="35">
        <v>4.8099999999999997E-2</v>
      </c>
      <c r="Q64" s="3"/>
      <c r="R64" s="3"/>
      <c r="S64" s="35">
        <v>0.111</v>
      </c>
      <c r="T64" s="3"/>
      <c r="U64" s="3"/>
      <c r="V64" s="3"/>
      <c r="W64" s="3"/>
      <c r="X64" s="3"/>
      <c r="Y64" s="35">
        <v>5.0900000000000001E-2</v>
      </c>
      <c r="Z64" s="35">
        <v>6.7699999999999996E-2</v>
      </c>
      <c r="AA64" s="3"/>
      <c r="AB64" s="35">
        <v>7.3800000000000004E-2</v>
      </c>
      <c r="AC64" s="3"/>
      <c r="AD64" s="3"/>
      <c r="AE64" s="3"/>
      <c r="AF64" s="3"/>
      <c r="AG64" s="3"/>
      <c r="AH64" s="3"/>
      <c r="AI64" s="35">
        <v>3.0099999999999998E-2</v>
      </c>
      <c r="AJ64" s="3"/>
      <c r="AK64" s="3"/>
      <c r="AL64" s="3"/>
      <c r="AM64" s="3"/>
      <c r="AN64" s="35">
        <v>3.0099999999999998E-2</v>
      </c>
      <c r="AO64" s="3"/>
      <c r="AP64" s="45">
        <v>0</v>
      </c>
    </row>
    <row r="65" spans="1:42">
      <c r="A65" s="93" t="s">
        <v>275</v>
      </c>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36">
        <v>0</v>
      </c>
      <c r="AP65" s="16"/>
    </row>
    <row r="66" spans="1:42">
      <c r="A66" s="93" t="s">
        <v>276</v>
      </c>
      <c r="B66" s="35">
        <v>3.26</v>
      </c>
      <c r="C66" s="35">
        <v>2.17</v>
      </c>
      <c r="D66" s="35">
        <v>0.76700000000000002</v>
      </c>
      <c r="E66" s="35">
        <v>1.1599999999999999</v>
      </c>
      <c r="F66" s="35">
        <v>1.45</v>
      </c>
      <c r="G66" s="35">
        <v>1.59</v>
      </c>
      <c r="H66" s="35">
        <v>4.13</v>
      </c>
      <c r="I66" s="35">
        <v>3.51</v>
      </c>
      <c r="J66" s="35">
        <v>4.6100000000000003</v>
      </c>
      <c r="K66" s="35">
        <v>2.83</v>
      </c>
      <c r="L66" s="35">
        <v>4.75</v>
      </c>
      <c r="M66" s="35">
        <v>8.73</v>
      </c>
      <c r="N66" s="35">
        <v>3.22</v>
      </c>
      <c r="O66" s="35">
        <v>2.5</v>
      </c>
      <c r="P66" s="35">
        <v>2.68</v>
      </c>
      <c r="Q66" s="35">
        <v>2.76</v>
      </c>
      <c r="R66" s="35">
        <v>2.38</v>
      </c>
      <c r="S66" s="35">
        <v>5.19</v>
      </c>
      <c r="T66" s="35">
        <v>3.73</v>
      </c>
      <c r="U66" s="35">
        <v>3.77</v>
      </c>
      <c r="V66" s="35">
        <v>13.1</v>
      </c>
      <c r="W66" s="35">
        <v>6.9</v>
      </c>
      <c r="X66" s="35">
        <v>3.18</v>
      </c>
      <c r="Y66" s="35">
        <v>4.0199999999999996</v>
      </c>
      <c r="Z66" s="35">
        <v>4.9000000000000004</v>
      </c>
      <c r="AA66" s="3"/>
      <c r="AB66" s="35">
        <v>2.37</v>
      </c>
      <c r="AC66" s="35">
        <v>5.17</v>
      </c>
      <c r="AD66" s="35">
        <v>5.15</v>
      </c>
      <c r="AE66" s="35">
        <v>2.61</v>
      </c>
      <c r="AF66" s="3"/>
      <c r="AG66" s="3"/>
      <c r="AH66" s="35">
        <v>3.64</v>
      </c>
      <c r="AI66" s="35">
        <v>3.02</v>
      </c>
      <c r="AJ66" s="35">
        <v>4.2699999999999996</v>
      </c>
      <c r="AK66" s="35">
        <v>3.26</v>
      </c>
      <c r="AL66" s="35">
        <v>3.18</v>
      </c>
      <c r="AM66" s="3"/>
      <c r="AN66" s="35">
        <v>3.47</v>
      </c>
      <c r="AO66" s="35">
        <v>0.5</v>
      </c>
      <c r="AP66" s="45">
        <v>14.4</v>
      </c>
    </row>
    <row r="67" spans="1:42">
      <c r="A67" s="93" t="s">
        <v>277</v>
      </c>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36">
        <v>0</v>
      </c>
      <c r="AP67" s="16"/>
    </row>
    <row r="68" spans="1:42">
      <c r="A68" s="93" t="s">
        <v>278</v>
      </c>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5">
        <v>0</v>
      </c>
      <c r="AP68" s="14"/>
    </row>
    <row r="69" spans="1:42">
      <c r="A69" s="93" t="s">
        <v>279</v>
      </c>
      <c r="B69" s="36">
        <v>6.6500000000000004E-2</v>
      </c>
      <c r="C69" s="36">
        <v>5.4800000000000001E-2</v>
      </c>
      <c r="D69" s="36">
        <v>1.7899999999999999E-2</v>
      </c>
      <c r="E69" s="5"/>
      <c r="F69" s="5"/>
      <c r="G69" s="36">
        <v>3.5700000000000003E-2</v>
      </c>
      <c r="H69" s="36">
        <v>0.105</v>
      </c>
      <c r="I69" s="36">
        <v>7.0900000000000005E-2</v>
      </c>
      <c r="J69" s="36">
        <v>0.109</v>
      </c>
      <c r="K69" s="36">
        <v>8.1500000000000003E-2</v>
      </c>
      <c r="L69" s="5"/>
      <c r="M69" s="36">
        <v>0.17100000000000001</v>
      </c>
      <c r="N69" s="36">
        <v>6.0199999999999997E-2</v>
      </c>
      <c r="O69" s="36">
        <v>4.9000000000000002E-2</v>
      </c>
      <c r="P69" s="36">
        <v>5.8400000000000001E-2</v>
      </c>
      <c r="Q69" s="36">
        <v>0.10199999999999999</v>
      </c>
      <c r="R69" s="36">
        <v>4.7800000000000002E-2</v>
      </c>
      <c r="S69" s="36">
        <v>0.14099999999999999</v>
      </c>
      <c r="T69" s="36">
        <v>0.14499999999999999</v>
      </c>
      <c r="U69" s="36">
        <v>9.6699999999999994E-2</v>
      </c>
      <c r="V69" s="36">
        <v>0.13900000000000001</v>
      </c>
      <c r="W69" s="36">
        <v>0.14199999999999999</v>
      </c>
      <c r="X69" s="5"/>
      <c r="Y69" s="36">
        <v>9.0700000000000003E-2</v>
      </c>
      <c r="Z69" s="36">
        <v>0.112</v>
      </c>
      <c r="AA69" s="5"/>
      <c r="AB69" s="36">
        <v>4.8399999999999999E-2</v>
      </c>
      <c r="AC69" s="36">
        <v>9.4600000000000004E-2</v>
      </c>
      <c r="AD69" s="36">
        <v>9.74E-2</v>
      </c>
      <c r="AE69" s="36">
        <v>9.9500000000000005E-2</v>
      </c>
      <c r="AF69" s="5"/>
      <c r="AG69" s="5"/>
      <c r="AH69" s="36">
        <v>9.9400000000000002E-2</v>
      </c>
      <c r="AI69" s="36">
        <v>6.8099999999999994E-2</v>
      </c>
      <c r="AJ69" s="36">
        <v>0.13600000000000001</v>
      </c>
      <c r="AK69" s="36">
        <v>9.5600000000000004E-2</v>
      </c>
      <c r="AL69" s="36">
        <v>7.0199999999999999E-2</v>
      </c>
      <c r="AM69" s="5"/>
      <c r="AN69" s="36">
        <v>9.3899999999999997E-2</v>
      </c>
      <c r="AO69" s="36">
        <v>2.75E-2</v>
      </c>
      <c r="AP69" s="46">
        <v>29.3</v>
      </c>
    </row>
    <row r="70" spans="1:42">
      <c r="A70" s="93" t="s">
        <v>280</v>
      </c>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5">
        <v>0</v>
      </c>
      <c r="AP70" s="14"/>
    </row>
    <row r="71" spans="1:42">
      <c r="A71" s="93" t="s">
        <v>281</v>
      </c>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36">
        <v>0</v>
      </c>
      <c r="AP71" s="16"/>
    </row>
    <row r="72" spans="1:42">
      <c r="A72" s="93" t="s">
        <v>282</v>
      </c>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5">
        <v>0</v>
      </c>
      <c r="AP72" s="14"/>
    </row>
    <row r="73" spans="1:42">
      <c r="A73" s="93" t="s">
        <v>283</v>
      </c>
      <c r="B73" s="36">
        <v>4.4299999999999999E-2</v>
      </c>
      <c r="C73" s="36">
        <v>5.4300000000000001E-2</v>
      </c>
      <c r="D73" s="36">
        <v>0.06</v>
      </c>
      <c r="E73" s="36">
        <v>1.6799999999999999E-2</v>
      </c>
      <c r="F73" s="5"/>
      <c r="G73" s="5"/>
      <c r="H73" s="36">
        <v>4.9500000000000002E-2</v>
      </c>
      <c r="I73" s="36">
        <v>2.7300000000000001E-2</v>
      </c>
      <c r="J73" s="36">
        <v>4.5199999999999997E-2</v>
      </c>
      <c r="K73" s="5"/>
      <c r="L73" s="36">
        <v>0.25700000000000001</v>
      </c>
      <c r="M73" s="36">
        <v>0.22800000000000001</v>
      </c>
      <c r="N73" s="36">
        <v>3.3099999999999997E-2</v>
      </c>
      <c r="O73" s="36">
        <v>2.7099999999999999E-2</v>
      </c>
      <c r="P73" s="36">
        <v>6.1100000000000002E-2</v>
      </c>
      <c r="Q73" s="36">
        <v>7.1999999999999995E-2</v>
      </c>
      <c r="R73" s="5"/>
      <c r="S73" s="36">
        <v>0.10199999999999999</v>
      </c>
      <c r="T73" s="36">
        <v>0.36499999999999999</v>
      </c>
      <c r="U73" s="36">
        <v>0.29799999999999999</v>
      </c>
      <c r="V73" s="36">
        <v>4.0800000000000003E-2</v>
      </c>
      <c r="W73" s="36">
        <v>0.187</v>
      </c>
      <c r="X73" s="36">
        <v>3.04E-2</v>
      </c>
      <c r="Y73" s="36">
        <v>5.0599999999999999E-2</v>
      </c>
      <c r="Z73" s="36">
        <v>2.87E-2</v>
      </c>
      <c r="AA73" s="5"/>
      <c r="AB73" s="5"/>
      <c r="AC73" s="5"/>
      <c r="AD73" s="5"/>
      <c r="AE73" s="36">
        <v>1.6E-2</v>
      </c>
      <c r="AF73" s="5"/>
      <c r="AG73" s="5"/>
      <c r="AH73" s="36">
        <v>0.14399999999999999</v>
      </c>
      <c r="AI73" s="36">
        <v>0.13900000000000001</v>
      </c>
      <c r="AJ73" s="36">
        <v>0.35199999999999998</v>
      </c>
      <c r="AK73" s="5"/>
      <c r="AL73" s="5"/>
      <c r="AM73" s="5"/>
      <c r="AN73" s="36">
        <v>0.21199999999999999</v>
      </c>
      <c r="AO73" s="36">
        <v>0.122</v>
      </c>
      <c r="AP73" s="46">
        <v>57.5</v>
      </c>
    </row>
    <row r="74" spans="1:42">
      <c r="A74" s="93" t="s">
        <v>284</v>
      </c>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5">
        <v>0</v>
      </c>
      <c r="AP74" s="14"/>
    </row>
    <row r="75" spans="1:42">
      <c r="A75" s="93" t="s">
        <v>285</v>
      </c>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36">
        <v>0</v>
      </c>
      <c r="AP75" s="16"/>
    </row>
    <row r="76" spans="1:42">
      <c r="A76" s="93" t="s">
        <v>286</v>
      </c>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5">
        <v>0</v>
      </c>
      <c r="AP76" s="14"/>
    </row>
    <row r="77" spans="1:42">
      <c r="A77" s="93" t="s">
        <v>287</v>
      </c>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36">
        <v>0</v>
      </c>
      <c r="AP77" s="16"/>
    </row>
    <row r="78" spans="1:42">
      <c r="A78" s="93" t="s">
        <v>288</v>
      </c>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5">
        <v>0</v>
      </c>
      <c r="AP78" s="14"/>
    </row>
    <row r="79" spans="1:42">
      <c r="A79" s="93" t="s">
        <v>289</v>
      </c>
      <c r="B79" s="5"/>
      <c r="C79" s="5"/>
      <c r="D79" s="5"/>
      <c r="E79" s="5"/>
      <c r="F79" s="5"/>
      <c r="G79" s="5"/>
      <c r="H79" s="5"/>
      <c r="I79" s="5"/>
      <c r="J79" s="5"/>
      <c r="K79" s="5"/>
      <c r="L79" s="5"/>
      <c r="M79" s="5"/>
      <c r="N79" s="5"/>
      <c r="O79" s="5"/>
      <c r="P79" s="5"/>
      <c r="Q79" s="5"/>
      <c r="R79" s="5"/>
      <c r="S79" s="5"/>
      <c r="T79" s="5"/>
      <c r="U79" s="5"/>
      <c r="V79" s="5"/>
      <c r="W79" s="36">
        <v>8.7900000000000006E-2</v>
      </c>
      <c r="X79" s="5"/>
      <c r="Y79" s="36">
        <v>0.60299999999999998</v>
      </c>
      <c r="Z79" s="36">
        <v>0.60899999999999999</v>
      </c>
      <c r="AA79" s="5"/>
      <c r="AB79" s="5"/>
      <c r="AC79" s="5"/>
      <c r="AD79" s="5"/>
      <c r="AE79" s="5"/>
      <c r="AF79" s="5"/>
      <c r="AG79" s="5"/>
      <c r="AH79" s="5"/>
      <c r="AI79" s="5"/>
      <c r="AJ79" s="5"/>
      <c r="AK79" s="5"/>
      <c r="AL79" s="5"/>
      <c r="AM79" s="5"/>
      <c r="AN79" s="5"/>
      <c r="AO79" s="36">
        <v>0</v>
      </c>
      <c r="AP79" s="16"/>
    </row>
    <row r="80" spans="1:42">
      <c r="A80" s="93" t="s">
        <v>290</v>
      </c>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5">
        <v>0</v>
      </c>
      <c r="AP80" s="14"/>
    </row>
    <row r="81" spans="1:42">
      <c r="A81" s="93" t="s">
        <v>291</v>
      </c>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36">
        <v>0</v>
      </c>
      <c r="AP81" s="16"/>
    </row>
    <row r="82" spans="1:42">
      <c r="A82" s="93" t="s">
        <v>292</v>
      </c>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5">
        <v>0</v>
      </c>
      <c r="AP82" s="14"/>
    </row>
    <row r="83" spans="1:42">
      <c r="A83" s="93" t="s">
        <v>293</v>
      </c>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36">
        <v>0</v>
      </c>
      <c r="AP83" s="16"/>
    </row>
    <row r="84" spans="1:42">
      <c r="A84" s="93" t="s">
        <v>294</v>
      </c>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5">
        <v>0</v>
      </c>
      <c r="AP84" s="14"/>
    </row>
    <row r="85" spans="1:42">
      <c r="A85" s="93" t="s">
        <v>295</v>
      </c>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36">
        <v>0</v>
      </c>
      <c r="AP85" s="16"/>
    </row>
    <row r="86" spans="1:42">
      <c r="A86" s="93" t="s">
        <v>296</v>
      </c>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5">
        <v>0</v>
      </c>
      <c r="AP86" s="14"/>
    </row>
    <row r="87" spans="1:42">
      <c r="A87" s="93" t="s">
        <v>297</v>
      </c>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36">
        <v>0</v>
      </c>
      <c r="AP87" s="16"/>
    </row>
    <row r="88" spans="1:42">
      <c r="A88" s="93" t="s">
        <v>298</v>
      </c>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5">
        <v>0</v>
      </c>
      <c r="AP88" s="14"/>
    </row>
    <row r="89" spans="1:42">
      <c r="A89" s="93" t="s">
        <v>299</v>
      </c>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36">
        <v>0</v>
      </c>
      <c r="AP89" s="16"/>
    </row>
    <row r="90" spans="1:42">
      <c r="A90" s="93" t="s">
        <v>300</v>
      </c>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5">
        <v>0</v>
      </c>
      <c r="AP90" s="14"/>
    </row>
    <row r="91" spans="1:42">
      <c r="A91" s="93" t="s">
        <v>301</v>
      </c>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36">
        <v>0</v>
      </c>
      <c r="AP91" s="16"/>
    </row>
    <row r="92" spans="1:42">
      <c r="A92" s="93" t="s">
        <v>302</v>
      </c>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5">
        <v>0</v>
      </c>
      <c r="AP92" s="14"/>
    </row>
    <row r="93" spans="1:42">
      <c r="A93" s="93" t="s">
        <v>303</v>
      </c>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36">
        <v>0</v>
      </c>
      <c r="AP93" s="16"/>
    </row>
    <row r="94" spans="1:42">
      <c r="A94" s="93" t="s">
        <v>304</v>
      </c>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5">
        <v>0</v>
      </c>
      <c r="AP94" s="14"/>
    </row>
    <row r="95" spans="1:42">
      <c r="A95" s="93" t="s">
        <v>305</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36">
        <v>0</v>
      </c>
      <c r="AP95" s="16"/>
    </row>
    <row r="96" spans="1:42">
      <c r="A96" s="93" t="s">
        <v>306</v>
      </c>
      <c r="B96" s="35">
        <v>7.8600000000000003E-2</v>
      </c>
      <c r="C96" s="35">
        <v>2.75E-2</v>
      </c>
      <c r="D96" s="35">
        <v>1.8800000000000001E-2</v>
      </c>
      <c r="E96" s="3"/>
      <c r="F96" s="3"/>
      <c r="G96" s="35">
        <v>1.2999999999999999E-2</v>
      </c>
      <c r="H96" s="35">
        <v>6.1600000000000002E-2</v>
      </c>
      <c r="I96" s="35">
        <v>6.6400000000000001E-2</v>
      </c>
      <c r="J96" s="35">
        <v>3.95E-2</v>
      </c>
      <c r="K96" s="3"/>
      <c r="L96" s="3"/>
      <c r="M96" s="35">
        <v>0.215</v>
      </c>
      <c r="N96" s="35">
        <v>0.23</v>
      </c>
      <c r="O96" s="35">
        <v>0.159</v>
      </c>
      <c r="P96" s="35">
        <v>8.2500000000000004E-2</v>
      </c>
      <c r="Q96" s="3"/>
      <c r="R96" s="35">
        <v>2.6599999999999999E-2</v>
      </c>
      <c r="S96" s="35">
        <v>0.10199999999999999</v>
      </c>
      <c r="T96" s="35">
        <v>2.6599999999999999E-2</v>
      </c>
      <c r="U96" s="35">
        <v>5.7500000000000002E-2</v>
      </c>
      <c r="V96" s="35">
        <v>6.9199999999999998E-2</v>
      </c>
      <c r="W96" s="3"/>
      <c r="X96" s="35">
        <v>1.7500000000000002E-2</v>
      </c>
      <c r="Y96" s="35">
        <v>8.2699999999999996E-2</v>
      </c>
      <c r="Z96" s="35">
        <v>7.8200000000000006E-2</v>
      </c>
      <c r="AA96" s="3"/>
      <c r="AB96" s="35">
        <v>1.8100000000000002E-2</v>
      </c>
      <c r="AC96" s="35">
        <v>6.9500000000000006E-2</v>
      </c>
      <c r="AD96" s="35">
        <v>4.7699999999999999E-2</v>
      </c>
      <c r="AE96" s="35">
        <v>0.14899999999999999</v>
      </c>
      <c r="AF96" s="3"/>
      <c r="AG96" s="3"/>
      <c r="AH96" s="35">
        <v>9.11E-2</v>
      </c>
      <c r="AI96" s="35">
        <v>0.17499999999999999</v>
      </c>
      <c r="AJ96" s="3"/>
      <c r="AK96" s="3"/>
      <c r="AL96" s="35">
        <v>9.4600000000000004E-2</v>
      </c>
      <c r="AM96" s="3"/>
      <c r="AN96" s="35">
        <v>0.12</v>
      </c>
      <c r="AO96" s="35">
        <v>4.7199999999999999E-2</v>
      </c>
      <c r="AP96" s="45">
        <v>39.299999999999997</v>
      </c>
    </row>
    <row r="97" spans="1:42">
      <c r="A97" s="93" t="s">
        <v>307</v>
      </c>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36">
        <v>0</v>
      </c>
      <c r="AP97" s="16"/>
    </row>
    <row r="98" spans="1:42">
      <c r="A98" s="93" t="s">
        <v>308</v>
      </c>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5">
        <v>0</v>
      </c>
      <c r="AP98" s="14"/>
    </row>
    <row r="99" spans="1:42">
      <c r="A99" s="93" t="s">
        <v>309</v>
      </c>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36">
        <v>0</v>
      </c>
      <c r="AP99" s="16"/>
    </row>
    <row r="100" spans="1:42">
      <c r="A100" s="93" t="s">
        <v>310</v>
      </c>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5">
        <v>0</v>
      </c>
      <c r="AP100" s="14"/>
    </row>
    <row r="101" spans="1:42">
      <c r="A101" s="93" t="s">
        <v>311</v>
      </c>
      <c r="B101" s="5"/>
      <c r="C101" s="5"/>
      <c r="D101" s="5"/>
      <c r="E101" s="5"/>
      <c r="F101" s="5"/>
      <c r="G101" s="36">
        <v>0.107</v>
      </c>
      <c r="H101" s="5"/>
      <c r="I101" s="5"/>
      <c r="J101" s="5"/>
      <c r="K101" s="5"/>
      <c r="L101" s="5"/>
      <c r="M101" s="5"/>
      <c r="N101" s="5"/>
      <c r="O101" s="5"/>
      <c r="P101" s="5"/>
      <c r="Q101" s="5"/>
      <c r="R101" s="36">
        <v>5.7299999999999997E-2</v>
      </c>
      <c r="S101" s="36">
        <v>3.7299999999999998E-3</v>
      </c>
      <c r="T101" s="36">
        <v>4.82E-2</v>
      </c>
      <c r="U101" s="36">
        <v>7.3800000000000003E-3</v>
      </c>
      <c r="V101" s="5"/>
      <c r="W101" s="36">
        <v>2.1700000000000001E-3</v>
      </c>
      <c r="X101" s="5"/>
      <c r="Y101" s="5"/>
      <c r="Z101" s="36">
        <v>5.7999999999999996E-3</v>
      </c>
      <c r="AA101" s="5"/>
      <c r="AB101" s="36">
        <v>0.27100000000000002</v>
      </c>
      <c r="AC101" s="36">
        <v>6.9500000000000006E-2</v>
      </c>
      <c r="AD101" s="36">
        <v>0.11899999999999999</v>
      </c>
      <c r="AE101" s="36">
        <v>0.192</v>
      </c>
      <c r="AF101" s="5"/>
      <c r="AG101" s="5"/>
      <c r="AH101" s="5"/>
      <c r="AI101" s="5"/>
      <c r="AJ101" s="5"/>
      <c r="AK101" s="5"/>
      <c r="AL101" s="36">
        <v>0.126</v>
      </c>
      <c r="AM101" s="5"/>
      <c r="AN101" s="36">
        <v>0.126</v>
      </c>
      <c r="AO101" s="5"/>
      <c r="AP101" s="46">
        <v>0</v>
      </c>
    </row>
    <row r="102" spans="1:42">
      <c r="A102" s="93" t="s">
        <v>312</v>
      </c>
      <c r="B102" s="35">
        <v>0.28599999999999998</v>
      </c>
      <c r="C102" s="35">
        <v>9.7699999999999995E-2</v>
      </c>
      <c r="D102" s="35">
        <v>8.7599999999999997E-2</v>
      </c>
      <c r="E102" s="35">
        <v>0.23599999999999999</v>
      </c>
      <c r="F102" s="35">
        <v>0.14899999999999999</v>
      </c>
      <c r="G102" s="35">
        <v>0.184</v>
      </c>
      <c r="H102" s="35">
        <v>0.185</v>
      </c>
      <c r="I102" s="35">
        <v>0.17699999999999999</v>
      </c>
      <c r="J102" s="35">
        <v>0.13500000000000001</v>
      </c>
      <c r="K102" s="35">
        <v>0.123</v>
      </c>
      <c r="L102" s="3"/>
      <c r="M102" s="35">
        <v>0.28999999999999998</v>
      </c>
      <c r="N102" s="35">
        <v>0.152</v>
      </c>
      <c r="O102" s="35">
        <v>0.24</v>
      </c>
      <c r="P102" s="35">
        <v>0.32</v>
      </c>
      <c r="Q102" s="35">
        <v>0.30599999999999999</v>
      </c>
      <c r="R102" s="35">
        <v>0.17699999999999999</v>
      </c>
      <c r="S102" s="35">
        <v>0.14299999999999999</v>
      </c>
      <c r="T102" s="35">
        <v>0.14000000000000001</v>
      </c>
      <c r="U102" s="35">
        <v>0.376</v>
      </c>
      <c r="V102" s="35">
        <v>0.189</v>
      </c>
      <c r="W102" s="35">
        <v>0.20300000000000001</v>
      </c>
      <c r="X102" s="35">
        <v>7.8899999999999998E-2</v>
      </c>
      <c r="Y102" s="35">
        <v>0.2</v>
      </c>
      <c r="Z102" s="35">
        <v>0.23100000000000001</v>
      </c>
      <c r="AA102" s="3"/>
      <c r="AB102" s="35">
        <v>0.156</v>
      </c>
      <c r="AC102" s="35">
        <v>0.16800000000000001</v>
      </c>
      <c r="AD102" s="35">
        <v>0.151</v>
      </c>
      <c r="AE102" s="35">
        <v>0.14699999999999999</v>
      </c>
      <c r="AF102" s="3"/>
      <c r="AG102" s="3"/>
      <c r="AH102" s="35">
        <v>0.112</v>
      </c>
      <c r="AI102" s="35">
        <v>0.372</v>
      </c>
      <c r="AJ102" s="3"/>
      <c r="AK102" s="35">
        <v>0.21299999999999999</v>
      </c>
      <c r="AL102" s="35">
        <v>0.219</v>
      </c>
      <c r="AM102" s="3"/>
      <c r="AN102" s="35">
        <v>0.22900000000000001</v>
      </c>
      <c r="AO102" s="35">
        <v>0.107</v>
      </c>
      <c r="AP102" s="45">
        <v>46.9</v>
      </c>
    </row>
    <row r="103" spans="1:42">
      <c r="A103" s="93" t="s">
        <v>313</v>
      </c>
      <c r="B103" s="5"/>
      <c r="C103" s="36">
        <v>3.1E-2</v>
      </c>
      <c r="D103" s="36">
        <v>3.2199999999999999E-2</v>
      </c>
      <c r="E103" s="5"/>
      <c r="F103" s="5"/>
      <c r="G103" s="5"/>
      <c r="H103" s="36">
        <v>1.8599999999999998E-2</v>
      </c>
      <c r="I103" s="36">
        <v>8.4799999999999997E-3</v>
      </c>
      <c r="J103" s="36">
        <v>4.9700000000000001E-2</v>
      </c>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36">
        <v>0</v>
      </c>
      <c r="AP103" s="16"/>
    </row>
    <row r="104" spans="1:42">
      <c r="A104" s="93" t="s">
        <v>314</v>
      </c>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5">
        <v>0</v>
      </c>
      <c r="AP104" s="14"/>
    </row>
    <row r="105" spans="1:42">
      <c r="A105" s="93" t="s">
        <v>315</v>
      </c>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36">
        <v>0</v>
      </c>
      <c r="AP105" s="16"/>
    </row>
    <row r="106" spans="1:42">
      <c r="A106" s="93" t="s">
        <v>316</v>
      </c>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5">
        <v>0</v>
      </c>
      <c r="AP106" s="14"/>
    </row>
    <row r="107" spans="1:42">
      <c r="A107" s="93" t="s">
        <v>317</v>
      </c>
      <c r="B107" s="5"/>
      <c r="C107" s="36">
        <v>1.9900000000000001E-2</v>
      </c>
      <c r="D107" s="5"/>
      <c r="E107" s="5"/>
      <c r="F107" s="5"/>
      <c r="G107" s="5"/>
      <c r="H107" s="5"/>
      <c r="I107" s="36">
        <v>1.5599999999999999E-2</v>
      </c>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36">
        <v>0</v>
      </c>
      <c r="AP107" s="16"/>
    </row>
    <row r="108" spans="1:42">
      <c r="A108" s="93" t="s">
        <v>318</v>
      </c>
      <c r="B108" s="3"/>
      <c r="C108" s="35">
        <v>1.01E-2</v>
      </c>
      <c r="D108" s="35">
        <v>4.6100000000000004E-3</v>
      </c>
      <c r="E108" s="3"/>
      <c r="F108" s="3"/>
      <c r="G108" s="3"/>
      <c r="H108" s="35">
        <v>2.9399999999999999E-3</v>
      </c>
      <c r="I108" s="35">
        <v>4.8900000000000002E-3</v>
      </c>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5">
        <v>0</v>
      </c>
      <c r="AP108" s="14"/>
    </row>
    <row r="109" spans="1:42">
      <c r="A109" s="93" t="s">
        <v>319</v>
      </c>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36">
        <v>0</v>
      </c>
      <c r="AP109" s="16"/>
    </row>
    <row r="110" spans="1:42">
      <c r="A110" s="93" t="s">
        <v>320</v>
      </c>
      <c r="B110" s="3"/>
      <c r="C110" s="3"/>
      <c r="D110" s="3"/>
      <c r="E110" s="35">
        <v>4.0999999999999996</v>
      </c>
      <c r="F110" s="35">
        <v>4.4400000000000004</v>
      </c>
      <c r="G110" s="3"/>
      <c r="H110" s="3"/>
      <c r="I110" s="3"/>
      <c r="J110" s="3"/>
      <c r="K110" s="3"/>
      <c r="L110" s="3"/>
      <c r="M110" s="3"/>
      <c r="N110" s="3"/>
      <c r="O110" s="3"/>
      <c r="P110" s="3"/>
      <c r="Q110" s="3"/>
      <c r="R110" s="3"/>
      <c r="S110" s="3"/>
      <c r="T110" s="35">
        <v>1.61E-2</v>
      </c>
      <c r="U110" s="3"/>
      <c r="V110" s="3"/>
      <c r="W110" s="3"/>
      <c r="X110" s="3"/>
      <c r="Y110" s="3"/>
      <c r="Z110" s="3"/>
      <c r="AA110" s="3"/>
      <c r="AB110" s="3"/>
      <c r="AC110" s="3"/>
      <c r="AD110" s="3"/>
      <c r="AE110" s="3"/>
      <c r="AF110" s="3"/>
      <c r="AG110" s="3"/>
      <c r="AH110" s="3"/>
      <c r="AI110" s="3"/>
      <c r="AJ110" s="3"/>
      <c r="AK110" s="3"/>
      <c r="AL110" s="3"/>
      <c r="AM110" s="3"/>
      <c r="AN110" s="3"/>
      <c r="AO110" s="35">
        <v>0</v>
      </c>
      <c r="AP110" s="14"/>
    </row>
    <row r="111" spans="1:42">
      <c r="A111" s="93" t="s">
        <v>321</v>
      </c>
      <c r="B111" s="36">
        <v>5.5E-2</v>
      </c>
      <c r="C111" s="36">
        <v>2.7300000000000001E-2</v>
      </c>
      <c r="D111" s="36">
        <v>1.04E-2</v>
      </c>
      <c r="E111" s="5"/>
      <c r="F111" s="36">
        <v>1.9199999999999998E-2</v>
      </c>
      <c r="G111" s="36">
        <v>1.8700000000000001E-2</v>
      </c>
      <c r="H111" s="36">
        <v>5.4199999999999998E-2</v>
      </c>
      <c r="I111" s="36">
        <v>4.8099999999999997E-2</v>
      </c>
      <c r="J111" s="36">
        <v>3.2599999999999997E-2</v>
      </c>
      <c r="K111" s="36">
        <v>1.7899999999999999E-2</v>
      </c>
      <c r="L111" s="36">
        <v>9.6600000000000005E-2</v>
      </c>
      <c r="M111" s="36">
        <v>7.6200000000000004E-2</v>
      </c>
      <c r="N111" s="36">
        <v>2.1600000000000001E-2</v>
      </c>
      <c r="O111" s="36">
        <v>2.46E-2</v>
      </c>
      <c r="P111" s="36">
        <v>2.6700000000000002E-2</v>
      </c>
      <c r="Q111" s="36">
        <v>1.4500000000000001E-2</v>
      </c>
      <c r="R111" s="36">
        <v>2.2200000000000001E-2</v>
      </c>
      <c r="S111" s="36">
        <v>0.13400000000000001</v>
      </c>
      <c r="T111" s="36">
        <v>0.23300000000000001</v>
      </c>
      <c r="U111" s="36">
        <v>6.5699999999999995E-2</v>
      </c>
      <c r="V111" s="36">
        <v>7.2499999999999995E-2</v>
      </c>
      <c r="W111" s="36">
        <v>2.6700000000000002E-2</v>
      </c>
      <c r="X111" s="36">
        <v>3.6400000000000002E-2</v>
      </c>
      <c r="Y111" s="36">
        <v>4.6600000000000003E-2</v>
      </c>
      <c r="Z111" s="36">
        <v>6.7900000000000002E-2</v>
      </c>
      <c r="AA111" s="5"/>
      <c r="AB111" s="36">
        <v>1.46E-2</v>
      </c>
      <c r="AC111" s="36">
        <v>0.222</v>
      </c>
      <c r="AD111" s="36">
        <v>1.45</v>
      </c>
      <c r="AE111" s="36">
        <v>1.47</v>
      </c>
      <c r="AF111" s="5"/>
      <c r="AG111" s="5"/>
      <c r="AH111" s="36">
        <v>5.5E-2</v>
      </c>
      <c r="AI111" s="36">
        <v>5.2200000000000003E-2</v>
      </c>
      <c r="AJ111" s="36">
        <v>5.6399999999999999E-2</v>
      </c>
      <c r="AK111" s="36">
        <v>4.2999999999999997E-2</v>
      </c>
      <c r="AL111" s="36">
        <v>5.4399999999999997E-2</v>
      </c>
      <c r="AM111" s="5"/>
      <c r="AN111" s="36">
        <v>5.2200000000000003E-2</v>
      </c>
      <c r="AO111" s="36">
        <v>5.3499999999999997E-3</v>
      </c>
      <c r="AP111" s="46">
        <v>10.199999999999999</v>
      </c>
    </row>
    <row r="112" spans="1:42">
      <c r="A112" s="93" t="s">
        <v>322</v>
      </c>
      <c r="B112" s="35">
        <v>0.51</v>
      </c>
      <c r="C112" s="35">
        <v>0.17599999999999999</v>
      </c>
      <c r="D112" s="35">
        <v>2.8799999999999999E-2</v>
      </c>
      <c r="E112" s="35">
        <v>5.5E-2</v>
      </c>
      <c r="F112" s="35">
        <v>0.183</v>
      </c>
      <c r="G112" s="3"/>
      <c r="H112" s="35">
        <v>0.624</v>
      </c>
      <c r="I112" s="35">
        <v>0.61699999999999999</v>
      </c>
      <c r="J112" s="35">
        <v>0.32300000000000001</v>
      </c>
      <c r="K112" s="35">
        <v>0.21099999999999999</v>
      </c>
      <c r="L112" s="35">
        <v>0.66800000000000004</v>
      </c>
      <c r="M112" s="35">
        <v>0.68</v>
      </c>
      <c r="N112" s="35">
        <v>0.25600000000000001</v>
      </c>
      <c r="O112" s="35">
        <v>0.34499999999999997</v>
      </c>
      <c r="P112" s="35">
        <v>0.27700000000000002</v>
      </c>
      <c r="Q112" s="35">
        <v>0.14599999999999999</v>
      </c>
      <c r="R112" s="35">
        <v>0.17799999999999999</v>
      </c>
      <c r="S112" s="35">
        <v>0.97399999999999998</v>
      </c>
      <c r="T112" s="35">
        <v>0.159</v>
      </c>
      <c r="U112" s="35">
        <v>0.80400000000000005</v>
      </c>
      <c r="V112" s="35">
        <v>0.623</v>
      </c>
      <c r="W112" s="35">
        <v>0.40400000000000003</v>
      </c>
      <c r="X112" s="35">
        <v>0.40600000000000003</v>
      </c>
      <c r="Y112" s="35">
        <v>0.60499999999999998</v>
      </c>
      <c r="Z112" s="35">
        <v>0.71799999999999997</v>
      </c>
      <c r="AA112" s="3"/>
      <c r="AB112" s="35">
        <v>0.24199999999999999</v>
      </c>
      <c r="AC112" s="35">
        <v>0.33200000000000002</v>
      </c>
      <c r="AD112" s="35">
        <v>0.26300000000000001</v>
      </c>
      <c r="AE112" s="35">
        <v>0.45400000000000001</v>
      </c>
      <c r="AF112" s="3"/>
      <c r="AG112" s="3"/>
      <c r="AH112" s="3"/>
      <c r="AI112" s="35">
        <v>0.60899999999999999</v>
      </c>
      <c r="AJ112" s="35">
        <v>0.56200000000000006</v>
      </c>
      <c r="AK112" s="35">
        <v>0.441</v>
      </c>
      <c r="AL112" s="35">
        <v>0.44600000000000001</v>
      </c>
      <c r="AM112" s="3"/>
      <c r="AN112" s="35">
        <v>0.51400000000000001</v>
      </c>
      <c r="AO112" s="35">
        <v>8.4199999999999997E-2</v>
      </c>
      <c r="AP112" s="45">
        <v>16.399999999999999</v>
      </c>
    </row>
    <row r="113" spans="1:42">
      <c r="A113" s="93" t="s">
        <v>323</v>
      </c>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36">
        <v>0</v>
      </c>
      <c r="AP113" s="16"/>
    </row>
    <row r="114" spans="1:42">
      <c r="A114" s="93" t="s">
        <v>324</v>
      </c>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5">
        <v>0</v>
      </c>
      <c r="AP114" s="14"/>
    </row>
    <row r="115" spans="1:42">
      <c r="A115" s="93" t="s">
        <v>325</v>
      </c>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36">
        <v>0</v>
      </c>
      <c r="AP115" s="16"/>
    </row>
    <row r="116" spans="1:42">
      <c r="A116" s="93" t="s">
        <v>326</v>
      </c>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5">
        <v>0</v>
      </c>
      <c r="AP116" s="14"/>
    </row>
    <row r="117" spans="1:42">
      <c r="A117" s="93" t="s">
        <v>327</v>
      </c>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36">
        <v>0</v>
      </c>
      <c r="AP117" s="16"/>
    </row>
    <row r="118" spans="1:42">
      <c r="A118" s="93" t="s">
        <v>328</v>
      </c>
      <c r="B118" s="35">
        <v>0.11799999999999999</v>
      </c>
      <c r="C118" s="3"/>
      <c r="D118" s="3"/>
      <c r="E118" s="3"/>
      <c r="F118" s="3"/>
      <c r="G118" s="3"/>
      <c r="H118" s="3"/>
      <c r="I118" s="3"/>
      <c r="J118" s="3"/>
      <c r="K118" s="3"/>
      <c r="L118" s="3"/>
      <c r="M118" s="35">
        <v>0.17199999999999999</v>
      </c>
      <c r="N118" s="35">
        <v>0.109</v>
      </c>
      <c r="O118" s="35">
        <v>0.13300000000000001</v>
      </c>
      <c r="P118" s="35">
        <v>0.17899999999999999</v>
      </c>
      <c r="Q118" s="3"/>
      <c r="R118" s="3"/>
      <c r="S118" s="35">
        <v>0.16300000000000001</v>
      </c>
      <c r="T118" s="35">
        <v>0.379</v>
      </c>
      <c r="U118" s="35">
        <v>0.20699999999999999</v>
      </c>
      <c r="V118" s="35">
        <v>0.20599999999999999</v>
      </c>
      <c r="W118" s="35">
        <v>0.14099999999999999</v>
      </c>
      <c r="X118" s="35">
        <v>0.13100000000000001</v>
      </c>
      <c r="Y118" s="35">
        <v>0.21199999999999999</v>
      </c>
      <c r="Z118" s="35">
        <v>0.28999999999999998</v>
      </c>
      <c r="AA118" s="3"/>
      <c r="AB118" s="3"/>
      <c r="AC118" s="3"/>
      <c r="AD118" s="3"/>
      <c r="AE118" s="35">
        <v>4.9400000000000004</v>
      </c>
      <c r="AF118" s="3"/>
      <c r="AG118" s="3"/>
      <c r="AH118" s="3"/>
      <c r="AI118" s="35">
        <v>0.16900000000000001</v>
      </c>
      <c r="AJ118" s="3"/>
      <c r="AK118" s="35">
        <v>1.68</v>
      </c>
      <c r="AL118" s="3"/>
      <c r="AM118" s="3"/>
      <c r="AN118" s="35">
        <v>0.92300000000000004</v>
      </c>
      <c r="AO118" s="35">
        <v>1.07</v>
      </c>
      <c r="AP118" s="45">
        <v>116</v>
      </c>
    </row>
    <row r="119" spans="1:42">
      <c r="A119" s="93" t="s">
        <v>329</v>
      </c>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36">
        <v>0</v>
      </c>
      <c r="AP119" s="16"/>
    </row>
    <row r="120" spans="1:42">
      <c r="A120" s="93" t="s">
        <v>330</v>
      </c>
      <c r="B120" s="3"/>
      <c r="C120" s="35">
        <v>9.1400000000000006E-3</v>
      </c>
      <c r="D120" s="35">
        <v>3.0100000000000001E-3</v>
      </c>
      <c r="E120" s="35">
        <v>3.7399999999999998E-3</v>
      </c>
      <c r="F120" s="3"/>
      <c r="G120" s="3"/>
      <c r="H120" s="35">
        <v>8.9800000000000004E-4</v>
      </c>
      <c r="I120" s="35">
        <v>4.6100000000000004E-3</v>
      </c>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5">
        <v>0</v>
      </c>
      <c r="AP120" s="14"/>
    </row>
    <row r="121" spans="1:42">
      <c r="A121" s="93" t="s">
        <v>331</v>
      </c>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36">
        <v>0</v>
      </c>
      <c r="AP121" s="16"/>
    </row>
    <row r="122" spans="1:42">
      <c r="A122" s="93" t="s">
        <v>332</v>
      </c>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5">
        <v>0</v>
      </c>
      <c r="AP122" s="14"/>
    </row>
    <row r="123" spans="1:42">
      <c r="A123" s="93" t="s">
        <v>333</v>
      </c>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36">
        <v>0</v>
      </c>
      <c r="AP123" s="16"/>
    </row>
    <row r="124" spans="1:42">
      <c r="A124" s="93" t="s">
        <v>334</v>
      </c>
      <c r="B124" s="35">
        <v>0.377</v>
      </c>
      <c r="C124" s="35">
        <v>0.1</v>
      </c>
      <c r="D124" s="35">
        <v>7.2499999999999995E-2</v>
      </c>
      <c r="E124" s="3"/>
      <c r="F124" s="3"/>
      <c r="G124" s="35">
        <v>4.4299999999999999E-2</v>
      </c>
      <c r="H124" s="35">
        <v>0.377</v>
      </c>
      <c r="I124" s="35">
        <v>0.33900000000000002</v>
      </c>
      <c r="J124" s="35">
        <v>0.13300000000000001</v>
      </c>
      <c r="K124" s="3"/>
      <c r="L124" s="3"/>
      <c r="M124" s="35">
        <v>0.73499999999999999</v>
      </c>
      <c r="N124" s="35">
        <v>0.70099999999999996</v>
      </c>
      <c r="O124" s="35">
        <v>0.55100000000000005</v>
      </c>
      <c r="P124" s="35">
        <v>0.44</v>
      </c>
      <c r="Q124" s="35">
        <v>0.17499999999999999</v>
      </c>
      <c r="R124" s="35">
        <v>8.9200000000000002E-2</v>
      </c>
      <c r="S124" s="35">
        <v>0.45200000000000001</v>
      </c>
      <c r="T124" s="35">
        <v>0.13800000000000001</v>
      </c>
      <c r="U124" s="35">
        <v>0.30099999999999999</v>
      </c>
      <c r="V124" s="35">
        <v>0.40899999999999997</v>
      </c>
      <c r="W124" s="35">
        <v>0.154</v>
      </c>
      <c r="X124" s="35">
        <v>0.14099999999999999</v>
      </c>
      <c r="Y124" s="35">
        <v>0.59699999999999998</v>
      </c>
      <c r="Z124" s="35">
        <v>0.44</v>
      </c>
      <c r="AA124" s="3"/>
      <c r="AB124" s="35">
        <v>0.21</v>
      </c>
      <c r="AC124" s="35">
        <v>0.23599999999999999</v>
      </c>
      <c r="AD124" s="35">
        <v>0.17299999999999999</v>
      </c>
      <c r="AE124" s="35">
        <v>0.78900000000000003</v>
      </c>
      <c r="AF124" s="3"/>
      <c r="AG124" s="3"/>
      <c r="AH124" s="35">
        <v>0.54300000000000004</v>
      </c>
      <c r="AI124" s="35">
        <v>0.746</v>
      </c>
      <c r="AJ124" s="3"/>
      <c r="AK124" s="35">
        <v>0.29499999999999998</v>
      </c>
      <c r="AL124" s="35">
        <v>0.441</v>
      </c>
      <c r="AM124" s="3"/>
      <c r="AN124" s="35">
        <v>0.50600000000000001</v>
      </c>
      <c r="AO124" s="35">
        <v>0.19</v>
      </c>
      <c r="AP124" s="45">
        <v>37.5</v>
      </c>
    </row>
    <row r="125" spans="1:42">
      <c r="A125" s="93" t="s">
        <v>335</v>
      </c>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36">
        <v>0</v>
      </c>
      <c r="AP125" s="16"/>
    </row>
    <row r="126" spans="1:42">
      <c r="A126" s="93" t="s">
        <v>336</v>
      </c>
      <c r="B126" s="35">
        <v>1.8200000000000001E-2</v>
      </c>
      <c r="C126" s="35">
        <v>1.9300000000000001E-2</v>
      </c>
      <c r="D126" s="35">
        <v>1.6E-2</v>
      </c>
      <c r="E126" s="35">
        <v>4.2500000000000003E-2</v>
      </c>
      <c r="F126" s="35">
        <v>5.1999999999999998E-2</v>
      </c>
      <c r="G126" s="35">
        <v>1.5800000000000002E-2</v>
      </c>
      <c r="H126" s="35">
        <v>1.78E-2</v>
      </c>
      <c r="I126" s="35">
        <v>1.54E-2</v>
      </c>
      <c r="J126" s="35">
        <v>2.5399999999999999E-2</v>
      </c>
      <c r="K126" s="35">
        <v>3.6299999999999999E-2</v>
      </c>
      <c r="L126" s="3"/>
      <c r="M126" s="35">
        <v>1.61E-2</v>
      </c>
      <c r="N126" s="35">
        <v>2.01E-2</v>
      </c>
      <c r="O126" s="35">
        <v>1.8700000000000001E-2</v>
      </c>
      <c r="P126" s="35">
        <v>1.8599999999999998E-2</v>
      </c>
      <c r="Q126" s="35">
        <v>3.5700000000000003E-2</v>
      </c>
      <c r="R126" s="35">
        <v>9.4699999999999993E-3</v>
      </c>
      <c r="S126" s="35">
        <v>9.5399999999999999E-3</v>
      </c>
      <c r="T126" s="35">
        <v>1.0200000000000001E-2</v>
      </c>
      <c r="U126" s="35">
        <v>2.1399999999999999E-2</v>
      </c>
      <c r="V126" s="35">
        <v>1.26E-2</v>
      </c>
      <c r="W126" s="35">
        <v>8.5500000000000003E-3</v>
      </c>
      <c r="X126" s="35">
        <v>5.1599999999999997E-3</v>
      </c>
      <c r="Y126" s="35">
        <v>7.3299999999999997E-3</v>
      </c>
      <c r="Z126" s="35">
        <v>6.9300000000000004E-3</v>
      </c>
      <c r="AA126" s="3"/>
      <c r="AB126" s="35">
        <v>1.66E-2</v>
      </c>
      <c r="AC126" s="35">
        <v>2.0400000000000001E-2</v>
      </c>
      <c r="AD126" s="35">
        <v>1.3299999999999999E-2</v>
      </c>
      <c r="AE126" s="35">
        <v>4.8800000000000003E-2</v>
      </c>
      <c r="AF126" s="3"/>
      <c r="AG126" s="3"/>
      <c r="AH126" s="35">
        <v>4.0600000000000002E-3</v>
      </c>
      <c r="AI126" s="35">
        <v>1.7999999999999999E-2</v>
      </c>
      <c r="AJ126" s="35">
        <v>2.5499999999999998E-2</v>
      </c>
      <c r="AK126" s="35">
        <v>2.86E-2</v>
      </c>
      <c r="AL126" s="35">
        <v>1.8200000000000001E-2</v>
      </c>
      <c r="AM126" s="3"/>
      <c r="AN126" s="35">
        <v>1.89E-2</v>
      </c>
      <c r="AO126" s="35">
        <v>9.4800000000000006E-3</v>
      </c>
      <c r="AP126" s="45">
        <v>50.2</v>
      </c>
    </row>
    <row r="127" spans="1:42">
      <c r="A127" s="93" t="s">
        <v>337</v>
      </c>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36">
        <v>0</v>
      </c>
      <c r="AP127" s="16"/>
    </row>
    <row r="128" spans="1:42">
      <c r="A128" s="93" t="s">
        <v>338</v>
      </c>
      <c r="B128" s="35">
        <v>7.3099999999999997E-3</v>
      </c>
      <c r="C128" s="35">
        <v>1.09E-2</v>
      </c>
      <c r="D128" s="3"/>
      <c r="E128" s="3"/>
      <c r="F128" s="35">
        <v>1.7500000000000002E-2</v>
      </c>
      <c r="G128" s="3"/>
      <c r="H128" s="35">
        <v>1.0200000000000001E-2</v>
      </c>
      <c r="I128" s="35">
        <v>1.0200000000000001E-2</v>
      </c>
      <c r="J128" s="3"/>
      <c r="K128" s="35">
        <v>1.7500000000000002E-2</v>
      </c>
      <c r="L128" s="35">
        <v>5.0999999999999997E-2</v>
      </c>
      <c r="M128" s="35">
        <v>3.2300000000000002E-2</v>
      </c>
      <c r="N128" s="35">
        <v>5.4900000000000001E-3</v>
      </c>
      <c r="O128" s="35">
        <v>4.9100000000000003E-3</v>
      </c>
      <c r="P128" s="35">
        <v>5.0600000000000003E-3</v>
      </c>
      <c r="Q128" s="35">
        <v>8.4100000000000008E-3</v>
      </c>
      <c r="R128" s="35">
        <v>5.8599999999999998E-3</v>
      </c>
      <c r="S128" s="35">
        <v>1.2500000000000001E-2</v>
      </c>
      <c r="T128" s="3"/>
      <c r="U128" s="35">
        <v>1.77E-2</v>
      </c>
      <c r="V128" s="35">
        <v>2.1899999999999999E-2</v>
      </c>
      <c r="W128" s="35">
        <v>8.4899999999999993E-3</v>
      </c>
      <c r="X128" s="35">
        <v>8.0499999999999999E-3</v>
      </c>
      <c r="Y128" s="35">
        <v>7.9799999999999992E-3</v>
      </c>
      <c r="Z128" s="35">
        <v>2.1299999999999999E-2</v>
      </c>
      <c r="AA128" s="3"/>
      <c r="AB128" s="35">
        <v>6.6299999999999996E-3</v>
      </c>
      <c r="AC128" s="35">
        <v>2.1600000000000001E-2</v>
      </c>
      <c r="AD128" s="35">
        <v>3.9199999999999999E-2</v>
      </c>
      <c r="AE128" s="35">
        <v>7.2999999999999995E-2</v>
      </c>
      <c r="AF128" s="3"/>
      <c r="AG128" s="3"/>
      <c r="AH128" s="35">
        <v>1.1299999999999999E-2</v>
      </c>
      <c r="AI128" s="35">
        <v>9.8300000000000002E-3</v>
      </c>
      <c r="AJ128" s="3"/>
      <c r="AK128" s="3"/>
      <c r="AL128" s="35">
        <v>8.0700000000000008E-3</v>
      </c>
      <c r="AM128" s="3"/>
      <c r="AN128" s="35">
        <v>9.75E-3</v>
      </c>
      <c r="AO128" s="35">
        <v>1.64E-3</v>
      </c>
      <c r="AP128" s="45">
        <v>16.8</v>
      </c>
    </row>
    <row r="129" spans="1:42">
      <c r="A129" s="93" t="s">
        <v>339</v>
      </c>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36">
        <v>0</v>
      </c>
      <c r="AP129" s="16"/>
    </row>
    <row r="130" spans="1:42">
      <c r="A130" s="93" t="s">
        <v>340</v>
      </c>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5">
        <v>0</v>
      </c>
      <c r="AP130" s="14"/>
    </row>
    <row r="131" spans="1:42">
      <c r="A131" s="93" t="s">
        <v>341</v>
      </c>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36">
        <v>0</v>
      </c>
      <c r="AP131" s="16"/>
    </row>
    <row r="132" spans="1:42">
      <c r="A132" s="93" t="s">
        <v>342</v>
      </c>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5">
        <v>0</v>
      </c>
      <c r="AP132" s="14"/>
    </row>
    <row r="133" spans="1:42">
      <c r="A133" s="93" t="s">
        <v>343</v>
      </c>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36">
        <v>0</v>
      </c>
      <c r="AP133" s="16"/>
    </row>
    <row r="134" spans="1:42">
      <c r="A134" s="93" t="s">
        <v>344</v>
      </c>
      <c r="B134" s="3"/>
      <c r="C134" s="3"/>
      <c r="D134" s="3"/>
      <c r="E134" s="35">
        <v>1.87</v>
      </c>
      <c r="F134" s="35">
        <v>0.26300000000000001</v>
      </c>
      <c r="G134" s="3"/>
      <c r="H134" s="3"/>
      <c r="I134" s="3"/>
      <c r="J134" s="3"/>
      <c r="K134" s="35">
        <v>0.28100000000000003</v>
      </c>
      <c r="L134" s="3"/>
      <c r="M134" s="3"/>
      <c r="N134" s="3"/>
      <c r="O134" s="3"/>
      <c r="P134" s="3"/>
      <c r="Q134" s="35">
        <v>0.29299999999999998</v>
      </c>
      <c r="R134" s="3"/>
      <c r="S134" s="3"/>
      <c r="T134" s="3"/>
      <c r="U134" s="35">
        <v>2.2599999999999999E-2</v>
      </c>
      <c r="V134" s="3"/>
      <c r="W134" s="3"/>
      <c r="X134" s="3"/>
      <c r="Y134" s="35">
        <v>2.5600000000000002E-3</v>
      </c>
      <c r="Z134" s="3"/>
      <c r="AA134" s="3"/>
      <c r="AB134" s="3"/>
      <c r="AC134" s="3"/>
      <c r="AD134" s="3"/>
      <c r="AE134" s="35">
        <v>0.23599999999999999</v>
      </c>
      <c r="AF134" s="3"/>
      <c r="AG134" s="3"/>
      <c r="AH134" s="3"/>
      <c r="AI134" s="3"/>
      <c r="AJ134" s="3"/>
      <c r="AK134" s="35">
        <v>0.13</v>
      </c>
      <c r="AL134" s="3"/>
      <c r="AM134" s="3"/>
      <c r="AN134" s="35">
        <v>0.13</v>
      </c>
      <c r="AO134" s="3"/>
      <c r="AP134" s="45">
        <v>0</v>
      </c>
    </row>
    <row r="135" spans="1:42">
      <c r="A135" s="93" t="s">
        <v>345</v>
      </c>
      <c r="B135" s="5"/>
      <c r="C135" s="5"/>
      <c r="D135" s="5"/>
      <c r="E135" s="36">
        <v>0.48499999999999999</v>
      </c>
      <c r="F135" s="5"/>
      <c r="G135" s="5"/>
      <c r="H135" s="5"/>
      <c r="I135" s="5"/>
      <c r="J135" s="5"/>
      <c r="K135" s="36">
        <v>6.1199999999999997E-2</v>
      </c>
      <c r="L135" s="5"/>
      <c r="M135" s="5"/>
      <c r="N135" s="5"/>
      <c r="O135" s="5"/>
      <c r="P135" s="5"/>
      <c r="Q135" s="36">
        <v>6.1499999999999999E-2</v>
      </c>
      <c r="R135" s="5"/>
      <c r="S135" s="5"/>
      <c r="T135" s="5"/>
      <c r="U135" s="5"/>
      <c r="V135" s="5"/>
      <c r="W135" s="5"/>
      <c r="X135" s="5"/>
      <c r="Y135" s="5"/>
      <c r="Z135" s="5"/>
      <c r="AA135" s="5"/>
      <c r="AB135" s="5"/>
      <c r="AC135" s="5"/>
      <c r="AD135" s="5"/>
      <c r="AE135" s="5"/>
      <c r="AF135" s="5"/>
      <c r="AG135" s="5"/>
      <c r="AH135" s="5"/>
      <c r="AI135" s="5"/>
      <c r="AJ135" s="5"/>
      <c r="AK135" s="5"/>
      <c r="AL135" s="5"/>
      <c r="AM135" s="5"/>
      <c r="AN135" s="5"/>
      <c r="AO135" s="36">
        <v>0</v>
      </c>
      <c r="AP135" s="16"/>
    </row>
    <row r="136" spans="1:42">
      <c r="A136" s="93" t="s">
        <v>346</v>
      </c>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5">
        <v>0</v>
      </c>
      <c r="AP136" s="14"/>
    </row>
    <row r="137" spans="1:42">
      <c r="A137" s="93" t="s">
        <v>347</v>
      </c>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36">
        <v>0</v>
      </c>
      <c r="AP137" s="16"/>
    </row>
    <row r="138" spans="1:42">
      <c r="A138" s="93" t="s">
        <v>348</v>
      </c>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5">
        <v>0</v>
      </c>
      <c r="AP138" s="14"/>
    </row>
    <row r="139" spans="1:42">
      <c r="A139" s="93" t="s">
        <v>349</v>
      </c>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36">
        <v>0</v>
      </c>
      <c r="AP139" s="16"/>
    </row>
    <row r="140" spans="1:42">
      <c r="A140" s="93" t="s">
        <v>350</v>
      </c>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5">
        <v>0</v>
      </c>
      <c r="AP140" s="14"/>
    </row>
    <row r="141" spans="1:42">
      <c r="A141" s="93" t="s">
        <v>351</v>
      </c>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36">
        <v>0</v>
      </c>
      <c r="AP141" s="16"/>
    </row>
    <row r="142" spans="1:42">
      <c r="A142" s="93" t="s">
        <v>352</v>
      </c>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5">
        <v>0</v>
      </c>
      <c r="AP142" s="14"/>
    </row>
    <row r="143" spans="1:42">
      <c r="A143" s="93" t="s">
        <v>353</v>
      </c>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36">
        <v>0</v>
      </c>
      <c r="AP143" s="16"/>
    </row>
    <row r="144" spans="1:42">
      <c r="A144" s="93" t="s">
        <v>354</v>
      </c>
      <c r="B144" s="3"/>
      <c r="C144" s="35">
        <v>5.4600000000000003E-2</v>
      </c>
      <c r="D144" s="35">
        <v>0.10299999999999999</v>
      </c>
      <c r="E144" s="3"/>
      <c r="F144" s="3"/>
      <c r="G144" s="3"/>
      <c r="H144" s="35">
        <v>4.5600000000000002E-2</v>
      </c>
      <c r="I144" s="35">
        <v>1.84E-2</v>
      </c>
      <c r="J144" s="35">
        <v>0.13500000000000001</v>
      </c>
      <c r="K144" s="3"/>
      <c r="L144" s="3"/>
      <c r="M144" s="3"/>
      <c r="N144" s="3"/>
      <c r="O144" s="3"/>
      <c r="P144" s="3"/>
      <c r="Q144" s="3"/>
      <c r="R144" s="3"/>
      <c r="S144" s="3"/>
      <c r="T144" s="3"/>
      <c r="U144" s="35">
        <v>2.8199999999999999E-2</v>
      </c>
      <c r="V144" s="3"/>
      <c r="W144" s="3"/>
      <c r="X144" s="3"/>
      <c r="Y144" s="3"/>
      <c r="Z144" s="3"/>
      <c r="AA144" s="3"/>
      <c r="AB144" s="3"/>
      <c r="AC144" s="3"/>
      <c r="AD144" s="3"/>
      <c r="AE144" s="3"/>
      <c r="AF144" s="3"/>
      <c r="AG144" s="3"/>
      <c r="AH144" s="3"/>
      <c r="AI144" s="3"/>
      <c r="AJ144" s="3"/>
      <c r="AK144" s="3"/>
      <c r="AL144" s="3"/>
      <c r="AM144" s="3"/>
      <c r="AN144" s="3"/>
      <c r="AO144" s="35">
        <v>0</v>
      </c>
      <c r="AP144" s="14"/>
    </row>
    <row r="145" spans="1:42">
      <c r="A145" s="93" t="s">
        <v>355</v>
      </c>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36">
        <v>0</v>
      </c>
      <c r="AP145" s="16"/>
    </row>
    <row r="146" spans="1:42">
      <c r="A146" s="93" t="s">
        <v>356</v>
      </c>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5">
        <v>0</v>
      </c>
      <c r="AP146" s="14"/>
    </row>
    <row r="147" spans="1:42">
      <c r="A147" s="93" t="s">
        <v>357</v>
      </c>
      <c r="B147" s="36">
        <v>2.5100000000000001E-3</v>
      </c>
      <c r="C147" s="36">
        <v>8.2699999999999996E-3</v>
      </c>
      <c r="D147" s="36">
        <v>2.5100000000000001E-3</v>
      </c>
      <c r="E147" s="36">
        <v>8.2000000000000007E-3</v>
      </c>
      <c r="F147" s="36">
        <v>8.1099999999999992E-3</v>
      </c>
      <c r="G147" s="36">
        <v>2.0500000000000002E-3</v>
      </c>
      <c r="H147" s="36">
        <v>2.7100000000000002E-3</v>
      </c>
      <c r="I147" s="36">
        <v>4.6499999999999996E-3</v>
      </c>
      <c r="J147" s="36">
        <v>5.2700000000000004E-3</v>
      </c>
      <c r="K147" s="36">
        <v>7.5799999999999999E-3</v>
      </c>
      <c r="L147" s="5"/>
      <c r="M147" s="36">
        <v>1.14E-3</v>
      </c>
      <c r="N147" s="36">
        <v>2.82E-3</v>
      </c>
      <c r="O147" s="36">
        <v>2.3600000000000001E-3</v>
      </c>
      <c r="P147" s="36">
        <v>2.8E-3</v>
      </c>
      <c r="Q147" s="5"/>
      <c r="R147" s="36">
        <v>1.8400000000000001E-3</v>
      </c>
      <c r="S147" s="36">
        <v>7.8299999999999995E-4</v>
      </c>
      <c r="T147" s="5"/>
      <c r="U147" s="5"/>
      <c r="V147" s="5"/>
      <c r="W147" s="5"/>
      <c r="X147" s="5"/>
      <c r="Y147" s="5"/>
      <c r="Z147" s="5"/>
      <c r="AA147" s="5"/>
      <c r="AB147" s="5"/>
      <c r="AC147" s="5"/>
      <c r="AD147" s="5"/>
      <c r="AE147" s="5"/>
      <c r="AF147" s="5"/>
      <c r="AG147" s="5"/>
      <c r="AH147" s="5"/>
      <c r="AI147" s="36">
        <v>2.32E-3</v>
      </c>
      <c r="AJ147" s="5"/>
      <c r="AK147" s="36">
        <v>5.8100000000000001E-3</v>
      </c>
      <c r="AL147" s="5"/>
      <c r="AM147" s="5"/>
      <c r="AN147" s="36">
        <v>4.0600000000000002E-3</v>
      </c>
      <c r="AO147" s="36">
        <v>2.47E-3</v>
      </c>
      <c r="AP147" s="46">
        <v>60.8</v>
      </c>
    </row>
    <row r="148" spans="1:42">
      <c r="A148" s="93" t="s">
        <v>358</v>
      </c>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5">
        <v>0</v>
      </c>
      <c r="AP148" s="14"/>
    </row>
    <row r="149" spans="1:42">
      <c r="A149" s="93" t="s">
        <v>359</v>
      </c>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36">
        <v>0</v>
      </c>
      <c r="AP149" s="16"/>
    </row>
    <row r="150" spans="1:42">
      <c r="A150" s="93" t="s">
        <v>360</v>
      </c>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5">
        <v>0</v>
      </c>
      <c r="AP150" s="14"/>
    </row>
    <row r="151" spans="1:42">
      <c r="A151" s="93" t="s">
        <v>361</v>
      </c>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36">
        <v>0</v>
      </c>
      <c r="AP151" s="16"/>
    </row>
    <row r="152" spans="1:42">
      <c r="A152" s="93" t="s">
        <v>362</v>
      </c>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5">
        <v>0</v>
      </c>
      <c r="AP152" s="14"/>
    </row>
    <row r="153" spans="1:42">
      <c r="A153" s="93" t="s">
        <v>363</v>
      </c>
      <c r="B153" s="36">
        <v>2.64E-3</v>
      </c>
      <c r="C153" s="5"/>
      <c r="D153" s="5"/>
      <c r="E153" s="5"/>
      <c r="F153" s="5"/>
      <c r="G153" s="5"/>
      <c r="H153" s="5"/>
      <c r="I153" s="5"/>
      <c r="J153" s="5"/>
      <c r="K153" s="5"/>
      <c r="L153" s="5"/>
      <c r="M153" s="36">
        <v>2.3800000000000002E-3</v>
      </c>
      <c r="N153" s="36">
        <v>1.6000000000000001E-3</v>
      </c>
      <c r="O153" s="36">
        <v>1.8600000000000001E-3</v>
      </c>
      <c r="P153" s="36">
        <v>1.48E-3</v>
      </c>
      <c r="Q153" s="5"/>
      <c r="R153" s="5"/>
      <c r="S153" s="36">
        <v>1.6199999999999999E-3</v>
      </c>
      <c r="T153" s="5"/>
      <c r="U153" s="5"/>
      <c r="V153" s="5"/>
      <c r="W153" s="5"/>
      <c r="X153" s="5"/>
      <c r="Y153" s="5"/>
      <c r="Z153" s="5"/>
      <c r="AA153" s="5"/>
      <c r="AB153" s="5"/>
      <c r="AC153" s="5"/>
      <c r="AD153" s="5"/>
      <c r="AE153" s="5"/>
      <c r="AF153" s="5"/>
      <c r="AG153" s="5"/>
      <c r="AH153" s="5"/>
      <c r="AI153" s="36">
        <v>2.31E-3</v>
      </c>
      <c r="AJ153" s="5"/>
      <c r="AK153" s="5"/>
      <c r="AL153" s="5"/>
      <c r="AM153" s="5"/>
      <c r="AN153" s="36">
        <v>2.31E-3</v>
      </c>
      <c r="AO153" s="5"/>
      <c r="AP153" s="46">
        <v>0</v>
      </c>
    </row>
    <row r="154" spans="1:42">
      <c r="A154" s="93" t="s">
        <v>364</v>
      </c>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5">
        <v>0</v>
      </c>
      <c r="AP154" s="14"/>
    </row>
    <row r="155" spans="1:42">
      <c r="A155" s="93" t="s">
        <v>365</v>
      </c>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36">
        <v>0</v>
      </c>
      <c r="AP155" s="16"/>
    </row>
    <row r="156" spans="1:42">
      <c r="A156" s="93" t="s">
        <v>366</v>
      </c>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5">
        <v>0</v>
      </c>
      <c r="AP156" s="14"/>
    </row>
    <row r="157" spans="1:42">
      <c r="A157" s="93" t="s">
        <v>367</v>
      </c>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36">
        <v>0</v>
      </c>
      <c r="AP157" s="16"/>
    </row>
    <row r="158" spans="1:42">
      <c r="A158" s="93" t="s">
        <v>368</v>
      </c>
      <c r="B158" s="35">
        <v>1.7100000000000001E-2</v>
      </c>
      <c r="C158" s="35">
        <v>1.9099999999999999E-2</v>
      </c>
      <c r="D158" s="35">
        <v>8.8500000000000002E-3</v>
      </c>
      <c r="E158" s="3"/>
      <c r="F158" s="3"/>
      <c r="G158" s="35">
        <v>2.8400000000000002E-2</v>
      </c>
      <c r="H158" s="35">
        <v>3.8300000000000001E-2</v>
      </c>
      <c r="I158" s="35">
        <v>3.1899999999999998E-2</v>
      </c>
      <c r="J158" s="35">
        <v>3.6400000000000002E-2</v>
      </c>
      <c r="K158" s="35">
        <v>6.8000000000000005E-2</v>
      </c>
      <c r="L158" s="3"/>
      <c r="M158" s="35">
        <v>1.4800000000000001E-2</v>
      </c>
      <c r="N158" s="35">
        <v>7.7200000000000003E-3</v>
      </c>
      <c r="O158" s="35">
        <v>1.09E-2</v>
      </c>
      <c r="P158" s="35">
        <v>1.46E-2</v>
      </c>
      <c r="Q158" s="3"/>
      <c r="R158" s="35">
        <v>2.6700000000000002E-2</v>
      </c>
      <c r="S158" s="35">
        <v>4.6800000000000001E-2</v>
      </c>
      <c r="T158" s="35">
        <v>3.6999999999999998E-2</v>
      </c>
      <c r="U158" s="35">
        <v>5.9799999999999999E-2</v>
      </c>
      <c r="V158" s="35">
        <v>9.8599999999999993E-2</v>
      </c>
      <c r="W158" s="35">
        <v>4.8500000000000001E-2</v>
      </c>
      <c r="X158" s="35">
        <v>4.4400000000000002E-2</v>
      </c>
      <c r="Y158" s="35">
        <v>8.14E-2</v>
      </c>
      <c r="Z158" s="35">
        <v>9.6799999999999997E-2</v>
      </c>
      <c r="AA158" s="3"/>
      <c r="AB158" s="35">
        <v>2.5399999999999999E-2</v>
      </c>
      <c r="AC158" s="35">
        <v>2.8000000000000001E-2</v>
      </c>
      <c r="AD158" s="35">
        <v>3.8300000000000001E-2</v>
      </c>
      <c r="AE158" s="3"/>
      <c r="AF158" s="3"/>
      <c r="AG158" s="3"/>
      <c r="AH158" s="35">
        <v>6.7299999999999999E-2</v>
      </c>
      <c r="AI158" s="35">
        <v>1.8599999999999998E-2</v>
      </c>
      <c r="AJ158" s="3"/>
      <c r="AK158" s="35">
        <v>9.5000000000000001E-2</v>
      </c>
      <c r="AL158" s="35">
        <v>4.07E-2</v>
      </c>
      <c r="AM158" s="3"/>
      <c r="AN158" s="35">
        <v>5.5399999999999998E-2</v>
      </c>
      <c r="AO158" s="35">
        <v>3.3099999999999997E-2</v>
      </c>
      <c r="AP158" s="45">
        <v>59.7</v>
      </c>
    </row>
    <row r="159" spans="1:42">
      <c r="A159" s="93" t="s">
        <v>369</v>
      </c>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36">
        <v>0</v>
      </c>
      <c r="AP159" s="16"/>
    </row>
    <row r="160" spans="1:42">
      <c r="A160" s="93" t="s">
        <v>370</v>
      </c>
      <c r="B160" s="35">
        <v>1.6799999999999999E-2</v>
      </c>
      <c r="C160" s="35">
        <v>1.7299999999999999E-2</v>
      </c>
      <c r="D160" s="3"/>
      <c r="E160" s="35">
        <v>1.44E-2</v>
      </c>
      <c r="F160" s="35">
        <v>2.6800000000000001E-2</v>
      </c>
      <c r="G160" s="35">
        <v>2.01E-2</v>
      </c>
      <c r="H160" s="35">
        <v>1.9E-2</v>
      </c>
      <c r="I160" s="35">
        <v>1.9300000000000001E-2</v>
      </c>
      <c r="J160" s="35">
        <v>3.8100000000000002E-2</v>
      </c>
      <c r="K160" s="35">
        <v>1.2800000000000001E-2</v>
      </c>
      <c r="L160" s="3"/>
      <c r="M160" s="35">
        <v>1.6799999999999999E-2</v>
      </c>
      <c r="N160" s="35">
        <v>1.5100000000000001E-2</v>
      </c>
      <c r="O160" s="35">
        <v>1.0200000000000001E-2</v>
      </c>
      <c r="P160" s="35">
        <v>1.2999999999999999E-2</v>
      </c>
      <c r="Q160" s="35">
        <v>1.11E-2</v>
      </c>
      <c r="R160" s="35">
        <v>0.02</v>
      </c>
      <c r="S160" s="35">
        <v>2.1999999999999999E-2</v>
      </c>
      <c r="T160" s="35">
        <v>5.6599999999999998E-2</v>
      </c>
      <c r="U160" s="35">
        <v>1.8599999999999998E-2</v>
      </c>
      <c r="V160" s="35">
        <v>1.9E-2</v>
      </c>
      <c r="W160" s="35">
        <v>2.9100000000000001E-2</v>
      </c>
      <c r="X160" s="35">
        <v>1.8700000000000001E-2</v>
      </c>
      <c r="Y160" s="35">
        <v>2.0400000000000001E-2</v>
      </c>
      <c r="Z160" s="35">
        <v>1.7600000000000001E-2</v>
      </c>
      <c r="AA160" s="3"/>
      <c r="AB160" s="35">
        <v>2.2100000000000002E-2</v>
      </c>
      <c r="AC160" s="35">
        <v>2.41E-2</v>
      </c>
      <c r="AD160" s="35">
        <v>3.9300000000000002E-2</v>
      </c>
      <c r="AE160" s="35">
        <v>2.87E-2</v>
      </c>
      <c r="AF160" s="3"/>
      <c r="AG160" s="3"/>
      <c r="AH160" s="35">
        <v>1.7999999999999999E-2</v>
      </c>
      <c r="AI160" s="35">
        <v>1.23E-2</v>
      </c>
      <c r="AJ160" s="35">
        <v>5.8000000000000003E-2</v>
      </c>
      <c r="AK160" s="35">
        <v>1.66E-2</v>
      </c>
      <c r="AL160" s="35">
        <v>1.67E-2</v>
      </c>
      <c r="AM160" s="3"/>
      <c r="AN160" s="35">
        <v>2.4299999999999999E-2</v>
      </c>
      <c r="AO160" s="35">
        <v>1.9E-2</v>
      </c>
      <c r="AP160" s="45">
        <v>77.900000000000006</v>
      </c>
    </row>
    <row r="161" spans="1:42">
      <c r="A161" s="93" t="s">
        <v>371</v>
      </c>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36">
        <v>0</v>
      </c>
      <c r="AP161" s="16"/>
    </row>
    <row r="162" spans="1:42">
      <c r="A162" s="93" t="s">
        <v>372</v>
      </c>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5">
        <v>0</v>
      </c>
      <c r="AP162" s="14"/>
    </row>
    <row r="163" spans="1:42">
      <c r="A163" s="93" t="s">
        <v>373</v>
      </c>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36">
        <v>0</v>
      </c>
      <c r="AP163" s="16"/>
    </row>
    <row r="164" spans="1:42">
      <c r="A164" s="93" t="s">
        <v>374</v>
      </c>
      <c r="B164" s="35">
        <v>8.3199999999999996E-2</v>
      </c>
      <c r="C164" s="35">
        <v>5.2999999999999999E-2</v>
      </c>
      <c r="D164" s="35">
        <v>5.1999999999999998E-2</v>
      </c>
      <c r="E164" s="35">
        <v>0.29699999999999999</v>
      </c>
      <c r="F164" s="35">
        <v>0.60199999999999998</v>
      </c>
      <c r="G164" s="35">
        <v>0.221</v>
      </c>
      <c r="H164" s="35">
        <v>9.3200000000000005E-2</v>
      </c>
      <c r="I164" s="35">
        <v>6.7199999999999996E-2</v>
      </c>
      <c r="J164" s="35">
        <v>0.106</v>
      </c>
      <c r="K164" s="35">
        <v>7.0099999999999996E-2</v>
      </c>
      <c r="L164" s="3"/>
      <c r="M164" s="35">
        <v>9.4100000000000003E-2</v>
      </c>
      <c r="N164" s="35">
        <v>8.3500000000000005E-2</v>
      </c>
      <c r="O164" s="35">
        <v>0.108</v>
      </c>
      <c r="P164" s="35">
        <v>0.109</v>
      </c>
      <c r="Q164" s="35">
        <v>7.0999999999999994E-2</v>
      </c>
      <c r="R164" s="35">
        <v>4.1300000000000003E-2</v>
      </c>
      <c r="S164" s="35">
        <v>4.1099999999999998E-2</v>
      </c>
      <c r="T164" s="35">
        <v>6.46</v>
      </c>
      <c r="U164" s="35">
        <v>0.36599999999999999</v>
      </c>
      <c r="V164" s="35">
        <v>0.36499999999999999</v>
      </c>
      <c r="W164" s="35">
        <v>0.54</v>
      </c>
      <c r="X164" s="35">
        <v>0.192</v>
      </c>
      <c r="Y164" s="35">
        <v>0.29899999999999999</v>
      </c>
      <c r="Z164" s="35">
        <v>0.57999999999999996</v>
      </c>
      <c r="AA164" s="3"/>
      <c r="AB164" s="35">
        <v>0.14699999999999999</v>
      </c>
      <c r="AC164" s="35">
        <v>6.7500000000000004E-2</v>
      </c>
      <c r="AD164" s="35">
        <v>7.0999999999999994E-2</v>
      </c>
      <c r="AE164" s="35">
        <v>0.16800000000000001</v>
      </c>
      <c r="AF164" s="3"/>
      <c r="AG164" s="3"/>
      <c r="AH164" s="35">
        <v>0.255</v>
      </c>
      <c r="AI164" s="35">
        <v>9.8299999999999998E-2</v>
      </c>
      <c r="AJ164" s="35">
        <v>7.8200000000000006E-2</v>
      </c>
      <c r="AK164" s="35">
        <v>0.114</v>
      </c>
      <c r="AL164" s="35">
        <v>9.3299999999999994E-2</v>
      </c>
      <c r="AM164" s="3"/>
      <c r="AN164" s="35">
        <v>0.128</v>
      </c>
      <c r="AO164" s="35">
        <v>7.22E-2</v>
      </c>
      <c r="AP164" s="45">
        <v>56.6</v>
      </c>
    </row>
    <row r="165" spans="1:42">
      <c r="A165" s="93" t="s">
        <v>375</v>
      </c>
      <c r="B165" s="36">
        <v>8.0199999999999994E-3</v>
      </c>
      <c r="C165" s="36">
        <v>1.37E-2</v>
      </c>
      <c r="D165" s="5"/>
      <c r="E165" s="5"/>
      <c r="F165" s="36">
        <v>0.18</v>
      </c>
      <c r="G165" s="5"/>
      <c r="H165" s="5"/>
      <c r="I165" s="5"/>
      <c r="J165" s="5"/>
      <c r="K165" s="5"/>
      <c r="L165" s="5"/>
      <c r="M165" s="36">
        <v>1.2800000000000001E-2</v>
      </c>
      <c r="N165" s="36">
        <v>6.8300000000000001E-3</v>
      </c>
      <c r="O165" s="36">
        <v>6.8500000000000002E-3</v>
      </c>
      <c r="P165" s="36">
        <v>1.15E-2</v>
      </c>
      <c r="Q165" s="5"/>
      <c r="R165" s="5"/>
      <c r="S165" s="36">
        <v>1.89E-2</v>
      </c>
      <c r="T165" s="36">
        <v>0.69199999999999995</v>
      </c>
      <c r="U165" s="36">
        <v>0.10199999999999999</v>
      </c>
      <c r="V165" s="36">
        <v>0.11600000000000001</v>
      </c>
      <c r="W165" s="36">
        <v>0.18099999999999999</v>
      </c>
      <c r="X165" s="36">
        <v>7.1499999999999994E-2</v>
      </c>
      <c r="Y165" s="36">
        <v>0.107</v>
      </c>
      <c r="Z165" s="36">
        <v>0.17699999999999999</v>
      </c>
      <c r="AA165" s="5"/>
      <c r="AB165" s="36">
        <v>3.78E-2</v>
      </c>
      <c r="AC165" s="5"/>
      <c r="AD165" s="36">
        <v>1.8499999999999999E-2</v>
      </c>
      <c r="AE165" s="36">
        <v>7.9000000000000001E-2</v>
      </c>
      <c r="AF165" s="5"/>
      <c r="AG165" s="5"/>
      <c r="AH165" s="36">
        <v>6.9199999999999998E-2</v>
      </c>
      <c r="AI165" s="36">
        <v>1.2699999999999999E-2</v>
      </c>
      <c r="AJ165" s="5"/>
      <c r="AK165" s="36">
        <v>2.6800000000000001E-2</v>
      </c>
      <c r="AL165" s="5"/>
      <c r="AM165" s="5"/>
      <c r="AN165" s="36">
        <v>3.6200000000000003E-2</v>
      </c>
      <c r="AO165" s="36">
        <v>2.9399999999999999E-2</v>
      </c>
      <c r="AP165" s="46">
        <v>81.2</v>
      </c>
    </row>
    <row r="166" spans="1:42">
      <c r="A166" s="93" t="s">
        <v>376</v>
      </c>
      <c r="B166" s="35">
        <v>4.45E-3</v>
      </c>
      <c r="C166" s="35">
        <v>6.5199999999999998E-3</v>
      </c>
      <c r="D166" s="35">
        <v>2.2699999999999999E-3</v>
      </c>
      <c r="E166" s="3"/>
      <c r="F166" s="3"/>
      <c r="G166" s="35">
        <v>1.57E-3</v>
      </c>
      <c r="H166" s="3"/>
      <c r="I166" s="35">
        <v>2.81E-3</v>
      </c>
      <c r="J166" s="3"/>
      <c r="K166" s="3"/>
      <c r="L166" s="3"/>
      <c r="M166" s="35">
        <v>2.8400000000000001E-3</v>
      </c>
      <c r="N166" s="35">
        <v>4.3E-3</v>
      </c>
      <c r="O166" s="35">
        <v>4.2399999999999998E-3</v>
      </c>
      <c r="P166" s="35">
        <v>3.9399999999999999E-3</v>
      </c>
      <c r="Q166" s="35">
        <v>3.7799999999999999E-3</v>
      </c>
      <c r="R166" s="35">
        <v>1.41E-3</v>
      </c>
      <c r="S166" s="35">
        <v>1.23E-3</v>
      </c>
      <c r="T166" s="35">
        <v>2.2799999999999999E-3</v>
      </c>
      <c r="U166" s="35">
        <v>5.0800000000000003E-3</v>
      </c>
      <c r="V166" s="35">
        <v>1.7799999999999999E-3</v>
      </c>
      <c r="W166" s="35">
        <v>1.6100000000000001E-3</v>
      </c>
      <c r="X166" s="3"/>
      <c r="Y166" s="3"/>
      <c r="Z166" s="3"/>
      <c r="AA166" s="3"/>
      <c r="AB166" s="3"/>
      <c r="AC166" s="3"/>
      <c r="AD166" s="3"/>
      <c r="AE166" s="3"/>
      <c r="AF166" s="3"/>
      <c r="AG166" s="3"/>
      <c r="AH166" s="3"/>
      <c r="AI166" s="35">
        <v>3.46E-3</v>
      </c>
      <c r="AJ166" s="3"/>
      <c r="AK166" s="3"/>
      <c r="AL166" s="3"/>
      <c r="AM166" s="3"/>
      <c r="AN166" s="35">
        <v>3.46E-3</v>
      </c>
      <c r="AO166" s="3"/>
      <c r="AP166" s="45">
        <v>0</v>
      </c>
    </row>
    <row r="167" spans="1:42">
      <c r="A167" s="93" t="s">
        <v>377</v>
      </c>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36">
        <v>0</v>
      </c>
      <c r="AP167" s="16"/>
    </row>
    <row r="168" spans="1:42">
      <c r="A168" s="93" t="s">
        <v>378</v>
      </c>
      <c r="B168" s="35">
        <v>2.1499999999999998E-2</v>
      </c>
      <c r="C168" s="35">
        <v>2.1499999999999998E-2</v>
      </c>
      <c r="D168" s="35">
        <v>1.03E-2</v>
      </c>
      <c r="E168" s="3"/>
      <c r="F168" s="3"/>
      <c r="G168" s="3"/>
      <c r="H168" s="35">
        <v>2.0799999999999999E-2</v>
      </c>
      <c r="I168" s="35">
        <v>2.01E-2</v>
      </c>
      <c r="J168" s="35">
        <v>2.87E-2</v>
      </c>
      <c r="K168" s="35">
        <v>1.6899999999999998E-2</v>
      </c>
      <c r="L168" s="3"/>
      <c r="M168" s="35">
        <v>2.9899999999999999E-2</v>
      </c>
      <c r="N168" s="35">
        <v>1.09E-2</v>
      </c>
      <c r="O168" s="35">
        <v>6.5199999999999998E-3</v>
      </c>
      <c r="P168" s="35">
        <v>1.9300000000000001E-2</v>
      </c>
      <c r="Q168" s="3"/>
      <c r="R168" s="3"/>
      <c r="S168" s="35">
        <v>3.4599999999999999E-2</v>
      </c>
      <c r="T168" s="35">
        <v>2.3900000000000001E-2</v>
      </c>
      <c r="U168" s="35">
        <v>1.2500000000000001E-2</v>
      </c>
      <c r="V168" s="35">
        <v>1.9400000000000001E-2</v>
      </c>
      <c r="W168" s="35">
        <v>3.5200000000000002E-2</v>
      </c>
      <c r="X168" s="35">
        <v>2.07E-2</v>
      </c>
      <c r="Y168" s="35">
        <v>3.6799999999999999E-2</v>
      </c>
      <c r="Z168" s="35">
        <v>5.16E-2</v>
      </c>
      <c r="AA168" s="3"/>
      <c r="AB168" s="3"/>
      <c r="AC168" s="3"/>
      <c r="AD168" s="3"/>
      <c r="AE168" s="3"/>
      <c r="AF168" s="3"/>
      <c r="AG168" s="3"/>
      <c r="AH168" s="35">
        <v>2.3599999999999999E-2</v>
      </c>
      <c r="AI168" s="35">
        <v>8.8300000000000003E-2</v>
      </c>
      <c r="AJ168" s="3"/>
      <c r="AK168" s="3"/>
      <c r="AL168" s="3"/>
      <c r="AM168" s="3"/>
      <c r="AN168" s="35">
        <v>5.6000000000000001E-2</v>
      </c>
      <c r="AO168" s="35">
        <v>4.58E-2</v>
      </c>
      <c r="AP168" s="45">
        <v>81.8</v>
      </c>
    </row>
    <row r="169" spans="1:42">
      <c r="A169" s="93" t="s">
        <v>379</v>
      </c>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36">
        <v>0</v>
      </c>
      <c r="AP169" s="16"/>
    </row>
    <row r="170" spans="1:42">
      <c r="A170" s="93" t="s">
        <v>380</v>
      </c>
      <c r="B170" s="35">
        <v>0.157</v>
      </c>
      <c r="C170" s="3"/>
      <c r="D170" s="35">
        <v>0.17699999999999999</v>
      </c>
      <c r="E170" s="3"/>
      <c r="F170" s="3"/>
      <c r="G170" s="3"/>
      <c r="H170" s="35">
        <v>0.22900000000000001</v>
      </c>
      <c r="I170" s="35">
        <v>0.26500000000000001</v>
      </c>
      <c r="J170" s="35">
        <v>0.22</v>
      </c>
      <c r="K170" s="35">
        <v>4.9000000000000002E-2</v>
      </c>
      <c r="L170" s="3"/>
      <c r="M170" s="35">
        <v>0.21</v>
      </c>
      <c r="N170" s="35">
        <v>0.14499999999999999</v>
      </c>
      <c r="O170" s="35">
        <v>0.15</v>
      </c>
      <c r="P170" s="35">
        <v>0.17399999999999999</v>
      </c>
      <c r="Q170" s="3"/>
      <c r="R170" s="3"/>
      <c r="S170" s="35">
        <v>0.187</v>
      </c>
      <c r="T170" s="35">
        <v>0.55100000000000005</v>
      </c>
      <c r="U170" s="35">
        <v>0.31900000000000001</v>
      </c>
      <c r="V170" s="35">
        <v>0.40799999999999997</v>
      </c>
      <c r="W170" s="35">
        <v>0.41599999999999998</v>
      </c>
      <c r="X170" s="35">
        <v>0.20300000000000001</v>
      </c>
      <c r="Y170" s="35">
        <v>0.34799999999999998</v>
      </c>
      <c r="Z170" s="35">
        <v>0.437</v>
      </c>
      <c r="AA170" s="3"/>
      <c r="AB170" s="3"/>
      <c r="AC170" s="3"/>
      <c r="AD170" s="3"/>
      <c r="AE170" s="3"/>
      <c r="AF170" s="3"/>
      <c r="AG170" s="3"/>
      <c r="AH170" s="3"/>
      <c r="AI170" s="35">
        <v>0.24399999999999999</v>
      </c>
      <c r="AJ170" s="3"/>
      <c r="AK170" s="3"/>
      <c r="AL170" s="3"/>
      <c r="AM170" s="3"/>
      <c r="AN170" s="35">
        <v>0.24399999999999999</v>
      </c>
      <c r="AO170" s="3"/>
      <c r="AP170" s="45">
        <v>0</v>
      </c>
    </row>
    <row r="171" spans="1:42">
      <c r="A171" s="93" t="s">
        <v>381</v>
      </c>
      <c r="B171" s="36">
        <v>0.628</v>
      </c>
      <c r="C171" s="36">
        <v>0.31</v>
      </c>
      <c r="D171" s="36">
        <v>0.21199999999999999</v>
      </c>
      <c r="E171" s="5"/>
      <c r="F171" s="36">
        <v>1.5</v>
      </c>
      <c r="G171" s="36">
        <v>0.29699999999999999</v>
      </c>
      <c r="H171" s="36">
        <v>0.374</v>
      </c>
      <c r="I171" s="36">
        <v>0.377</v>
      </c>
      <c r="J171" s="36">
        <v>0.377</v>
      </c>
      <c r="K171" s="36">
        <v>0.41299999999999998</v>
      </c>
      <c r="L171" s="5"/>
      <c r="M171" s="36">
        <v>0.73799999999999999</v>
      </c>
      <c r="N171" s="36">
        <v>0.51100000000000001</v>
      </c>
      <c r="O171" s="36">
        <v>0.46400000000000002</v>
      </c>
      <c r="P171" s="36">
        <v>0.59</v>
      </c>
      <c r="Q171" s="36">
        <v>0.41099999999999998</v>
      </c>
      <c r="R171" s="36">
        <v>0.18099999999999999</v>
      </c>
      <c r="S171" s="36">
        <v>0.77700000000000002</v>
      </c>
      <c r="T171" s="36">
        <v>0.65800000000000003</v>
      </c>
      <c r="U171" s="36">
        <v>0.41299999999999998</v>
      </c>
      <c r="V171" s="36">
        <v>0.60799999999999998</v>
      </c>
      <c r="W171" s="36">
        <v>0.41399999999999998</v>
      </c>
      <c r="X171" s="36">
        <v>0.56899999999999995</v>
      </c>
      <c r="Y171" s="36">
        <v>0.69399999999999995</v>
      </c>
      <c r="Z171" s="36">
        <v>0.82299999999999995</v>
      </c>
      <c r="AA171" s="5"/>
      <c r="AB171" s="36">
        <v>0.42299999999999999</v>
      </c>
      <c r="AC171" s="36">
        <v>0.48</v>
      </c>
      <c r="AD171" s="36">
        <v>0.61699999999999999</v>
      </c>
      <c r="AE171" s="36">
        <v>0.90100000000000002</v>
      </c>
      <c r="AF171" s="5"/>
      <c r="AG171" s="5"/>
      <c r="AH171" s="36">
        <v>0.40200000000000002</v>
      </c>
      <c r="AI171" s="36">
        <v>0.60399999999999998</v>
      </c>
      <c r="AJ171" s="36">
        <v>0.34</v>
      </c>
      <c r="AK171" s="36">
        <v>0.70799999999999996</v>
      </c>
      <c r="AL171" s="36">
        <v>0.49399999999999999</v>
      </c>
      <c r="AM171" s="5"/>
      <c r="AN171" s="36">
        <v>0.51</v>
      </c>
      <c r="AO171" s="36">
        <v>0.14899999999999999</v>
      </c>
      <c r="AP171" s="46">
        <v>29.3</v>
      </c>
    </row>
    <row r="172" spans="1:42">
      <c r="A172" s="93" t="s">
        <v>382</v>
      </c>
      <c r="B172" s="35">
        <v>2.2499999999999999E-2</v>
      </c>
      <c r="C172" s="35">
        <v>1.2E-2</v>
      </c>
      <c r="D172" s="35">
        <v>7.3499999999999998E-3</v>
      </c>
      <c r="E172" s="3"/>
      <c r="F172" s="35">
        <v>0.30099999999999999</v>
      </c>
      <c r="G172" s="35">
        <v>7.6100000000000001E-2</v>
      </c>
      <c r="H172" s="35">
        <v>4.5600000000000002E-2</v>
      </c>
      <c r="I172" s="35">
        <v>3.2399999999999998E-2</v>
      </c>
      <c r="J172" s="35">
        <v>1.55E-2</v>
      </c>
      <c r="K172" s="35">
        <v>7.1800000000000003E-2</v>
      </c>
      <c r="L172" s="3"/>
      <c r="M172" s="35">
        <v>0.04</v>
      </c>
      <c r="N172" s="35">
        <v>2.0400000000000001E-2</v>
      </c>
      <c r="O172" s="35">
        <v>1.6899999999999998E-2</v>
      </c>
      <c r="P172" s="35">
        <v>2.9000000000000001E-2</v>
      </c>
      <c r="Q172" s="35">
        <v>0.16400000000000001</v>
      </c>
      <c r="R172" s="35">
        <v>8.9399999999999993E-2</v>
      </c>
      <c r="S172" s="35">
        <v>6.4100000000000004E-2</v>
      </c>
      <c r="T172" s="35">
        <v>0.157</v>
      </c>
      <c r="U172" s="35">
        <v>7.2300000000000003E-2</v>
      </c>
      <c r="V172" s="35">
        <v>6.6699999999999995E-2</v>
      </c>
      <c r="W172" s="35">
        <v>7.9799999999999996E-2</v>
      </c>
      <c r="X172" s="35">
        <v>3.6499999999999998E-2</v>
      </c>
      <c r="Y172" s="35">
        <v>8.7599999999999997E-2</v>
      </c>
      <c r="Z172" s="35">
        <v>7.0000000000000007E-2</v>
      </c>
      <c r="AA172" s="3"/>
      <c r="AB172" s="35">
        <v>7.6899999999999996E-2</v>
      </c>
      <c r="AC172" s="35">
        <v>8.5800000000000001E-2</v>
      </c>
      <c r="AD172" s="35">
        <v>0.13100000000000001</v>
      </c>
      <c r="AE172" s="35">
        <v>0.124</v>
      </c>
      <c r="AF172" s="3"/>
      <c r="AG172" s="3"/>
      <c r="AH172" s="35">
        <v>1.4999999999999999E-2</v>
      </c>
      <c r="AI172" s="35">
        <v>3.1699999999999999E-2</v>
      </c>
      <c r="AJ172" s="35">
        <v>3.3399999999999999E-2</v>
      </c>
      <c r="AK172" s="35">
        <v>0.107</v>
      </c>
      <c r="AL172" s="35">
        <v>0.13100000000000001</v>
      </c>
      <c r="AM172" s="3"/>
      <c r="AN172" s="35">
        <v>6.3500000000000001E-2</v>
      </c>
      <c r="AO172" s="35">
        <v>5.16E-2</v>
      </c>
      <c r="AP172" s="45">
        <v>81.3</v>
      </c>
    </row>
    <row r="173" spans="1:42">
      <c r="A173" s="93" t="s">
        <v>383</v>
      </c>
      <c r="B173" s="36">
        <v>2.2800000000000001E-2</v>
      </c>
      <c r="C173" s="36">
        <v>3.2500000000000001E-2</v>
      </c>
      <c r="D173" s="36">
        <v>1.2699999999999999E-2</v>
      </c>
      <c r="E173" s="5"/>
      <c r="F173" s="36">
        <v>0.88400000000000001</v>
      </c>
      <c r="G173" s="36">
        <v>0.21299999999999999</v>
      </c>
      <c r="H173" s="36">
        <v>5.0200000000000002E-2</v>
      </c>
      <c r="I173" s="36">
        <v>3.39E-2</v>
      </c>
      <c r="J173" s="36">
        <v>6.5500000000000003E-2</v>
      </c>
      <c r="K173" s="36">
        <v>1.9300000000000001E-2</v>
      </c>
      <c r="L173" s="5"/>
      <c r="M173" s="36">
        <v>5.45E-2</v>
      </c>
      <c r="N173" s="36">
        <v>5.0599999999999999E-2</v>
      </c>
      <c r="O173" s="36">
        <v>6.6600000000000006E-2</v>
      </c>
      <c r="P173" s="36">
        <v>4.82E-2</v>
      </c>
      <c r="Q173" s="36">
        <v>6.8000000000000005E-2</v>
      </c>
      <c r="R173" s="36">
        <v>1.5299999999999999E-2</v>
      </c>
      <c r="S173" s="36">
        <v>3.5299999999999998E-2</v>
      </c>
      <c r="T173" s="36">
        <v>0.63500000000000001</v>
      </c>
      <c r="U173" s="36">
        <v>0.14899999999999999</v>
      </c>
      <c r="V173" s="36">
        <v>0.21099999999999999</v>
      </c>
      <c r="W173" s="36">
        <v>0.105</v>
      </c>
      <c r="X173" s="36">
        <v>7.4499999999999997E-2</v>
      </c>
      <c r="Y173" s="36">
        <v>7.6200000000000004E-2</v>
      </c>
      <c r="Z173" s="36">
        <v>8.4599999999999995E-2</v>
      </c>
      <c r="AA173" s="5"/>
      <c r="AB173" s="36">
        <v>6.0499999999999998E-2</v>
      </c>
      <c r="AC173" s="36">
        <v>1.5599999999999999E-2</v>
      </c>
      <c r="AD173" s="36">
        <v>0.02</v>
      </c>
      <c r="AE173" s="36">
        <v>3.2099999999999997E-2</v>
      </c>
      <c r="AF173" s="5"/>
      <c r="AG173" s="5"/>
      <c r="AH173" s="36">
        <v>5.45E-2</v>
      </c>
      <c r="AI173" s="36">
        <v>4.4999999999999998E-2</v>
      </c>
      <c r="AJ173" s="36">
        <v>5.5100000000000003E-2</v>
      </c>
      <c r="AK173" s="36">
        <v>3.9E-2</v>
      </c>
      <c r="AL173" s="36">
        <v>2.5899999999999999E-2</v>
      </c>
      <c r="AM173" s="5"/>
      <c r="AN173" s="36">
        <v>4.3900000000000002E-2</v>
      </c>
      <c r="AO173" s="36">
        <v>1.21E-2</v>
      </c>
      <c r="AP173" s="46">
        <v>27.6</v>
      </c>
    </row>
    <row r="174" spans="1:42">
      <c r="A174" s="93" t="s">
        <v>384</v>
      </c>
      <c r="B174" s="35">
        <v>0.13800000000000001</v>
      </c>
      <c r="C174" s="35">
        <v>7.3999999999999996E-2</v>
      </c>
      <c r="D174" s="35">
        <v>4.9000000000000002E-2</v>
      </c>
      <c r="E174" s="35">
        <v>8.7999999999999995E-2</v>
      </c>
      <c r="F174" s="35">
        <v>2.95</v>
      </c>
      <c r="G174" s="35">
        <v>0.85299999999999998</v>
      </c>
      <c r="H174" s="35">
        <v>0.193</v>
      </c>
      <c r="I174" s="35">
        <v>0.13500000000000001</v>
      </c>
      <c r="J174" s="35">
        <v>0.24</v>
      </c>
      <c r="K174" s="35">
        <v>0.113</v>
      </c>
      <c r="L174" s="35">
        <v>0.182</v>
      </c>
      <c r="M174" s="35">
        <v>0.16400000000000001</v>
      </c>
      <c r="N174" s="35">
        <v>0.17899999999999999</v>
      </c>
      <c r="O174" s="35">
        <v>0.248</v>
      </c>
      <c r="P174" s="35">
        <v>0.16</v>
      </c>
      <c r="Q174" s="35">
        <v>0.315</v>
      </c>
      <c r="R174" s="35">
        <v>0.112</v>
      </c>
      <c r="S174" s="35">
        <v>0.245</v>
      </c>
      <c r="T174" s="35">
        <v>0.80800000000000005</v>
      </c>
      <c r="U174" s="35">
        <v>0.28899999999999998</v>
      </c>
      <c r="V174" s="35">
        <v>0.29499999999999998</v>
      </c>
      <c r="W174" s="35">
        <v>0.216</v>
      </c>
      <c r="X174" s="35">
        <v>0.112</v>
      </c>
      <c r="Y174" s="35">
        <v>0.246</v>
      </c>
      <c r="Z174" s="35">
        <v>0.22900000000000001</v>
      </c>
      <c r="AA174" s="3"/>
      <c r="AB174" s="35">
        <v>0.28100000000000003</v>
      </c>
      <c r="AC174" s="35">
        <v>0.127</v>
      </c>
      <c r="AD174" s="35">
        <v>0.17399999999999999</v>
      </c>
      <c r="AE174" s="35">
        <v>6.6400000000000001E-2</v>
      </c>
      <c r="AF174" s="3"/>
      <c r="AG174" s="3"/>
      <c r="AH174" s="35">
        <v>0.129</v>
      </c>
      <c r="AI174" s="35">
        <v>0.185</v>
      </c>
      <c r="AJ174" s="35">
        <v>0.18</v>
      </c>
      <c r="AK174" s="35">
        <v>0.246</v>
      </c>
      <c r="AL174" s="35">
        <v>0.16500000000000001</v>
      </c>
      <c r="AM174" s="3"/>
      <c r="AN174" s="35">
        <v>0.18099999999999999</v>
      </c>
      <c r="AO174" s="35">
        <v>4.2299999999999997E-2</v>
      </c>
      <c r="AP174" s="45">
        <v>23.3</v>
      </c>
    </row>
    <row r="175" spans="1:42">
      <c r="A175" s="93" t="s">
        <v>385</v>
      </c>
      <c r="B175" s="36">
        <v>5.0500000000000003E-2</v>
      </c>
      <c r="C175" s="36">
        <v>2.6599999999999999E-2</v>
      </c>
      <c r="D175" s="36">
        <v>1.8599999999999998E-2</v>
      </c>
      <c r="E175" s="36">
        <v>0.192</v>
      </c>
      <c r="F175" s="36">
        <v>2.57</v>
      </c>
      <c r="G175" s="36">
        <v>0.35399999999999998</v>
      </c>
      <c r="H175" s="36">
        <v>8.1199999999999994E-2</v>
      </c>
      <c r="I175" s="36">
        <v>5.0500000000000003E-2</v>
      </c>
      <c r="J175" s="36">
        <v>0.107</v>
      </c>
      <c r="K175" s="5"/>
      <c r="L175" s="36">
        <v>7.2400000000000006E-2</v>
      </c>
      <c r="M175" s="36">
        <v>8.2199999999999995E-2</v>
      </c>
      <c r="N175" s="36">
        <v>6.5000000000000002E-2</v>
      </c>
      <c r="O175" s="36">
        <v>8.9499999999999996E-2</v>
      </c>
      <c r="P175" s="36">
        <v>7.4300000000000005E-2</v>
      </c>
      <c r="Q175" s="5"/>
      <c r="R175" s="36">
        <v>4.65E-2</v>
      </c>
      <c r="S175" s="36">
        <v>5.2400000000000002E-2</v>
      </c>
      <c r="T175" s="36">
        <v>0.747</v>
      </c>
      <c r="U175" s="36">
        <v>4.3499999999999997E-2</v>
      </c>
      <c r="V175" s="36">
        <v>0.27</v>
      </c>
      <c r="W175" s="36">
        <v>0.09</v>
      </c>
      <c r="X175" s="36">
        <v>4.9299999999999997E-2</v>
      </c>
      <c r="Y175" s="36">
        <v>0.152</v>
      </c>
      <c r="Z175" s="36">
        <v>0.17299999999999999</v>
      </c>
      <c r="AA175" s="5"/>
      <c r="AB175" s="36">
        <v>0.186</v>
      </c>
      <c r="AC175" s="36">
        <v>5.3999999999999999E-2</v>
      </c>
      <c r="AD175" s="36">
        <v>9.3399999999999997E-2</v>
      </c>
      <c r="AE175" s="36">
        <v>0.10199999999999999</v>
      </c>
      <c r="AF175" s="5"/>
      <c r="AG175" s="5"/>
      <c r="AH175" s="36">
        <v>5.3600000000000002E-2</v>
      </c>
      <c r="AI175" s="36">
        <v>7.17E-2</v>
      </c>
      <c r="AJ175" s="36">
        <v>6.1199999999999997E-2</v>
      </c>
      <c r="AK175" s="36">
        <v>8.5800000000000001E-2</v>
      </c>
      <c r="AL175" s="36">
        <v>7.8700000000000006E-2</v>
      </c>
      <c r="AM175" s="5"/>
      <c r="AN175" s="36">
        <v>7.0199999999999999E-2</v>
      </c>
      <c r="AO175" s="36">
        <v>1.2999999999999999E-2</v>
      </c>
      <c r="AP175" s="46">
        <v>18.5</v>
      </c>
    </row>
    <row r="176" spans="1:42">
      <c r="A176" s="93" t="s">
        <v>386</v>
      </c>
      <c r="B176" s="35">
        <v>5.45E-3</v>
      </c>
      <c r="C176" s="3"/>
      <c r="D176" s="35">
        <v>2.6200000000000001E-2</v>
      </c>
      <c r="E176" s="3"/>
      <c r="F176" s="3"/>
      <c r="G176" s="3"/>
      <c r="H176" s="35">
        <v>1.8200000000000001E-2</v>
      </c>
      <c r="I176" s="35">
        <v>7.7600000000000004E-3</v>
      </c>
      <c r="J176" s="3"/>
      <c r="K176" s="3"/>
      <c r="L176" s="3"/>
      <c r="M176" s="35">
        <v>3.3600000000000001E-3</v>
      </c>
      <c r="N176" s="3"/>
      <c r="O176" s="3"/>
      <c r="P176" s="35">
        <v>6.7499999999999999E-3</v>
      </c>
      <c r="Q176" s="3"/>
      <c r="R176" s="3"/>
      <c r="S176" s="3"/>
      <c r="T176" s="3"/>
      <c r="U176" s="3"/>
      <c r="V176" s="3"/>
      <c r="W176" s="3"/>
      <c r="X176" s="3"/>
      <c r="Y176" s="3"/>
      <c r="Z176" s="3"/>
      <c r="AA176" s="3"/>
      <c r="AB176" s="3"/>
      <c r="AC176" s="3"/>
      <c r="AD176" s="3"/>
      <c r="AE176" s="3"/>
      <c r="AF176" s="3"/>
      <c r="AG176" s="3"/>
      <c r="AH176" s="3"/>
      <c r="AI176" s="35">
        <v>8.3199999999999993E-3</v>
      </c>
      <c r="AJ176" s="3"/>
      <c r="AK176" s="3"/>
      <c r="AL176" s="3"/>
      <c r="AM176" s="3"/>
      <c r="AN176" s="35">
        <v>8.3199999999999993E-3</v>
      </c>
      <c r="AO176" s="3"/>
      <c r="AP176" s="45">
        <v>0</v>
      </c>
    </row>
    <row r="177" spans="1:42">
      <c r="A177" s="93" t="s">
        <v>387</v>
      </c>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36">
        <v>3.4700000000000002E-2</v>
      </c>
      <c r="AI177" s="5"/>
      <c r="AJ177" s="5"/>
      <c r="AK177" s="5"/>
      <c r="AL177" s="5"/>
      <c r="AM177" s="5"/>
      <c r="AN177" s="36">
        <v>3.4700000000000002E-2</v>
      </c>
      <c r="AO177" s="5"/>
      <c r="AP177" s="46">
        <v>0</v>
      </c>
    </row>
    <row r="178" spans="1:42">
      <c r="A178" s="93" t="s">
        <v>388</v>
      </c>
      <c r="B178" s="3"/>
      <c r="C178" s="35">
        <v>7.7799999999999996E-3</v>
      </c>
      <c r="D178" s="3"/>
      <c r="E178" s="3"/>
      <c r="F178" s="3"/>
      <c r="G178" s="3"/>
      <c r="H178" s="3"/>
      <c r="I178" s="35">
        <v>1.3100000000000001E-2</v>
      </c>
      <c r="J178" s="3"/>
      <c r="K178" s="3"/>
      <c r="L178" s="3"/>
      <c r="M178" s="35">
        <v>2.0200000000000001E-3</v>
      </c>
      <c r="N178" s="3"/>
      <c r="O178" s="3"/>
      <c r="P178" s="3"/>
      <c r="Q178" s="3"/>
      <c r="R178" s="35">
        <v>4.6199999999999998E-2</v>
      </c>
      <c r="S178" s="35">
        <v>0.66800000000000004</v>
      </c>
      <c r="T178" s="35">
        <v>1.5900000000000001E-2</v>
      </c>
      <c r="U178" s="35">
        <v>1.67E-2</v>
      </c>
      <c r="V178" s="3"/>
      <c r="W178" s="3"/>
      <c r="X178" s="3"/>
      <c r="Y178" s="3"/>
      <c r="Z178" s="3"/>
      <c r="AA178" s="3"/>
      <c r="AB178" s="35">
        <v>8.9800000000000001E-3</v>
      </c>
      <c r="AC178" s="3"/>
      <c r="AD178" s="3"/>
      <c r="AE178" s="3"/>
      <c r="AF178" s="3"/>
      <c r="AG178" s="3"/>
      <c r="AH178" s="3"/>
      <c r="AI178" s="3"/>
      <c r="AJ178" s="3"/>
      <c r="AK178" s="3"/>
      <c r="AL178" s="3"/>
      <c r="AM178" s="3"/>
      <c r="AN178" s="3"/>
      <c r="AO178" s="35">
        <v>0</v>
      </c>
      <c r="AP178" s="14"/>
    </row>
    <row r="179" spans="1:42">
      <c r="A179" s="93" t="s">
        <v>389</v>
      </c>
      <c r="B179" s="36">
        <v>0.13600000000000001</v>
      </c>
      <c r="C179" s="36">
        <v>8.8499999999999995E-2</v>
      </c>
      <c r="D179" s="36">
        <v>6.7799999999999999E-2</v>
      </c>
      <c r="E179" s="36">
        <v>0.21</v>
      </c>
      <c r="F179" s="36">
        <v>2.69</v>
      </c>
      <c r="G179" s="36">
        <v>0.86899999999999999</v>
      </c>
      <c r="H179" s="36">
        <v>0.18</v>
      </c>
      <c r="I179" s="36">
        <v>0.14599999999999999</v>
      </c>
      <c r="J179" s="36">
        <v>0.27200000000000002</v>
      </c>
      <c r="K179" s="36">
        <v>0.12</v>
      </c>
      <c r="L179" s="5"/>
      <c r="M179" s="36">
        <v>0.187</v>
      </c>
      <c r="N179" s="36">
        <v>0.10299999999999999</v>
      </c>
      <c r="O179" s="36">
        <v>0.16400000000000001</v>
      </c>
      <c r="P179" s="36">
        <v>0.17899999999999999</v>
      </c>
      <c r="Q179" s="36">
        <v>0.14599999999999999</v>
      </c>
      <c r="R179" s="36">
        <v>6.13E-2</v>
      </c>
      <c r="S179" s="36">
        <v>0.126</v>
      </c>
      <c r="T179" s="36">
        <v>0.33400000000000002</v>
      </c>
      <c r="U179" s="36">
        <v>0.34599999999999997</v>
      </c>
      <c r="V179" s="36">
        <v>0.26500000000000001</v>
      </c>
      <c r="W179" s="36">
        <v>0.14199999999999999</v>
      </c>
      <c r="X179" s="36">
        <v>0.122</v>
      </c>
      <c r="Y179" s="36">
        <v>0.34300000000000003</v>
      </c>
      <c r="Z179" s="36">
        <v>1.67</v>
      </c>
      <c r="AA179" s="5"/>
      <c r="AB179" s="36">
        <v>0.182</v>
      </c>
      <c r="AC179" s="36">
        <v>0.154</v>
      </c>
      <c r="AD179" s="36">
        <v>0.125</v>
      </c>
      <c r="AE179" s="36">
        <v>0.19800000000000001</v>
      </c>
      <c r="AF179" s="5"/>
      <c r="AG179" s="5"/>
      <c r="AH179" s="36">
        <v>0.216</v>
      </c>
      <c r="AI179" s="36">
        <v>0.17799999999999999</v>
      </c>
      <c r="AJ179" s="36">
        <v>0.33400000000000002</v>
      </c>
      <c r="AK179" s="36">
        <v>0.18</v>
      </c>
      <c r="AL179" s="36">
        <v>0.2</v>
      </c>
      <c r="AM179" s="5"/>
      <c r="AN179" s="36">
        <v>0.222</v>
      </c>
      <c r="AO179" s="36">
        <v>6.4600000000000005E-2</v>
      </c>
      <c r="AP179" s="46">
        <v>29.1</v>
      </c>
    </row>
    <row r="180" spans="1:42">
      <c r="A180" s="93" t="s">
        <v>390</v>
      </c>
      <c r="B180" s="35">
        <v>3.78E-2</v>
      </c>
      <c r="C180" s="35">
        <v>4.48E-2</v>
      </c>
      <c r="D180" s="35">
        <v>1.2999999999999999E-2</v>
      </c>
      <c r="E180" s="3"/>
      <c r="F180" s="3"/>
      <c r="G180" s="3"/>
      <c r="H180" s="35">
        <v>6.3600000000000004E-2</v>
      </c>
      <c r="I180" s="35">
        <v>5.1200000000000002E-2</v>
      </c>
      <c r="J180" s="35">
        <v>7.9600000000000004E-2</v>
      </c>
      <c r="K180" s="3"/>
      <c r="L180" s="3"/>
      <c r="M180" s="35">
        <v>4.4699999999999997E-2</v>
      </c>
      <c r="N180" s="35">
        <v>3.0300000000000001E-2</v>
      </c>
      <c r="O180" s="35">
        <v>2.46E-2</v>
      </c>
      <c r="P180" s="35">
        <v>4.4499999999999998E-2</v>
      </c>
      <c r="Q180" s="3"/>
      <c r="R180" s="3"/>
      <c r="S180" s="35">
        <v>4.7E-2</v>
      </c>
      <c r="T180" s="35">
        <v>4.4299999999999999E-2</v>
      </c>
      <c r="U180" s="35">
        <v>3.5499999999999997E-2</v>
      </c>
      <c r="V180" s="35">
        <v>3.9600000000000003E-2</v>
      </c>
      <c r="W180" s="3"/>
      <c r="X180" s="35">
        <v>0.04</v>
      </c>
      <c r="Y180" s="3"/>
      <c r="Z180" s="3"/>
      <c r="AA180" s="3"/>
      <c r="AB180" s="3"/>
      <c r="AC180" s="3"/>
      <c r="AD180" s="3"/>
      <c r="AE180" s="3"/>
      <c r="AF180" s="3"/>
      <c r="AG180" s="3"/>
      <c r="AH180" s="3"/>
      <c r="AI180" s="35">
        <v>3.6799999999999999E-2</v>
      </c>
      <c r="AJ180" s="3"/>
      <c r="AK180" s="3"/>
      <c r="AL180" s="3"/>
      <c r="AM180" s="3"/>
      <c r="AN180" s="35">
        <v>3.6799999999999999E-2</v>
      </c>
      <c r="AO180" s="3"/>
      <c r="AP180" s="45">
        <v>0</v>
      </c>
    </row>
    <row r="181" spans="1:42">
      <c r="A181" s="93" t="s">
        <v>391</v>
      </c>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36">
        <v>0</v>
      </c>
      <c r="AP181" s="16"/>
    </row>
    <row r="182" spans="1:42">
      <c r="A182" s="93" t="s">
        <v>392</v>
      </c>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5">
        <v>0</v>
      </c>
      <c r="AP182" s="14"/>
    </row>
    <row r="183" spans="1:42">
      <c r="A183" s="93" t="s">
        <v>393</v>
      </c>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36">
        <v>0</v>
      </c>
      <c r="AP183" s="16"/>
    </row>
    <row r="184" spans="1:42">
      <c r="A184" s="93" t="s">
        <v>394</v>
      </c>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5">
        <v>0</v>
      </c>
      <c r="AP184" s="14"/>
    </row>
    <row r="185" spans="1:42">
      <c r="A185" s="93" t="s">
        <v>395</v>
      </c>
      <c r="B185" s="36">
        <v>3.8300000000000001E-3</v>
      </c>
      <c r="C185" s="36">
        <v>1.7299999999999999E-2</v>
      </c>
      <c r="D185" s="36">
        <v>1.0699999999999999E-2</v>
      </c>
      <c r="E185" s="5"/>
      <c r="F185" s="5"/>
      <c r="G185" s="5"/>
      <c r="H185" s="36">
        <v>7.7099999999999998E-3</v>
      </c>
      <c r="I185" s="36">
        <v>1.38E-2</v>
      </c>
      <c r="J185" s="36">
        <v>7.8100000000000001E-3</v>
      </c>
      <c r="K185" s="5"/>
      <c r="L185" s="5"/>
      <c r="M185" s="36">
        <v>5.0899999999999999E-3</v>
      </c>
      <c r="N185" s="36">
        <v>2.7399999999999998E-3</v>
      </c>
      <c r="O185" s="36">
        <v>3.8E-3</v>
      </c>
      <c r="P185" s="36">
        <v>4.3499999999999997E-3</v>
      </c>
      <c r="Q185" s="5"/>
      <c r="R185" s="5"/>
      <c r="S185" s="36">
        <v>6.7400000000000003E-3</v>
      </c>
      <c r="T185" s="36">
        <v>7.9900000000000006E-3</v>
      </c>
      <c r="U185" s="36">
        <v>8.3800000000000003E-3</v>
      </c>
      <c r="V185" s="36">
        <v>1.12E-2</v>
      </c>
      <c r="W185" s="36">
        <v>5.1999999999999998E-3</v>
      </c>
      <c r="X185" s="36">
        <v>4.5599999999999998E-3</v>
      </c>
      <c r="Y185" s="36">
        <v>5.9699999999999996E-3</v>
      </c>
      <c r="Z185" s="36">
        <v>7.2899999999999996E-3</v>
      </c>
      <c r="AA185" s="5"/>
      <c r="AB185" s="36">
        <v>4.5799999999999999E-3</v>
      </c>
      <c r="AC185" s="36">
        <v>5.2599999999999999E-3</v>
      </c>
      <c r="AD185" s="36">
        <v>6.1999999999999998E-3</v>
      </c>
      <c r="AE185" s="5"/>
      <c r="AF185" s="5"/>
      <c r="AG185" s="5"/>
      <c r="AH185" s="5"/>
      <c r="AI185" s="36">
        <v>6.28E-3</v>
      </c>
      <c r="AJ185" s="5"/>
      <c r="AK185" s="5"/>
      <c r="AL185" s="5"/>
      <c r="AM185" s="5"/>
      <c r="AN185" s="36">
        <v>6.28E-3</v>
      </c>
      <c r="AO185" s="5"/>
      <c r="AP185" s="46">
        <v>0</v>
      </c>
    </row>
    <row r="186" spans="1:42">
      <c r="A186" s="93" t="s">
        <v>396</v>
      </c>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5">
        <v>0</v>
      </c>
      <c r="AP186" s="14"/>
    </row>
    <row r="187" spans="1:42">
      <c r="A187" s="93" t="s">
        <v>397</v>
      </c>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36">
        <v>0</v>
      </c>
      <c r="AP187" s="16"/>
    </row>
    <row r="188" spans="1:42">
      <c r="A188" s="93" t="s">
        <v>398</v>
      </c>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5">
        <v>0</v>
      </c>
      <c r="AP188" s="14"/>
    </row>
    <row r="189" spans="1:42">
      <c r="A189" s="93" t="s">
        <v>399</v>
      </c>
      <c r="B189" s="36">
        <v>3.0700000000000002E-2</v>
      </c>
      <c r="C189" s="36">
        <v>1.3299999999999999E-2</v>
      </c>
      <c r="D189" s="5"/>
      <c r="E189" s="5"/>
      <c r="F189" s="5"/>
      <c r="G189" s="36">
        <v>1.47E-2</v>
      </c>
      <c r="H189" s="36">
        <v>3.0700000000000002E-2</v>
      </c>
      <c r="I189" s="36">
        <v>2.0299999999999999E-2</v>
      </c>
      <c r="J189" s="36">
        <v>2.7900000000000001E-2</v>
      </c>
      <c r="K189" s="5"/>
      <c r="L189" s="5"/>
      <c r="M189" s="36">
        <v>2.8199999999999999E-2</v>
      </c>
      <c r="N189" s="36">
        <v>6.5900000000000004E-3</v>
      </c>
      <c r="O189" s="36">
        <v>6.5500000000000003E-2</v>
      </c>
      <c r="P189" s="36">
        <v>5.0999999999999997E-2</v>
      </c>
      <c r="Q189" s="5"/>
      <c r="R189" s="5"/>
      <c r="S189" s="36">
        <v>3.4200000000000001E-2</v>
      </c>
      <c r="T189" s="36">
        <v>0.46899999999999997</v>
      </c>
      <c r="U189" s="36">
        <v>5.62E-2</v>
      </c>
      <c r="V189" s="36">
        <v>1.4200000000000001E-2</v>
      </c>
      <c r="W189" s="36">
        <v>1.26E-2</v>
      </c>
      <c r="X189" s="5"/>
      <c r="Y189" s="36">
        <v>4.3999999999999997E-2</v>
      </c>
      <c r="Z189" s="36">
        <v>4.9299999999999997E-2</v>
      </c>
      <c r="AA189" s="5"/>
      <c r="AB189" s="36">
        <v>0.14599999999999999</v>
      </c>
      <c r="AC189" s="5"/>
      <c r="AD189" s="5"/>
      <c r="AE189" s="5"/>
      <c r="AF189" s="5"/>
      <c r="AG189" s="5"/>
      <c r="AH189" s="5"/>
      <c r="AI189" s="36">
        <v>3.1199999999999999E-2</v>
      </c>
      <c r="AJ189" s="5"/>
      <c r="AK189" s="5"/>
      <c r="AL189" s="36">
        <v>2.07E-2</v>
      </c>
      <c r="AM189" s="5"/>
      <c r="AN189" s="36">
        <v>2.5899999999999999E-2</v>
      </c>
      <c r="AO189" s="36">
        <v>7.4400000000000004E-3</v>
      </c>
      <c r="AP189" s="46">
        <v>28.7</v>
      </c>
    </row>
    <row r="190" spans="1:42">
      <c r="A190" s="93" t="s">
        <v>400</v>
      </c>
      <c r="B190" s="3"/>
      <c r="C190" s="35">
        <v>5.3200000000000001E-3</v>
      </c>
      <c r="D190" s="3"/>
      <c r="E190" s="3"/>
      <c r="F190" s="3"/>
      <c r="G190" s="3"/>
      <c r="H190" s="3"/>
      <c r="I190" s="35">
        <v>2.32E-3</v>
      </c>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5">
        <v>0</v>
      </c>
      <c r="AP190" s="14"/>
    </row>
    <row r="191" spans="1:42">
      <c r="A191" s="93" t="s">
        <v>401</v>
      </c>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36">
        <v>0</v>
      </c>
      <c r="AP191" s="16"/>
    </row>
    <row r="192" spans="1:42">
      <c r="A192" s="93" t="s">
        <v>402</v>
      </c>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5">
        <v>0</v>
      </c>
      <c r="AP192" s="14"/>
    </row>
    <row r="193" spans="1:42">
      <c r="A193" s="93" t="s">
        <v>403</v>
      </c>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36">
        <v>0</v>
      </c>
      <c r="AP193" s="16"/>
    </row>
    <row r="194" spans="1:42">
      <c r="A194" s="93" t="s">
        <v>404</v>
      </c>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5">
        <v>0</v>
      </c>
      <c r="AP194" s="14"/>
    </row>
    <row r="195" spans="1:42">
      <c r="A195" s="93" t="s">
        <v>405</v>
      </c>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36">
        <v>0</v>
      </c>
      <c r="AP195" s="16"/>
    </row>
    <row r="196" spans="1:42">
      <c r="A196" s="93" t="s">
        <v>406</v>
      </c>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5">
        <v>0</v>
      </c>
      <c r="AP196" s="14"/>
    </row>
    <row r="197" spans="1:42">
      <c r="A197" s="93" t="s">
        <v>407</v>
      </c>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36">
        <v>0</v>
      </c>
      <c r="AP197" s="16"/>
    </row>
    <row r="198" spans="1:42">
      <c r="A198" s="93" t="s">
        <v>408</v>
      </c>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5">
        <v>0</v>
      </c>
      <c r="AP198" s="14"/>
    </row>
    <row r="199" spans="1:42">
      <c r="A199" s="93" t="s">
        <v>409</v>
      </c>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36">
        <v>0</v>
      </c>
      <c r="AP199" s="16"/>
    </row>
    <row r="200" spans="1:42">
      <c r="A200" s="93" t="s">
        <v>410</v>
      </c>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5">
        <v>0</v>
      </c>
      <c r="AP200" s="14"/>
    </row>
    <row r="201" spans="1:42">
      <c r="A201" s="93" t="s">
        <v>411</v>
      </c>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36">
        <v>0</v>
      </c>
      <c r="AP201" s="16"/>
    </row>
    <row r="202" spans="1:42">
      <c r="A202" s="93" t="s">
        <v>412</v>
      </c>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5">
        <v>0</v>
      </c>
      <c r="AP202" s="14"/>
    </row>
    <row r="203" spans="1:42">
      <c r="A203" s="93" t="s">
        <v>413</v>
      </c>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36">
        <v>0</v>
      </c>
      <c r="AP203" s="16"/>
    </row>
    <row r="204" spans="1:42">
      <c r="A204" s="93" t="s">
        <v>414</v>
      </c>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5">
        <v>0</v>
      </c>
      <c r="AP204" s="14"/>
    </row>
    <row r="205" spans="1:42">
      <c r="A205" s="93" t="s">
        <v>415</v>
      </c>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36">
        <v>0</v>
      </c>
      <c r="AP205" s="16"/>
    </row>
    <row r="206" spans="1:42">
      <c r="A206" s="93" t="s">
        <v>416</v>
      </c>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5">
        <v>0</v>
      </c>
      <c r="AP206" s="14"/>
    </row>
    <row r="207" spans="1:42">
      <c r="A207" s="93" t="s">
        <v>417</v>
      </c>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36">
        <v>0</v>
      </c>
      <c r="AP207" s="16"/>
    </row>
    <row r="208" spans="1:42">
      <c r="A208" s="93" t="s">
        <v>418</v>
      </c>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5">
        <v>0</v>
      </c>
      <c r="AP208" s="14"/>
    </row>
    <row r="209" spans="1:42">
      <c r="A209" s="94" t="s">
        <v>419</v>
      </c>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36">
        <v>0</v>
      </c>
      <c r="AP209" s="16"/>
    </row>
    <row r="210" spans="1:42">
      <c r="A210" s="94" t="s">
        <v>420</v>
      </c>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5">
        <v>0</v>
      </c>
      <c r="AP210" s="14"/>
    </row>
    <row r="211" spans="1:42">
      <c r="A211" s="94" t="s">
        <v>421</v>
      </c>
      <c r="B211" s="36">
        <v>2.1000000000000001E-2</v>
      </c>
      <c r="C211" s="5"/>
      <c r="D211" s="5"/>
      <c r="E211" s="36">
        <v>1.3899999999999999E-2</v>
      </c>
      <c r="F211" s="36">
        <v>0.106</v>
      </c>
      <c r="G211" s="5"/>
      <c r="H211" s="5"/>
      <c r="I211" s="5"/>
      <c r="J211" s="36">
        <v>1.6500000000000001E-2</v>
      </c>
      <c r="K211" s="36">
        <v>9.8199999999999996E-2</v>
      </c>
      <c r="L211" s="5"/>
      <c r="M211" s="36">
        <v>1.09E-2</v>
      </c>
      <c r="N211" s="36">
        <v>1.7899999999999999E-2</v>
      </c>
      <c r="O211" s="36">
        <v>2.8000000000000001E-2</v>
      </c>
      <c r="P211" s="36">
        <v>2.9100000000000001E-2</v>
      </c>
      <c r="Q211" s="36">
        <v>4.3799999999999999E-2</v>
      </c>
      <c r="R211" s="5"/>
      <c r="S211" s="36">
        <v>9.3900000000000008E-3</v>
      </c>
      <c r="T211" s="5"/>
      <c r="U211" s="5"/>
      <c r="V211" s="5"/>
      <c r="W211" s="36">
        <v>1.2200000000000001E-2</v>
      </c>
      <c r="X211" s="36">
        <v>1.2E-2</v>
      </c>
      <c r="Y211" s="36">
        <v>1.7600000000000001E-2</v>
      </c>
      <c r="Z211" s="36">
        <v>2.3199999999999998E-2</v>
      </c>
      <c r="AA211" s="5"/>
      <c r="AB211" s="36">
        <v>1.9300000000000001E-2</v>
      </c>
      <c r="AC211" s="36">
        <v>1.7600000000000001E-2</v>
      </c>
      <c r="AD211" s="36">
        <v>1.6899999999999998E-2</v>
      </c>
      <c r="AE211" s="36">
        <v>1.8100000000000002E-2</v>
      </c>
      <c r="AF211" s="5"/>
      <c r="AG211" s="5"/>
      <c r="AH211" s="36">
        <v>7.9399999999999991E-3</v>
      </c>
      <c r="AI211" s="36">
        <v>3.3799999999999997E-2</v>
      </c>
      <c r="AJ211" s="36">
        <v>5.94E-3</v>
      </c>
      <c r="AK211" s="36">
        <v>1.4E-2</v>
      </c>
      <c r="AL211" s="36">
        <v>2.1399999999999999E-2</v>
      </c>
      <c r="AM211" s="5"/>
      <c r="AN211" s="36">
        <v>1.66E-2</v>
      </c>
      <c r="AO211" s="36">
        <v>1.1299999999999999E-2</v>
      </c>
      <c r="AP211" s="46">
        <v>68.2</v>
      </c>
    </row>
    <row r="212" spans="1:42">
      <c r="A212" s="94" t="s">
        <v>422</v>
      </c>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5">
        <v>0</v>
      </c>
      <c r="AP212" s="14"/>
    </row>
    <row r="213" spans="1:42">
      <c r="A213" s="94" t="s">
        <v>423</v>
      </c>
      <c r="B213" s="36">
        <v>9.3399999999999997E-2</v>
      </c>
      <c r="C213" s="36">
        <v>0.13700000000000001</v>
      </c>
      <c r="D213" s="36">
        <v>0.158</v>
      </c>
      <c r="E213" s="36">
        <v>0.497</v>
      </c>
      <c r="F213" s="36">
        <v>0.76200000000000001</v>
      </c>
      <c r="G213" s="36">
        <v>0.16500000000000001</v>
      </c>
      <c r="H213" s="36">
        <v>0.20799999999999999</v>
      </c>
      <c r="I213" s="36">
        <v>0.13200000000000001</v>
      </c>
      <c r="J213" s="36">
        <v>0.25</v>
      </c>
      <c r="K213" s="36">
        <v>0.25900000000000001</v>
      </c>
      <c r="L213" s="36">
        <v>0.36699999999999999</v>
      </c>
      <c r="M213" s="36">
        <v>0.14499999999999999</v>
      </c>
      <c r="N213" s="36">
        <v>0.12</v>
      </c>
      <c r="O213" s="36">
        <v>0.223</v>
      </c>
      <c r="P213" s="36">
        <v>0.21199999999999999</v>
      </c>
      <c r="Q213" s="36">
        <v>0.56200000000000006</v>
      </c>
      <c r="R213" s="36">
        <v>0.34499999999999997</v>
      </c>
      <c r="S213" s="36">
        <v>0.115</v>
      </c>
      <c r="T213" s="36">
        <v>0.104</v>
      </c>
      <c r="U213" s="36">
        <v>8.9499999999999996E-2</v>
      </c>
      <c r="V213" s="36">
        <v>0.152</v>
      </c>
      <c r="W213" s="36">
        <v>0.254</v>
      </c>
      <c r="X213" s="36">
        <v>0.2</v>
      </c>
      <c r="Y213" s="36">
        <v>0.26800000000000002</v>
      </c>
      <c r="Z213" s="36">
        <v>0.15</v>
      </c>
      <c r="AA213" s="5"/>
      <c r="AB213" s="36">
        <v>0.17299999999999999</v>
      </c>
      <c r="AC213" s="36">
        <v>0.50600000000000001</v>
      </c>
      <c r="AD213" s="36">
        <v>0.20300000000000001</v>
      </c>
      <c r="AE213" s="36">
        <v>1.24</v>
      </c>
      <c r="AF213" s="5"/>
      <c r="AG213" s="5"/>
      <c r="AH213" s="36">
        <v>0.16800000000000001</v>
      </c>
      <c r="AI213" s="36">
        <v>0.157</v>
      </c>
      <c r="AJ213" s="36">
        <v>0.318</v>
      </c>
      <c r="AK213" s="36">
        <v>0.59699999999999998</v>
      </c>
      <c r="AL213" s="36">
        <v>0.20799999999999999</v>
      </c>
      <c r="AM213" s="5"/>
      <c r="AN213" s="36">
        <v>0.28999999999999998</v>
      </c>
      <c r="AO213" s="36">
        <v>0.183</v>
      </c>
      <c r="AP213" s="46">
        <v>63.2</v>
      </c>
    </row>
    <row r="214" spans="1:42">
      <c r="A214" s="94" t="s">
        <v>424</v>
      </c>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5">
        <v>0</v>
      </c>
      <c r="AP214" s="14"/>
    </row>
    <row r="215" spans="1:42">
      <c r="A215" s="94" t="s">
        <v>425</v>
      </c>
      <c r="B215" s="36">
        <v>3.15E-2</v>
      </c>
      <c r="C215" s="5"/>
      <c r="D215" s="5"/>
      <c r="E215" s="5"/>
      <c r="F215" s="5"/>
      <c r="G215" s="5"/>
      <c r="H215" s="5"/>
      <c r="I215" s="5"/>
      <c r="J215" s="5"/>
      <c r="K215" s="5"/>
      <c r="L215" s="36">
        <v>8.2400000000000008E-3</v>
      </c>
      <c r="M215" s="5"/>
      <c r="N215" s="5"/>
      <c r="O215" s="5"/>
      <c r="P215" s="5"/>
      <c r="Q215" s="5"/>
      <c r="R215" s="5"/>
      <c r="S215" s="5"/>
      <c r="T215" s="5"/>
      <c r="U215" s="5"/>
      <c r="V215" s="5"/>
      <c r="W215" s="36">
        <v>5.7099999999999998E-3</v>
      </c>
      <c r="X215" s="5"/>
      <c r="Y215" s="36">
        <v>1.5100000000000001E-2</v>
      </c>
      <c r="Z215" s="36">
        <v>4.7000000000000002E-3</v>
      </c>
      <c r="AA215" s="5"/>
      <c r="AB215" s="5"/>
      <c r="AC215" s="36">
        <v>7.2199999999999999E-3</v>
      </c>
      <c r="AD215" s="36">
        <v>6.2899999999999996E-3</v>
      </c>
      <c r="AE215" s="36">
        <v>6.1600000000000002E-2</v>
      </c>
      <c r="AF215" s="5"/>
      <c r="AG215" s="5"/>
      <c r="AH215" s="5"/>
      <c r="AI215" s="5"/>
      <c r="AJ215" s="36">
        <v>1.46E-2</v>
      </c>
      <c r="AK215" s="5"/>
      <c r="AL215" s="5"/>
      <c r="AM215" s="5"/>
      <c r="AN215" s="36">
        <v>1.46E-2</v>
      </c>
      <c r="AO215" s="5"/>
      <c r="AP215" s="46">
        <v>0</v>
      </c>
    </row>
    <row r="216" spans="1:42">
      <c r="A216" s="94" t="s">
        <v>426</v>
      </c>
      <c r="B216" s="3"/>
      <c r="C216" s="35">
        <v>7.9500000000000005E-3</v>
      </c>
      <c r="D216" s="3"/>
      <c r="E216" s="3"/>
      <c r="F216" s="3"/>
      <c r="G216" s="3"/>
      <c r="H216" s="3"/>
      <c r="I216" s="3"/>
      <c r="J216" s="3"/>
      <c r="K216" s="3"/>
      <c r="L216" s="35">
        <v>5.9800000000000001E-3</v>
      </c>
      <c r="M216" s="3"/>
      <c r="N216" s="3"/>
      <c r="O216" s="3"/>
      <c r="P216" s="3"/>
      <c r="Q216" s="3"/>
      <c r="R216" s="3"/>
      <c r="S216" s="3"/>
      <c r="T216" s="3"/>
      <c r="U216" s="3"/>
      <c r="V216" s="3"/>
      <c r="W216" s="3"/>
      <c r="X216" s="3"/>
      <c r="Y216" s="3"/>
      <c r="Z216" s="3"/>
      <c r="AA216" s="3"/>
      <c r="AB216" s="35">
        <v>3.3600000000000001E-3</v>
      </c>
      <c r="AC216" s="35">
        <v>1.5900000000000001E-3</v>
      </c>
      <c r="AD216" s="3"/>
      <c r="AE216" s="3"/>
      <c r="AF216" s="3"/>
      <c r="AG216" s="3"/>
      <c r="AH216" s="3"/>
      <c r="AI216" s="3"/>
      <c r="AJ216" s="35">
        <v>4.9199999999999999E-3</v>
      </c>
      <c r="AK216" s="3"/>
      <c r="AL216" s="3"/>
      <c r="AM216" s="3"/>
      <c r="AN216" s="35">
        <v>4.9199999999999999E-3</v>
      </c>
      <c r="AO216" s="3"/>
      <c r="AP216" s="45">
        <v>0</v>
      </c>
    </row>
    <row r="217" spans="1:42">
      <c r="A217" s="94" t="s">
        <v>427</v>
      </c>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36">
        <v>0</v>
      </c>
      <c r="AP217" s="16"/>
    </row>
    <row r="218" spans="1:42">
      <c r="A218" s="94" t="s">
        <v>428</v>
      </c>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5">
        <v>0</v>
      </c>
      <c r="AP218" s="14"/>
    </row>
    <row r="219" spans="1:42">
      <c r="A219" s="94" t="s">
        <v>429</v>
      </c>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36">
        <v>0</v>
      </c>
      <c r="AP219" s="16"/>
    </row>
    <row r="220" spans="1:42">
      <c r="A220" s="94" t="s">
        <v>430</v>
      </c>
      <c r="B220" s="35">
        <v>2.1299999999999999E-3</v>
      </c>
      <c r="C220" s="3"/>
      <c r="D220" s="3"/>
      <c r="E220" s="35">
        <v>7.9000000000000008E-3</v>
      </c>
      <c r="F220" s="35">
        <v>2.49E-3</v>
      </c>
      <c r="G220" s="35">
        <v>6.1199999999999996E-3</v>
      </c>
      <c r="H220" s="3"/>
      <c r="I220" s="3"/>
      <c r="J220" s="3"/>
      <c r="K220" s="35">
        <v>1.92E-3</v>
      </c>
      <c r="L220" s="3"/>
      <c r="M220" s="35">
        <v>3.7799999999999999E-3</v>
      </c>
      <c r="N220" s="35">
        <v>4.9500000000000004E-3</v>
      </c>
      <c r="O220" s="35">
        <v>4.2399999999999998E-3</v>
      </c>
      <c r="P220" s="35">
        <v>2.9199999999999999E-3</v>
      </c>
      <c r="Q220" s="35">
        <v>3.7499999999999999E-3</v>
      </c>
      <c r="R220" s="35">
        <v>4.4600000000000004E-3</v>
      </c>
      <c r="S220" s="3"/>
      <c r="T220" s="3"/>
      <c r="U220" s="3"/>
      <c r="V220" s="3"/>
      <c r="W220" s="3"/>
      <c r="X220" s="3"/>
      <c r="Y220" s="3"/>
      <c r="Z220" s="3"/>
      <c r="AA220" s="3"/>
      <c r="AB220" s="35">
        <v>3.4499999999999999E-3</v>
      </c>
      <c r="AC220" s="35">
        <v>3.6900000000000001E-3</v>
      </c>
      <c r="AD220" s="35">
        <v>4.45E-3</v>
      </c>
      <c r="AE220" s="35">
        <v>2.3600000000000001E-3</v>
      </c>
      <c r="AF220" s="3"/>
      <c r="AG220" s="3"/>
      <c r="AH220" s="3"/>
      <c r="AI220" s="35">
        <v>3.3400000000000001E-3</v>
      </c>
      <c r="AJ220" s="3"/>
      <c r="AK220" s="35">
        <v>4.0299999999999997E-3</v>
      </c>
      <c r="AL220" s="35">
        <v>6.3299999999999997E-3</v>
      </c>
      <c r="AM220" s="3"/>
      <c r="AN220" s="35">
        <v>4.5700000000000003E-3</v>
      </c>
      <c r="AO220" s="35">
        <v>1.56E-3</v>
      </c>
      <c r="AP220" s="45">
        <v>34.200000000000003</v>
      </c>
    </row>
    <row r="221" spans="1:42">
      <c r="A221" s="94" t="s">
        <v>431</v>
      </c>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36">
        <v>0</v>
      </c>
      <c r="AP221" s="16"/>
    </row>
    <row r="222" spans="1:42">
      <c r="A222" s="94" t="s">
        <v>432</v>
      </c>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5">
        <v>0</v>
      </c>
      <c r="AP222" s="14"/>
    </row>
    <row r="223" spans="1:42">
      <c r="A223" s="94" t="s">
        <v>433</v>
      </c>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36">
        <v>0</v>
      </c>
      <c r="AP223" s="16"/>
    </row>
    <row r="224" spans="1:42">
      <c r="A224" s="94" t="s">
        <v>434</v>
      </c>
      <c r="B224" s="3"/>
      <c r="C224" s="35">
        <v>4.4799999999999996E-3</v>
      </c>
      <c r="D224" s="35">
        <v>3.2299999999999998E-3</v>
      </c>
      <c r="E224" s="3"/>
      <c r="F224" s="3"/>
      <c r="G224" s="3"/>
      <c r="H224" s="35">
        <v>3.15E-3</v>
      </c>
      <c r="I224" s="35">
        <v>2.1700000000000001E-3</v>
      </c>
      <c r="J224" s="3"/>
      <c r="K224" s="3"/>
      <c r="L224" s="35">
        <v>3.2100000000000002E-3</v>
      </c>
      <c r="M224" s="3"/>
      <c r="N224" s="3"/>
      <c r="O224" s="3"/>
      <c r="P224" s="3"/>
      <c r="Q224" s="3"/>
      <c r="R224" s="3"/>
      <c r="S224" s="3"/>
      <c r="T224" s="3"/>
      <c r="U224" s="3"/>
      <c r="V224" s="3"/>
      <c r="W224" s="35">
        <v>3.0000000000000001E-3</v>
      </c>
      <c r="X224" s="3"/>
      <c r="Y224" s="3"/>
      <c r="Z224" s="3"/>
      <c r="AA224" s="3"/>
      <c r="AB224" s="35">
        <v>3.82E-3</v>
      </c>
      <c r="AC224" s="35">
        <v>2.5799999999999998E-3</v>
      </c>
      <c r="AD224" s="3"/>
      <c r="AE224" s="35">
        <v>9.8700000000000003E-4</v>
      </c>
      <c r="AF224" s="3"/>
      <c r="AG224" s="3"/>
      <c r="AH224" s="3"/>
      <c r="AI224" s="3"/>
      <c r="AJ224" s="35">
        <v>1.9499999999999999E-3</v>
      </c>
      <c r="AK224" s="3"/>
      <c r="AL224" s="3"/>
      <c r="AM224" s="3"/>
      <c r="AN224" s="35">
        <v>1.9499999999999999E-3</v>
      </c>
      <c r="AO224" s="3"/>
      <c r="AP224" s="45">
        <v>0</v>
      </c>
    </row>
    <row r="225" spans="1:42">
      <c r="A225" s="94" t="s">
        <v>435</v>
      </c>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36">
        <v>0</v>
      </c>
      <c r="AP225" s="16"/>
    </row>
    <row r="226" spans="1:42">
      <c r="A226" s="94" t="s">
        <v>436</v>
      </c>
      <c r="B226" s="3"/>
      <c r="C226" s="35">
        <v>4.2500000000000003E-3</v>
      </c>
      <c r="D226" s="35">
        <v>2.7699999999999999E-3</v>
      </c>
      <c r="E226" s="3"/>
      <c r="F226" s="3"/>
      <c r="G226" s="3"/>
      <c r="H226" s="35">
        <v>1.4599999999999999E-3</v>
      </c>
      <c r="I226" s="35">
        <v>1.6999999999999999E-3</v>
      </c>
      <c r="J226" s="3"/>
      <c r="K226" s="3"/>
      <c r="L226" s="35">
        <v>2.7399999999999998E-3</v>
      </c>
      <c r="M226" s="3"/>
      <c r="N226" s="3"/>
      <c r="O226" s="3"/>
      <c r="P226" s="3"/>
      <c r="Q226" s="3"/>
      <c r="R226" s="3"/>
      <c r="S226" s="3"/>
      <c r="T226" s="3"/>
      <c r="U226" s="3"/>
      <c r="V226" s="3"/>
      <c r="W226" s="35">
        <v>1.5399999999999999E-3</v>
      </c>
      <c r="X226" s="3"/>
      <c r="Y226" s="3"/>
      <c r="Z226" s="3"/>
      <c r="AA226" s="3"/>
      <c r="AB226" s="35">
        <v>3.3600000000000001E-3</v>
      </c>
      <c r="AC226" s="35">
        <v>1.6299999999999999E-3</v>
      </c>
      <c r="AD226" s="3"/>
      <c r="AE226" s="3"/>
      <c r="AF226" s="3"/>
      <c r="AG226" s="3"/>
      <c r="AH226" s="3"/>
      <c r="AI226" s="3"/>
      <c r="AJ226" s="35">
        <v>1.91E-3</v>
      </c>
      <c r="AK226" s="3"/>
      <c r="AL226" s="3"/>
      <c r="AM226" s="3"/>
      <c r="AN226" s="35">
        <v>1.91E-3</v>
      </c>
      <c r="AO226" s="3"/>
      <c r="AP226" s="45">
        <v>0</v>
      </c>
    </row>
    <row r="227" spans="1:42">
      <c r="A227" s="94" t="s">
        <v>437</v>
      </c>
      <c r="B227" s="36">
        <v>0.124</v>
      </c>
      <c r="C227" s="36">
        <v>4.1099999999999998E-2</v>
      </c>
      <c r="D227" s="36">
        <v>3.1800000000000002E-2</v>
      </c>
      <c r="E227" s="36">
        <v>0.19900000000000001</v>
      </c>
      <c r="F227" s="36">
        <v>0.749</v>
      </c>
      <c r="G227" s="36">
        <v>0.11</v>
      </c>
      <c r="H227" s="36">
        <v>4.99E-2</v>
      </c>
      <c r="I227" s="36">
        <v>8.3299999999999999E-2</v>
      </c>
      <c r="J227" s="36">
        <v>5.3900000000000003E-2</v>
      </c>
      <c r="K227" s="36">
        <v>0.14499999999999999</v>
      </c>
      <c r="L227" s="36">
        <v>5.3400000000000003E-2</v>
      </c>
      <c r="M227" s="36">
        <v>0.371</v>
      </c>
      <c r="N227" s="36">
        <v>4.58E-2</v>
      </c>
      <c r="O227" s="36">
        <v>7.7899999999999997E-2</v>
      </c>
      <c r="P227" s="36">
        <v>0.13600000000000001</v>
      </c>
      <c r="Q227" s="36">
        <v>0.121</v>
      </c>
      <c r="R227" s="36">
        <v>0.151</v>
      </c>
      <c r="S227" s="36">
        <v>9.7199999999999995E-2</v>
      </c>
      <c r="T227" s="36">
        <v>9.9699999999999997E-2</v>
      </c>
      <c r="U227" s="36">
        <v>5.4100000000000002E-2</v>
      </c>
      <c r="V227" s="36">
        <v>0.16400000000000001</v>
      </c>
      <c r="W227" s="36">
        <v>0.12</v>
      </c>
      <c r="X227" s="36">
        <v>6.3200000000000006E-2</v>
      </c>
      <c r="Y227" s="36">
        <v>0.157</v>
      </c>
      <c r="Z227" s="36">
        <v>0.14099999999999999</v>
      </c>
      <c r="AA227" s="5"/>
      <c r="AB227" s="36">
        <v>0.11600000000000001</v>
      </c>
      <c r="AC227" s="36">
        <v>0.13800000000000001</v>
      </c>
      <c r="AD227" s="36">
        <v>0.14799999999999999</v>
      </c>
      <c r="AE227" s="36">
        <v>0.28399999999999997</v>
      </c>
      <c r="AF227" s="5"/>
      <c r="AG227" s="5"/>
      <c r="AH227" s="5"/>
      <c r="AI227" s="36">
        <v>0.104</v>
      </c>
      <c r="AJ227" s="36">
        <v>6.9500000000000006E-2</v>
      </c>
      <c r="AK227" s="36">
        <v>0.13800000000000001</v>
      </c>
      <c r="AL227" s="36">
        <v>0.14299999999999999</v>
      </c>
      <c r="AM227" s="5"/>
      <c r="AN227" s="36">
        <v>0.114</v>
      </c>
      <c r="AO227" s="36">
        <v>3.4000000000000002E-2</v>
      </c>
      <c r="AP227" s="46">
        <v>29.9</v>
      </c>
    </row>
    <row r="228" spans="1:42">
      <c r="A228" s="94" t="s">
        <v>438</v>
      </c>
      <c r="B228" s="35">
        <v>0.16800000000000001</v>
      </c>
      <c r="C228" s="35">
        <v>0.22700000000000001</v>
      </c>
      <c r="D228" s="35">
        <v>0.159</v>
      </c>
      <c r="E228" s="35">
        <v>0.42299999999999999</v>
      </c>
      <c r="F228" s="35">
        <v>0.83799999999999997</v>
      </c>
      <c r="G228" s="35">
        <v>0.14299999999999999</v>
      </c>
      <c r="H228" s="35">
        <v>0.33</v>
      </c>
      <c r="I228" s="35">
        <v>0.24399999999999999</v>
      </c>
      <c r="J228" s="35">
        <v>0.38900000000000001</v>
      </c>
      <c r="K228" s="35">
        <v>0.49</v>
      </c>
      <c r="L228" s="35">
        <v>0.374</v>
      </c>
      <c r="M228" s="35">
        <v>0.3</v>
      </c>
      <c r="N228" s="35">
        <v>0.189</v>
      </c>
      <c r="O228" s="35">
        <v>0.219</v>
      </c>
      <c r="P228" s="35">
        <v>0.23699999999999999</v>
      </c>
      <c r="Q228" s="35">
        <v>0.60599999999999998</v>
      </c>
      <c r="R228" s="35">
        <v>0.36699999999999999</v>
      </c>
      <c r="S228" s="35">
        <v>0.24199999999999999</v>
      </c>
      <c r="T228" s="35">
        <v>0.28299999999999997</v>
      </c>
      <c r="U228" s="35">
        <v>0.189</v>
      </c>
      <c r="V228" s="35">
        <v>0.30299999999999999</v>
      </c>
      <c r="W228" s="35">
        <v>0.28699999999999998</v>
      </c>
      <c r="X228" s="35">
        <v>0.216</v>
      </c>
      <c r="Y228" s="35">
        <v>0.28699999999999998</v>
      </c>
      <c r="Z228" s="35">
        <v>0.21</v>
      </c>
      <c r="AA228" s="3"/>
      <c r="AB228" s="35">
        <v>0.18099999999999999</v>
      </c>
      <c r="AC228" s="35">
        <v>0.47499999999999998</v>
      </c>
      <c r="AD228" s="35">
        <v>0.308</v>
      </c>
      <c r="AE228" s="35">
        <v>0.95899999999999996</v>
      </c>
      <c r="AF228" s="3"/>
      <c r="AG228" s="3"/>
      <c r="AH228" s="35">
        <v>0.20300000000000001</v>
      </c>
      <c r="AI228" s="35">
        <v>0.182</v>
      </c>
      <c r="AJ228" s="35">
        <v>0.35799999999999998</v>
      </c>
      <c r="AK228" s="35">
        <v>0.628</v>
      </c>
      <c r="AL228" s="35">
        <v>0.23</v>
      </c>
      <c r="AM228" s="3"/>
      <c r="AN228" s="35">
        <v>0.32</v>
      </c>
      <c r="AO228" s="35">
        <v>0.185</v>
      </c>
      <c r="AP228" s="45">
        <v>57.8</v>
      </c>
    </row>
    <row r="229" spans="1:42">
      <c r="A229" s="94" t="s">
        <v>439</v>
      </c>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36">
        <v>0</v>
      </c>
      <c r="AP229" s="16"/>
    </row>
    <row r="230" spans="1:42">
      <c r="A230" s="94" t="s">
        <v>440</v>
      </c>
      <c r="B230" s="3"/>
      <c r="C230" s="35">
        <v>3.44E-2</v>
      </c>
      <c r="D230" s="35">
        <v>2.6599999999999999E-2</v>
      </c>
      <c r="E230" s="3"/>
      <c r="F230" s="3"/>
      <c r="G230" s="35">
        <v>2.2499999999999998E-3</v>
      </c>
      <c r="H230" s="35">
        <v>2.3099999999999999E-2</v>
      </c>
      <c r="I230" s="35">
        <v>1.8800000000000001E-2</v>
      </c>
      <c r="J230" s="3"/>
      <c r="K230" s="3"/>
      <c r="L230" s="35">
        <v>2.0500000000000001E-2</v>
      </c>
      <c r="M230" s="3"/>
      <c r="N230" s="3"/>
      <c r="O230" s="3"/>
      <c r="P230" s="3"/>
      <c r="Q230" s="3"/>
      <c r="R230" s="35">
        <v>5.2100000000000002E-3</v>
      </c>
      <c r="S230" s="3"/>
      <c r="T230" s="3"/>
      <c r="U230" s="3"/>
      <c r="V230" s="3"/>
      <c r="W230" s="35">
        <v>8.7299999999999999E-3</v>
      </c>
      <c r="X230" s="3"/>
      <c r="Y230" s="3"/>
      <c r="Z230" s="35">
        <v>1.2500000000000001E-2</v>
      </c>
      <c r="AA230" s="3"/>
      <c r="AB230" s="35">
        <v>1.52E-2</v>
      </c>
      <c r="AC230" s="35">
        <v>1.17E-2</v>
      </c>
      <c r="AD230" s="35">
        <v>1.03E-2</v>
      </c>
      <c r="AE230" s="3"/>
      <c r="AF230" s="3"/>
      <c r="AG230" s="3"/>
      <c r="AH230" s="3"/>
      <c r="AI230" s="3"/>
      <c r="AJ230" s="35">
        <v>1.15E-2</v>
      </c>
      <c r="AK230" s="3"/>
      <c r="AL230" s="35">
        <v>7.8200000000000006E-3</v>
      </c>
      <c r="AM230" s="3"/>
      <c r="AN230" s="35">
        <v>9.6500000000000006E-3</v>
      </c>
      <c r="AO230" s="35">
        <v>2.5799999999999998E-3</v>
      </c>
      <c r="AP230" s="45">
        <v>26.7</v>
      </c>
    </row>
    <row r="231" spans="1:42">
      <c r="A231" s="94" t="s">
        <v>441</v>
      </c>
      <c r="B231" s="5"/>
      <c r="C231" s="5"/>
      <c r="D231" s="5"/>
      <c r="E231" s="5"/>
      <c r="F231" s="5"/>
      <c r="G231" s="5"/>
      <c r="H231" s="5"/>
      <c r="I231" s="5"/>
      <c r="J231" s="5"/>
      <c r="K231" s="5"/>
      <c r="L231" s="36">
        <v>0.01</v>
      </c>
      <c r="M231" s="5"/>
      <c r="N231" s="5"/>
      <c r="O231" s="5"/>
      <c r="P231" s="5"/>
      <c r="Q231" s="5"/>
      <c r="R231" s="5"/>
      <c r="S231" s="5"/>
      <c r="T231" s="5"/>
      <c r="U231" s="5"/>
      <c r="V231" s="5"/>
      <c r="W231" s="36">
        <v>4.0899999999999999E-3</v>
      </c>
      <c r="X231" s="5"/>
      <c r="Y231" s="5"/>
      <c r="Z231" s="5"/>
      <c r="AA231" s="5"/>
      <c r="AB231" s="36">
        <v>2.4199999999999998E-3</v>
      </c>
      <c r="AC231" s="5"/>
      <c r="AD231" s="5"/>
      <c r="AE231" s="5"/>
      <c r="AF231" s="5"/>
      <c r="AG231" s="5"/>
      <c r="AH231" s="36">
        <v>1.8799999999999999E-3</v>
      </c>
      <c r="AI231" s="5"/>
      <c r="AJ231" s="36">
        <v>2.1900000000000001E-3</v>
      </c>
      <c r="AK231" s="5"/>
      <c r="AL231" s="5"/>
      <c r="AM231" s="5"/>
      <c r="AN231" s="36">
        <v>2.0400000000000001E-3</v>
      </c>
      <c r="AO231" s="36">
        <v>2.22E-4</v>
      </c>
      <c r="AP231" s="46">
        <v>10.9</v>
      </c>
    </row>
    <row r="232" spans="1:42">
      <c r="A232" s="94" t="s">
        <v>442</v>
      </c>
      <c r="B232" s="3"/>
      <c r="C232" s="3"/>
      <c r="D232" s="3"/>
      <c r="E232" s="3"/>
      <c r="F232" s="3"/>
      <c r="G232" s="35">
        <v>2.0100000000000001E-3</v>
      </c>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5">
        <v>0</v>
      </c>
      <c r="AP232" s="14"/>
    </row>
    <row r="233" spans="1:42">
      <c r="A233" s="94" t="s">
        <v>443</v>
      </c>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36">
        <v>0</v>
      </c>
      <c r="AP233" s="16"/>
    </row>
    <row r="234" spans="1:42">
      <c r="A234" s="94" t="s">
        <v>444</v>
      </c>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5">
        <v>0</v>
      </c>
      <c r="AP234" s="14"/>
    </row>
    <row r="235" spans="1:42">
      <c r="A235" s="94" t="s">
        <v>445</v>
      </c>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36">
        <v>0</v>
      </c>
      <c r="AP235" s="16"/>
    </row>
    <row r="236" spans="1:42">
      <c r="A236" s="94" t="s">
        <v>446</v>
      </c>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5">
        <v>0</v>
      </c>
      <c r="AP236" s="14"/>
    </row>
    <row r="237" spans="1:42">
      <c r="A237" s="94" t="s">
        <v>447</v>
      </c>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36">
        <v>0</v>
      </c>
      <c r="AP237" s="16"/>
    </row>
    <row r="238" spans="1:42">
      <c r="A238" s="94" t="s">
        <v>448</v>
      </c>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5">
        <v>0</v>
      </c>
      <c r="AP238" s="14"/>
    </row>
    <row r="239" spans="1:42">
      <c r="A239" s="94" t="s">
        <v>449</v>
      </c>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36">
        <v>0</v>
      </c>
      <c r="AP239" s="16"/>
    </row>
    <row r="240" spans="1:42">
      <c r="A240" s="94" t="s">
        <v>450</v>
      </c>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5">
        <v>0</v>
      </c>
      <c r="AP240" s="14"/>
    </row>
    <row r="241" spans="1:42">
      <c r="A241" s="94" t="s">
        <v>451</v>
      </c>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36">
        <v>0</v>
      </c>
      <c r="AP241" s="16"/>
    </row>
    <row r="242" spans="1:42">
      <c r="A242" s="94" t="s">
        <v>452</v>
      </c>
      <c r="B242" s="3"/>
      <c r="C242" s="3"/>
      <c r="D242" s="3"/>
      <c r="E242" s="3"/>
      <c r="F242" s="35">
        <v>4.4999999999999997E-3</v>
      </c>
      <c r="G242" s="3"/>
      <c r="H242" s="3"/>
      <c r="I242" s="3"/>
      <c r="J242" s="3"/>
      <c r="K242" s="3"/>
      <c r="L242" s="3"/>
      <c r="M242" s="3"/>
      <c r="N242" s="3"/>
      <c r="O242" s="3"/>
      <c r="P242" s="3"/>
      <c r="Q242" s="3"/>
      <c r="R242" s="3"/>
      <c r="S242" s="3"/>
      <c r="T242" s="3"/>
      <c r="U242" s="3"/>
      <c r="V242" s="3"/>
      <c r="W242" s="35">
        <v>2.5100000000000001E-3</v>
      </c>
      <c r="X242" s="3"/>
      <c r="Y242" s="3"/>
      <c r="Z242" s="3"/>
      <c r="AA242" s="3"/>
      <c r="AB242" s="35">
        <v>3.47E-3</v>
      </c>
      <c r="AC242" s="3"/>
      <c r="AD242" s="3"/>
      <c r="AE242" s="3"/>
      <c r="AF242" s="3"/>
      <c r="AG242" s="3"/>
      <c r="AH242" s="3"/>
      <c r="AI242" s="3"/>
      <c r="AJ242" s="3"/>
      <c r="AK242" s="3"/>
      <c r="AL242" s="3"/>
      <c r="AM242" s="3"/>
      <c r="AN242" s="3"/>
      <c r="AO242" s="35">
        <v>0</v>
      </c>
      <c r="AP242" s="14"/>
    </row>
    <row r="243" spans="1:42">
      <c r="A243" s="94" t="s">
        <v>453</v>
      </c>
      <c r="B243" s="36">
        <v>3.7699999999999997E-2</v>
      </c>
      <c r="C243" s="36">
        <v>4.3999999999999997E-2</v>
      </c>
      <c r="D243" s="36">
        <v>2.64E-2</v>
      </c>
      <c r="E243" s="5"/>
      <c r="F243" s="36">
        <v>3.04E-2</v>
      </c>
      <c r="G243" s="36">
        <v>2.4199999999999999E-2</v>
      </c>
      <c r="H243" s="36">
        <v>5.11E-2</v>
      </c>
      <c r="I243" s="36">
        <v>4.3400000000000001E-2</v>
      </c>
      <c r="J243" s="36">
        <v>4.9700000000000001E-2</v>
      </c>
      <c r="K243" s="36">
        <v>5.3100000000000001E-2</v>
      </c>
      <c r="L243" s="36">
        <v>5.0799999999999998E-2</v>
      </c>
      <c r="M243" s="36">
        <v>7.1499999999999994E-2</v>
      </c>
      <c r="N243" s="36">
        <v>4.1700000000000001E-2</v>
      </c>
      <c r="O243" s="36">
        <v>3.9699999999999999E-2</v>
      </c>
      <c r="P243" s="36">
        <v>3.1300000000000001E-2</v>
      </c>
      <c r="Q243" s="36">
        <v>5.2999999999999999E-2</v>
      </c>
      <c r="R243" s="36">
        <v>2.6499999999999999E-2</v>
      </c>
      <c r="S243" s="36">
        <v>5.67E-2</v>
      </c>
      <c r="T243" s="36">
        <v>6.9800000000000001E-2</v>
      </c>
      <c r="U243" s="36">
        <v>3.85E-2</v>
      </c>
      <c r="V243" s="36">
        <v>5.5599999999999997E-2</v>
      </c>
      <c r="W243" s="36">
        <v>5.0999999999999997E-2</v>
      </c>
      <c r="X243" s="36">
        <v>4.0500000000000001E-2</v>
      </c>
      <c r="Y243" s="36">
        <v>4.1200000000000001E-2</v>
      </c>
      <c r="Z243" s="36">
        <v>5.7299999999999997E-2</v>
      </c>
      <c r="AA243" s="5"/>
      <c r="AB243" s="36">
        <v>3.04E-2</v>
      </c>
      <c r="AC243" s="36">
        <v>6.13E-2</v>
      </c>
      <c r="AD243" s="36">
        <v>3.3000000000000002E-2</v>
      </c>
      <c r="AE243" s="36">
        <v>0.13400000000000001</v>
      </c>
      <c r="AF243" s="5"/>
      <c r="AG243" s="5"/>
      <c r="AH243" s="36">
        <v>4.1599999999999998E-2</v>
      </c>
      <c r="AI243" s="36">
        <v>3.4700000000000002E-2</v>
      </c>
      <c r="AJ243" s="36">
        <v>4.36E-2</v>
      </c>
      <c r="AK243" s="36">
        <v>7.4099999999999999E-2</v>
      </c>
      <c r="AL243" s="36">
        <v>3.5999999999999997E-2</v>
      </c>
      <c r="AM243" s="5"/>
      <c r="AN243" s="36">
        <v>4.5999999999999999E-2</v>
      </c>
      <c r="AO243" s="36">
        <v>1.61E-2</v>
      </c>
      <c r="AP243" s="46">
        <v>35.1</v>
      </c>
    </row>
    <row r="244" spans="1:42">
      <c r="A244" s="94" t="s">
        <v>454</v>
      </c>
      <c r="B244" s="35">
        <v>8.2900000000000005E-3</v>
      </c>
      <c r="C244" s="35">
        <v>1.46E-2</v>
      </c>
      <c r="D244" s="35">
        <v>8.4399999999999996E-3</v>
      </c>
      <c r="E244" s="3"/>
      <c r="F244" s="3"/>
      <c r="G244" s="35">
        <v>6.0000000000000001E-3</v>
      </c>
      <c r="H244" s="35">
        <v>1.1599999999999999E-2</v>
      </c>
      <c r="I244" s="35">
        <v>1.0800000000000001E-2</v>
      </c>
      <c r="J244" s="35">
        <v>6.9800000000000001E-3</v>
      </c>
      <c r="K244" s="3"/>
      <c r="L244" s="35">
        <v>1.2200000000000001E-2</v>
      </c>
      <c r="M244" s="35">
        <v>1.9800000000000002E-2</v>
      </c>
      <c r="N244" s="35">
        <v>1.2E-2</v>
      </c>
      <c r="O244" s="35">
        <v>1.0699999999999999E-2</v>
      </c>
      <c r="P244" s="35">
        <v>7.2700000000000004E-3</v>
      </c>
      <c r="Q244" s="3"/>
      <c r="R244" s="35">
        <v>5.4900000000000001E-3</v>
      </c>
      <c r="S244" s="35">
        <v>1.04E-2</v>
      </c>
      <c r="T244" s="35">
        <v>7.1300000000000001E-3</v>
      </c>
      <c r="U244" s="35">
        <v>6.5900000000000004E-3</v>
      </c>
      <c r="V244" s="35">
        <v>1.2E-2</v>
      </c>
      <c r="W244" s="35">
        <v>8.8400000000000006E-3</v>
      </c>
      <c r="X244" s="35">
        <v>5.3400000000000001E-3</v>
      </c>
      <c r="Y244" s="35">
        <v>6.6699999999999997E-3</v>
      </c>
      <c r="Z244" s="35">
        <v>8.2699999999999996E-3</v>
      </c>
      <c r="AA244" s="3"/>
      <c r="AB244" s="35">
        <v>6.5300000000000002E-3</v>
      </c>
      <c r="AC244" s="35">
        <v>1.32E-2</v>
      </c>
      <c r="AD244" s="35">
        <v>1.4500000000000001E-2</v>
      </c>
      <c r="AE244" s="35">
        <v>4.41E-2</v>
      </c>
      <c r="AF244" s="3"/>
      <c r="AG244" s="3"/>
      <c r="AH244" s="3"/>
      <c r="AI244" s="35">
        <v>8.4499999999999992E-3</v>
      </c>
      <c r="AJ244" s="35">
        <v>8.1899999999999994E-3</v>
      </c>
      <c r="AK244" s="3"/>
      <c r="AL244" s="35">
        <v>8.5900000000000004E-3</v>
      </c>
      <c r="AM244" s="3"/>
      <c r="AN244" s="35">
        <v>8.4100000000000008E-3</v>
      </c>
      <c r="AO244" s="35">
        <v>2.03E-4</v>
      </c>
      <c r="AP244" s="45">
        <v>2.42</v>
      </c>
    </row>
    <row r="245" spans="1:42">
      <c r="A245" s="94" t="s">
        <v>455</v>
      </c>
      <c r="B245" s="5"/>
      <c r="C245" s="36">
        <v>1.29E-2</v>
      </c>
      <c r="D245" s="5"/>
      <c r="E245" s="5"/>
      <c r="F245" s="5"/>
      <c r="G245" s="5"/>
      <c r="H245" s="5"/>
      <c r="I245" s="5"/>
      <c r="J245" s="5"/>
      <c r="K245" s="5"/>
      <c r="L245" s="36">
        <v>4.4999999999999997E-3</v>
      </c>
      <c r="M245" s="5"/>
      <c r="N245" s="5"/>
      <c r="O245" s="5"/>
      <c r="P245" s="5"/>
      <c r="Q245" s="5"/>
      <c r="R245" s="5"/>
      <c r="S245" s="5"/>
      <c r="T245" s="5"/>
      <c r="U245" s="5"/>
      <c r="V245" s="5"/>
      <c r="W245" s="5"/>
      <c r="X245" s="5"/>
      <c r="Y245" s="5"/>
      <c r="Z245" s="5"/>
      <c r="AA245" s="5"/>
      <c r="AB245" s="36">
        <v>4.6100000000000004E-3</v>
      </c>
      <c r="AC245" s="5"/>
      <c r="AD245" s="5"/>
      <c r="AE245" s="5"/>
      <c r="AF245" s="5"/>
      <c r="AG245" s="5"/>
      <c r="AH245" s="5"/>
      <c r="AI245" s="5"/>
      <c r="AJ245" s="5"/>
      <c r="AK245" s="5"/>
      <c r="AL245" s="5"/>
      <c r="AM245" s="5"/>
      <c r="AN245" s="5"/>
      <c r="AO245" s="36">
        <v>0</v>
      </c>
      <c r="AP245" s="16"/>
    </row>
    <row r="246" spans="1:42">
      <c r="A246" s="94" t="s">
        <v>456</v>
      </c>
      <c r="B246" s="3"/>
      <c r="C246" s="3"/>
      <c r="D246" s="35">
        <v>1.0999999999999999E-2</v>
      </c>
      <c r="E246" s="3"/>
      <c r="F246" s="3"/>
      <c r="G246" s="3"/>
      <c r="H246" s="35">
        <v>1.34E-2</v>
      </c>
      <c r="I246" s="35">
        <v>9.9799999999999993E-3</v>
      </c>
      <c r="J246" s="3"/>
      <c r="K246" s="3"/>
      <c r="L246" s="35">
        <v>1.18E-2</v>
      </c>
      <c r="M246" s="3"/>
      <c r="N246" s="3"/>
      <c r="O246" s="3"/>
      <c r="P246" s="3"/>
      <c r="Q246" s="3"/>
      <c r="R246" s="3"/>
      <c r="S246" s="3"/>
      <c r="T246" s="3"/>
      <c r="U246" s="3"/>
      <c r="V246" s="3"/>
      <c r="W246" s="3"/>
      <c r="X246" s="3"/>
      <c r="Y246" s="3"/>
      <c r="Z246" s="3"/>
      <c r="AA246" s="3"/>
      <c r="AB246" s="35">
        <v>5.7800000000000004E-3</v>
      </c>
      <c r="AC246" s="3"/>
      <c r="AD246" s="3"/>
      <c r="AE246" s="3"/>
      <c r="AF246" s="3"/>
      <c r="AG246" s="3"/>
      <c r="AH246" s="35">
        <v>5.7000000000000002E-3</v>
      </c>
      <c r="AI246" s="3"/>
      <c r="AJ246" s="35">
        <v>6.1799999999999997E-3</v>
      </c>
      <c r="AK246" s="3"/>
      <c r="AL246" s="3"/>
      <c r="AM246" s="3"/>
      <c r="AN246" s="35">
        <v>5.94E-3</v>
      </c>
      <c r="AO246" s="35">
        <v>3.39E-4</v>
      </c>
      <c r="AP246" s="45">
        <v>5.7</v>
      </c>
    </row>
    <row r="247" spans="1:42">
      <c r="A247" s="94" t="s">
        <v>457</v>
      </c>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36">
        <v>0</v>
      </c>
      <c r="AP247" s="16"/>
    </row>
    <row r="248" spans="1:42">
      <c r="A248" s="94" t="s">
        <v>458</v>
      </c>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5">
        <v>0</v>
      </c>
      <c r="AP248" s="14"/>
    </row>
    <row r="249" spans="1:42">
      <c r="A249" s="94" t="s">
        <v>459</v>
      </c>
      <c r="B249" s="36">
        <v>0.1</v>
      </c>
      <c r="C249" s="36">
        <v>0.11600000000000001</v>
      </c>
      <c r="D249" s="36">
        <v>0.12</v>
      </c>
      <c r="E249" s="36">
        <v>0.41599999999999998</v>
      </c>
      <c r="F249" s="36">
        <v>1.0900000000000001</v>
      </c>
      <c r="G249" s="36">
        <v>0.114</v>
      </c>
      <c r="H249" s="36">
        <v>0.17699999999999999</v>
      </c>
      <c r="I249" s="36">
        <v>8.5000000000000006E-2</v>
      </c>
      <c r="J249" s="36">
        <v>0.222</v>
      </c>
      <c r="K249" s="36">
        <v>0.27700000000000002</v>
      </c>
      <c r="L249" s="36">
        <v>0.34799999999999998</v>
      </c>
      <c r="M249" s="36">
        <v>0.13600000000000001</v>
      </c>
      <c r="N249" s="36">
        <v>0.13800000000000001</v>
      </c>
      <c r="O249" s="36">
        <v>0.33100000000000002</v>
      </c>
      <c r="P249" s="36">
        <v>0.33</v>
      </c>
      <c r="Q249" s="36">
        <v>0.50600000000000001</v>
      </c>
      <c r="R249" s="36">
        <v>0.498</v>
      </c>
      <c r="S249" s="36">
        <v>0.112</v>
      </c>
      <c r="T249" s="36">
        <v>0.1</v>
      </c>
      <c r="U249" s="36">
        <v>8.3900000000000002E-2</v>
      </c>
      <c r="V249" s="36">
        <v>0.19900000000000001</v>
      </c>
      <c r="W249" s="36">
        <v>0.45400000000000001</v>
      </c>
      <c r="X249" s="36">
        <v>0.29299999999999998</v>
      </c>
      <c r="Y249" s="36">
        <v>0.57499999999999996</v>
      </c>
      <c r="Z249" s="36">
        <v>0.218</v>
      </c>
      <c r="AA249" s="5"/>
      <c r="AB249" s="36">
        <v>0.20399999999999999</v>
      </c>
      <c r="AC249" s="36">
        <v>0.70299999999999996</v>
      </c>
      <c r="AD249" s="36">
        <v>0.19</v>
      </c>
      <c r="AE249" s="36">
        <v>0.752</v>
      </c>
      <c r="AF249" s="5"/>
      <c r="AG249" s="5"/>
      <c r="AH249" s="36">
        <v>0.20200000000000001</v>
      </c>
      <c r="AI249" s="36">
        <v>0.156</v>
      </c>
      <c r="AJ249" s="36">
        <v>0.34300000000000003</v>
      </c>
      <c r="AK249" s="36">
        <v>0.66100000000000003</v>
      </c>
      <c r="AL249" s="36">
        <v>0.182</v>
      </c>
      <c r="AM249" s="5"/>
      <c r="AN249" s="36">
        <v>0.309</v>
      </c>
      <c r="AO249" s="36">
        <v>0.21</v>
      </c>
      <c r="AP249" s="46">
        <v>68</v>
      </c>
    </row>
    <row r="250" spans="1:42">
      <c r="A250" s="94" t="s">
        <v>460</v>
      </c>
      <c r="B250" s="35">
        <v>6.2199999999999998E-3</v>
      </c>
      <c r="C250" s="35">
        <v>1.1299999999999999E-2</v>
      </c>
      <c r="D250" s="3"/>
      <c r="E250" s="3"/>
      <c r="F250" s="35">
        <v>5.0500000000000003E-2</v>
      </c>
      <c r="G250" s="35">
        <v>8.7500000000000008E-3</v>
      </c>
      <c r="H250" s="35">
        <v>8.6599999999999993E-3</v>
      </c>
      <c r="I250" s="35">
        <v>1.41E-2</v>
      </c>
      <c r="J250" s="35">
        <v>1.41E-2</v>
      </c>
      <c r="K250" s="35">
        <v>4.0300000000000002E-2</v>
      </c>
      <c r="L250" s="35">
        <v>1.3899999999999999E-2</v>
      </c>
      <c r="M250" s="3"/>
      <c r="N250" s="35">
        <v>6.2100000000000002E-3</v>
      </c>
      <c r="O250" s="35">
        <v>9.5399999999999999E-3</v>
      </c>
      <c r="P250" s="35">
        <v>8.9300000000000004E-3</v>
      </c>
      <c r="Q250" s="35">
        <v>4.5199999999999997E-2</v>
      </c>
      <c r="R250" s="35">
        <v>1.43E-2</v>
      </c>
      <c r="S250" s="35">
        <v>1.12E-2</v>
      </c>
      <c r="T250" s="35">
        <v>1.44E-2</v>
      </c>
      <c r="U250" s="35">
        <v>1.72E-2</v>
      </c>
      <c r="V250" s="35">
        <v>1.5100000000000001E-2</v>
      </c>
      <c r="W250" s="35">
        <v>1.0999999999999999E-2</v>
      </c>
      <c r="X250" s="35">
        <v>7.6099999999999996E-3</v>
      </c>
      <c r="Y250" s="35">
        <v>1.2999999999999999E-2</v>
      </c>
      <c r="Z250" s="35">
        <v>1.0800000000000001E-2</v>
      </c>
      <c r="AA250" s="3"/>
      <c r="AB250" s="35">
        <v>1.3899999999999999E-2</v>
      </c>
      <c r="AC250" s="35">
        <v>1.09E-2</v>
      </c>
      <c r="AD250" s="35">
        <v>5.1200000000000004E-3</v>
      </c>
      <c r="AE250" s="35">
        <v>0.14499999999999999</v>
      </c>
      <c r="AF250" s="3"/>
      <c r="AG250" s="3"/>
      <c r="AH250" s="35">
        <v>1.66E-2</v>
      </c>
      <c r="AI250" s="3"/>
      <c r="AJ250" s="35">
        <v>9.8600000000000007E-3</v>
      </c>
      <c r="AK250" s="35">
        <v>3.7600000000000001E-2</v>
      </c>
      <c r="AL250" s="35">
        <v>7.3800000000000003E-3</v>
      </c>
      <c r="AM250" s="3"/>
      <c r="AN250" s="35">
        <v>1.7899999999999999E-2</v>
      </c>
      <c r="AO250" s="35">
        <v>1.37E-2</v>
      </c>
      <c r="AP250" s="45">
        <v>76.900000000000006</v>
      </c>
    </row>
    <row r="251" spans="1:42">
      <c r="A251" s="94" t="s">
        <v>461</v>
      </c>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36">
        <v>0</v>
      </c>
      <c r="AP251" s="16"/>
    </row>
    <row r="252" spans="1:42">
      <c r="A252" s="94" t="s">
        <v>462</v>
      </c>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5">
        <v>0</v>
      </c>
      <c r="AP252" s="14"/>
    </row>
    <row r="253" spans="1:42">
      <c r="A253" s="94" t="s">
        <v>463</v>
      </c>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36">
        <v>0</v>
      </c>
      <c r="AP253" s="16"/>
    </row>
    <row r="254" spans="1:42">
      <c r="A254" s="94" t="s">
        <v>464</v>
      </c>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5">
        <v>0</v>
      </c>
      <c r="AP254" s="14"/>
    </row>
    <row r="255" spans="1:42">
      <c r="A255" s="94" t="s">
        <v>465</v>
      </c>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36">
        <v>0</v>
      </c>
      <c r="AP255" s="16"/>
    </row>
    <row r="256" spans="1:42">
      <c r="A256" s="94" t="s">
        <v>466</v>
      </c>
      <c r="B256" s="35">
        <v>4.0200000000000001E-3</v>
      </c>
      <c r="C256" s="35">
        <v>9.4699999999999993E-3</v>
      </c>
      <c r="D256" s="35">
        <v>1.0699999999999999E-2</v>
      </c>
      <c r="E256" s="3"/>
      <c r="F256" s="3"/>
      <c r="G256" s="35">
        <v>1.44E-2</v>
      </c>
      <c r="H256" s="35">
        <v>8.9499999999999996E-3</v>
      </c>
      <c r="I256" s="35">
        <v>7.2399999999999999E-3</v>
      </c>
      <c r="J256" s="35">
        <v>7.4000000000000003E-3</v>
      </c>
      <c r="K256" s="3"/>
      <c r="L256" s="35">
        <v>8.6599999999999993E-3</v>
      </c>
      <c r="M256" s="3"/>
      <c r="N256" s="35">
        <v>3.7599999999999999E-3</v>
      </c>
      <c r="O256" s="35">
        <v>4.1200000000000004E-3</v>
      </c>
      <c r="P256" s="35">
        <v>6.4799999999999996E-3</v>
      </c>
      <c r="Q256" s="3"/>
      <c r="R256" s="35">
        <v>9.4699999999999993E-3</v>
      </c>
      <c r="S256" s="35">
        <v>2.81E-3</v>
      </c>
      <c r="T256" s="35">
        <v>4.1399999999999996E-3</v>
      </c>
      <c r="U256" s="35">
        <v>3.4499999999999999E-3</v>
      </c>
      <c r="V256" s="35">
        <v>6.2399999999999999E-3</v>
      </c>
      <c r="W256" s="35">
        <v>5.5900000000000004E-3</v>
      </c>
      <c r="X256" s="35">
        <v>3.6800000000000001E-3</v>
      </c>
      <c r="Y256" s="35">
        <v>4.2700000000000004E-3</v>
      </c>
      <c r="Z256" s="35">
        <v>3.46E-3</v>
      </c>
      <c r="AA256" s="3"/>
      <c r="AB256" s="35">
        <v>1.09E-2</v>
      </c>
      <c r="AC256" s="35">
        <v>6.94E-3</v>
      </c>
      <c r="AD256" s="35">
        <v>7.6899999999999998E-3</v>
      </c>
      <c r="AE256" s="3"/>
      <c r="AF256" s="3"/>
      <c r="AG256" s="3"/>
      <c r="AH256" s="35">
        <v>5.5300000000000002E-3</v>
      </c>
      <c r="AI256" s="35">
        <v>4.7999999999999996E-3</v>
      </c>
      <c r="AJ256" s="35">
        <v>9.8200000000000006E-3</v>
      </c>
      <c r="AK256" s="3"/>
      <c r="AL256" s="35">
        <v>9.9399999999999992E-3</v>
      </c>
      <c r="AM256" s="3"/>
      <c r="AN256" s="35">
        <v>7.5199999999999998E-3</v>
      </c>
      <c r="AO256" s="35">
        <v>2.7399999999999998E-3</v>
      </c>
      <c r="AP256" s="45">
        <v>36.4</v>
      </c>
    </row>
    <row r="257" spans="1:42">
      <c r="A257" s="94" t="s">
        <v>467</v>
      </c>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36">
        <v>1.39E-3</v>
      </c>
      <c r="AC257" s="5"/>
      <c r="AD257" s="5"/>
      <c r="AE257" s="5"/>
      <c r="AF257" s="5"/>
      <c r="AG257" s="5"/>
      <c r="AH257" s="5"/>
      <c r="AI257" s="5"/>
      <c r="AJ257" s="5"/>
      <c r="AK257" s="5"/>
      <c r="AL257" s="5"/>
      <c r="AM257" s="5"/>
      <c r="AN257" s="5"/>
      <c r="AO257" s="36">
        <v>0</v>
      </c>
      <c r="AP257" s="16"/>
    </row>
    <row r="258" spans="1:42">
      <c r="A258" s="94" t="s">
        <v>468</v>
      </c>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5">
        <v>0</v>
      </c>
      <c r="AP258" s="14"/>
    </row>
    <row r="259" spans="1:42">
      <c r="A259" s="94" t="s">
        <v>469</v>
      </c>
      <c r="B259" s="5"/>
      <c r="C259" s="36">
        <v>7.3099999999999997E-3</v>
      </c>
      <c r="D259" s="36">
        <v>5.1599999999999997E-3</v>
      </c>
      <c r="E259" s="36">
        <v>4.2900000000000004E-3</v>
      </c>
      <c r="F259" s="36">
        <v>1.11E-2</v>
      </c>
      <c r="G259" s="5"/>
      <c r="H259" s="36">
        <v>3.3300000000000001E-3</v>
      </c>
      <c r="I259" s="36">
        <v>3.6800000000000001E-3</v>
      </c>
      <c r="J259" s="36">
        <v>3.2499999999999999E-3</v>
      </c>
      <c r="K259" s="36">
        <v>4.2700000000000004E-3</v>
      </c>
      <c r="L259" s="36">
        <v>4.2300000000000003E-3</v>
      </c>
      <c r="M259" s="5"/>
      <c r="N259" s="5"/>
      <c r="O259" s="5"/>
      <c r="P259" s="5"/>
      <c r="Q259" s="5"/>
      <c r="R259" s="5"/>
      <c r="S259" s="5"/>
      <c r="T259" s="36">
        <v>4.5599999999999998E-3</v>
      </c>
      <c r="U259" s="5"/>
      <c r="V259" s="5"/>
      <c r="W259" s="36">
        <v>3.2399999999999998E-3</v>
      </c>
      <c r="X259" s="5"/>
      <c r="Y259" s="36">
        <v>2.32E-3</v>
      </c>
      <c r="Z259" s="5"/>
      <c r="AA259" s="5"/>
      <c r="AB259" s="36">
        <v>2.4599999999999999E-3</v>
      </c>
      <c r="AC259" s="5"/>
      <c r="AD259" s="5"/>
      <c r="AE259" s="36">
        <v>1.1900000000000001E-2</v>
      </c>
      <c r="AF259" s="5"/>
      <c r="AG259" s="5"/>
      <c r="AH259" s="5"/>
      <c r="AI259" s="5"/>
      <c r="AJ259" s="36">
        <v>3.7200000000000002E-3</v>
      </c>
      <c r="AK259" s="5"/>
      <c r="AL259" s="5"/>
      <c r="AM259" s="5"/>
      <c r="AN259" s="36">
        <v>3.7200000000000002E-3</v>
      </c>
      <c r="AO259" s="5"/>
      <c r="AP259" s="46">
        <v>0</v>
      </c>
    </row>
    <row r="260" spans="1:42">
      <c r="A260" s="94" t="s">
        <v>470</v>
      </c>
      <c r="B260" s="35">
        <v>13</v>
      </c>
      <c r="C260" s="35">
        <v>19.899999999999999</v>
      </c>
      <c r="D260" s="35">
        <v>17.899999999999999</v>
      </c>
      <c r="E260" s="35">
        <v>36.799999999999997</v>
      </c>
      <c r="F260" s="35">
        <v>39</v>
      </c>
      <c r="G260" s="3"/>
      <c r="H260" s="35">
        <v>15.9</v>
      </c>
      <c r="I260" s="35">
        <v>16.600000000000001</v>
      </c>
      <c r="J260" s="35">
        <v>14.6</v>
      </c>
      <c r="K260" s="35">
        <v>47.1</v>
      </c>
      <c r="L260" s="35">
        <v>11.6</v>
      </c>
      <c r="M260" s="35">
        <v>25.3</v>
      </c>
      <c r="N260" s="35">
        <v>23.3</v>
      </c>
      <c r="O260" s="35">
        <v>20.8</v>
      </c>
      <c r="P260" s="35">
        <v>17.5</v>
      </c>
      <c r="Q260" s="35">
        <v>51.4</v>
      </c>
      <c r="R260" s="3"/>
      <c r="S260" s="35">
        <v>3.39</v>
      </c>
      <c r="T260" s="35">
        <v>4.1900000000000004</v>
      </c>
      <c r="U260" s="35">
        <v>1.76</v>
      </c>
      <c r="V260" s="35">
        <v>2.2000000000000002</v>
      </c>
      <c r="W260" s="35">
        <v>0.84799999999999998</v>
      </c>
      <c r="X260" s="35">
        <v>0.84499999999999997</v>
      </c>
      <c r="Y260" s="35">
        <v>1.1499999999999999</v>
      </c>
      <c r="Z260" s="35">
        <v>2.2000000000000002</v>
      </c>
      <c r="AA260" s="3"/>
      <c r="AB260" s="3"/>
      <c r="AC260" s="3"/>
      <c r="AD260" s="3"/>
      <c r="AE260" s="35">
        <v>68.400000000000006</v>
      </c>
      <c r="AF260" s="3"/>
      <c r="AG260" s="3"/>
      <c r="AH260" s="35">
        <v>1.1599999999999999</v>
      </c>
      <c r="AI260" s="35">
        <v>19.7</v>
      </c>
      <c r="AJ260" s="35">
        <v>10</v>
      </c>
      <c r="AK260" s="35">
        <v>33.700000000000003</v>
      </c>
      <c r="AL260" s="3"/>
      <c r="AM260" s="3"/>
      <c r="AN260" s="35">
        <v>16.100000000000001</v>
      </c>
      <c r="AO260" s="35">
        <v>13.9</v>
      </c>
      <c r="AP260" s="45">
        <v>86.3</v>
      </c>
    </row>
    <row r="261" spans="1:42">
      <c r="A261" s="94" t="s">
        <v>471</v>
      </c>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36">
        <v>0</v>
      </c>
      <c r="AP261" s="16"/>
    </row>
    <row r="262" spans="1:42">
      <c r="A262" s="94" t="s">
        <v>472</v>
      </c>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5">
        <v>0</v>
      </c>
      <c r="AP262" s="14"/>
    </row>
    <row r="263" spans="1:42">
      <c r="A263" s="94" t="s">
        <v>473</v>
      </c>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36">
        <v>0</v>
      </c>
      <c r="AP263" s="16"/>
    </row>
    <row r="264" spans="1:42">
      <c r="A264" s="94" t="s">
        <v>474</v>
      </c>
      <c r="B264" s="35">
        <v>8.2900000000000001E-2</v>
      </c>
      <c r="C264" s="35">
        <v>9.3799999999999994E-2</v>
      </c>
      <c r="D264" s="35">
        <v>5.5100000000000003E-2</v>
      </c>
      <c r="E264" s="35">
        <v>7.4499999999999997E-2</v>
      </c>
      <c r="F264" s="35">
        <v>0.14699999999999999</v>
      </c>
      <c r="G264" s="35">
        <v>4.24E-2</v>
      </c>
      <c r="H264" s="35">
        <v>0.11899999999999999</v>
      </c>
      <c r="I264" s="35">
        <v>0.10199999999999999</v>
      </c>
      <c r="J264" s="35">
        <v>0.128</v>
      </c>
      <c r="K264" s="35">
        <v>9.4799999999999995E-2</v>
      </c>
      <c r="L264" s="35">
        <v>0.159</v>
      </c>
      <c r="M264" s="35">
        <v>0.13200000000000001</v>
      </c>
      <c r="N264" s="35">
        <v>6.93E-2</v>
      </c>
      <c r="O264" s="35">
        <v>8.1000000000000003E-2</v>
      </c>
      <c r="P264" s="35">
        <v>9.2399999999999996E-2</v>
      </c>
      <c r="Q264" s="35">
        <v>8.2299999999999998E-2</v>
      </c>
      <c r="R264" s="35">
        <v>0.114</v>
      </c>
      <c r="S264" s="35">
        <v>0.108</v>
      </c>
      <c r="T264" s="35">
        <v>4.0399999999999998E-2</v>
      </c>
      <c r="U264" s="35">
        <v>9.4700000000000006E-2</v>
      </c>
      <c r="V264" s="35">
        <v>0.10199999999999999</v>
      </c>
      <c r="W264" s="35">
        <v>0.14299999999999999</v>
      </c>
      <c r="X264" s="35">
        <v>0.105</v>
      </c>
      <c r="Y264" s="35">
        <v>0.125</v>
      </c>
      <c r="Z264" s="35">
        <v>8.2199999999999995E-2</v>
      </c>
      <c r="AA264" s="3"/>
      <c r="AB264" s="35">
        <v>6.2899999999999998E-2</v>
      </c>
      <c r="AC264" s="35">
        <v>0.156</v>
      </c>
      <c r="AD264" s="35">
        <v>9.8199999999999996E-2</v>
      </c>
      <c r="AE264" s="35">
        <v>0.109</v>
      </c>
      <c r="AF264" s="3"/>
      <c r="AG264" s="3"/>
      <c r="AH264" s="35">
        <v>6.25E-2</v>
      </c>
      <c r="AI264" s="35">
        <v>7.1199999999999999E-2</v>
      </c>
      <c r="AJ264" s="35">
        <v>0.14299999999999999</v>
      </c>
      <c r="AK264" s="35">
        <v>0.11600000000000001</v>
      </c>
      <c r="AL264" s="35">
        <v>7.7899999999999997E-2</v>
      </c>
      <c r="AM264" s="3"/>
      <c r="AN264" s="35">
        <v>9.4200000000000006E-2</v>
      </c>
      <c r="AO264" s="35">
        <v>3.4099999999999998E-2</v>
      </c>
      <c r="AP264" s="45">
        <v>36.200000000000003</v>
      </c>
    </row>
    <row r="265" spans="1:42">
      <c r="A265" s="94" t="s">
        <v>475</v>
      </c>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36">
        <v>4.0400000000000002E-3</v>
      </c>
      <c r="AC265" s="5"/>
      <c r="AD265" s="5"/>
      <c r="AE265" s="5"/>
      <c r="AF265" s="5"/>
      <c r="AG265" s="5"/>
      <c r="AH265" s="5"/>
      <c r="AI265" s="5"/>
      <c r="AJ265" s="5"/>
      <c r="AK265" s="5"/>
      <c r="AL265" s="5"/>
      <c r="AM265" s="5"/>
      <c r="AN265" s="5"/>
      <c r="AO265" s="36">
        <v>0</v>
      </c>
      <c r="AP265" s="16"/>
    </row>
    <row r="266" spans="1:42">
      <c r="A266" s="94" t="s">
        <v>476</v>
      </c>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5">
        <v>0</v>
      </c>
      <c r="AP266" s="14"/>
    </row>
    <row r="267" spans="1:42">
      <c r="A267" s="94" t="s">
        <v>477</v>
      </c>
      <c r="B267" s="5"/>
      <c r="C267" s="5"/>
      <c r="D267" s="5"/>
      <c r="E267" s="5"/>
      <c r="F267" s="36">
        <v>2.3400000000000001E-2</v>
      </c>
      <c r="G267" s="5"/>
      <c r="H267" s="5"/>
      <c r="I267" s="5"/>
      <c r="J267" s="5"/>
      <c r="K267" s="5"/>
      <c r="L267" s="5"/>
      <c r="M267" s="5"/>
      <c r="N267" s="36">
        <v>1.04E-2</v>
      </c>
      <c r="O267" s="36">
        <v>1.2E-2</v>
      </c>
      <c r="P267" s="5"/>
      <c r="Q267" s="5"/>
      <c r="R267" s="5"/>
      <c r="S267" s="5"/>
      <c r="T267" s="5"/>
      <c r="U267" s="36">
        <v>9.5300000000000003E-3</v>
      </c>
      <c r="V267" s="5"/>
      <c r="W267" s="36">
        <v>7.5700000000000003E-3</v>
      </c>
      <c r="X267" s="5"/>
      <c r="Y267" s="36">
        <v>7.6499999999999997E-3</v>
      </c>
      <c r="Z267" s="5"/>
      <c r="AA267" s="5"/>
      <c r="AB267" s="36">
        <v>3.46E-3</v>
      </c>
      <c r="AC267" s="5"/>
      <c r="AD267" s="5"/>
      <c r="AE267" s="36">
        <v>3.2599999999999997E-2</v>
      </c>
      <c r="AF267" s="5"/>
      <c r="AG267" s="5"/>
      <c r="AH267" s="5"/>
      <c r="AI267" s="5"/>
      <c r="AJ267" s="5"/>
      <c r="AK267" s="5"/>
      <c r="AL267" s="5"/>
      <c r="AM267" s="5"/>
      <c r="AN267" s="5"/>
      <c r="AO267" s="36">
        <v>0</v>
      </c>
      <c r="AP267" s="16"/>
    </row>
    <row r="268" spans="1:42">
      <c r="A268" s="94" t="s">
        <v>478</v>
      </c>
      <c r="B268" s="35">
        <v>0.13300000000000001</v>
      </c>
      <c r="C268" s="35">
        <v>0.13100000000000001</v>
      </c>
      <c r="D268" s="35">
        <v>7.9899999999999999E-2</v>
      </c>
      <c r="E268" s="35">
        <v>9.64E-2</v>
      </c>
      <c r="F268" s="35">
        <v>0.17199999999999999</v>
      </c>
      <c r="G268" s="35">
        <v>0.14699999999999999</v>
      </c>
      <c r="H268" s="35">
        <v>0.159</v>
      </c>
      <c r="I268" s="35">
        <v>0.14199999999999999</v>
      </c>
      <c r="J268" s="35">
        <v>0.17799999999999999</v>
      </c>
      <c r="K268" s="35">
        <v>0.13100000000000001</v>
      </c>
      <c r="L268" s="35">
        <v>0.155</v>
      </c>
      <c r="M268" s="35">
        <v>0.20799999999999999</v>
      </c>
      <c r="N268" s="35">
        <v>0.155</v>
      </c>
      <c r="O268" s="35">
        <v>0.22600000000000001</v>
      </c>
      <c r="P268" s="35">
        <v>0.16600000000000001</v>
      </c>
      <c r="Q268" s="35">
        <v>0.21199999999999999</v>
      </c>
      <c r="R268" s="35">
        <v>0.23599999999999999</v>
      </c>
      <c r="S268" s="35">
        <v>0.14799999999999999</v>
      </c>
      <c r="T268" s="35">
        <v>0.17499999999999999</v>
      </c>
      <c r="U268" s="35">
        <v>0.17</v>
      </c>
      <c r="V268" s="35">
        <v>0.25800000000000001</v>
      </c>
      <c r="W268" s="35">
        <v>0.20599999999999999</v>
      </c>
      <c r="X268" s="35">
        <v>0.156</v>
      </c>
      <c r="Y268" s="35">
        <v>0.191</v>
      </c>
      <c r="Z268" s="35">
        <v>0.17100000000000001</v>
      </c>
      <c r="AA268" s="3"/>
      <c r="AB268" s="35">
        <v>0.1</v>
      </c>
      <c r="AC268" s="35">
        <v>0.25800000000000001</v>
      </c>
      <c r="AD268" s="35">
        <v>0.223</v>
      </c>
      <c r="AE268" s="35">
        <v>0.26700000000000002</v>
      </c>
      <c r="AF268" s="3"/>
      <c r="AG268" s="3"/>
      <c r="AH268" s="3"/>
      <c r="AI268" s="35">
        <v>0.19900000000000001</v>
      </c>
      <c r="AJ268" s="35">
        <v>0.18099999999999999</v>
      </c>
      <c r="AK268" s="35">
        <v>0.20100000000000001</v>
      </c>
      <c r="AL268" s="35">
        <v>0.222</v>
      </c>
      <c r="AM268" s="3"/>
      <c r="AN268" s="35">
        <v>0.20100000000000001</v>
      </c>
      <c r="AO268" s="35">
        <v>1.6899999999999998E-2</v>
      </c>
      <c r="AP268" s="45">
        <v>8.41</v>
      </c>
    </row>
    <row r="269" spans="1:42">
      <c r="A269" s="94" t="s">
        <v>479</v>
      </c>
      <c r="B269" s="5"/>
      <c r="C269" s="36">
        <v>2.9099999999999998E-3</v>
      </c>
      <c r="D269" s="5"/>
      <c r="E269" s="5"/>
      <c r="F269" s="5"/>
      <c r="G269" s="5"/>
      <c r="H269" s="5"/>
      <c r="I269" s="36">
        <v>1.49E-3</v>
      </c>
      <c r="J269" s="5"/>
      <c r="K269" s="5"/>
      <c r="L269" s="36">
        <v>2.3999999999999998E-3</v>
      </c>
      <c r="M269" s="5"/>
      <c r="N269" s="5"/>
      <c r="O269" s="5"/>
      <c r="P269" s="5"/>
      <c r="Q269" s="5"/>
      <c r="R269" s="5"/>
      <c r="S269" s="5"/>
      <c r="T269" s="5"/>
      <c r="U269" s="5"/>
      <c r="V269" s="5"/>
      <c r="W269" s="36">
        <v>2.48E-3</v>
      </c>
      <c r="X269" s="5"/>
      <c r="Y269" s="5"/>
      <c r="Z269" s="5"/>
      <c r="AA269" s="5"/>
      <c r="AB269" s="5"/>
      <c r="AC269" s="5"/>
      <c r="AD269" s="5"/>
      <c r="AE269" s="5"/>
      <c r="AF269" s="5"/>
      <c r="AG269" s="5"/>
      <c r="AH269" s="5"/>
      <c r="AI269" s="5"/>
      <c r="AJ269" s="5"/>
      <c r="AK269" s="5"/>
      <c r="AL269" s="5"/>
      <c r="AM269" s="5"/>
      <c r="AN269" s="5"/>
      <c r="AO269" s="36">
        <v>0</v>
      </c>
      <c r="AP269" s="16"/>
    </row>
    <row r="270" spans="1:42">
      <c r="A270" s="94" t="s">
        <v>480</v>
      </c>
      <c r="B270" s="35">
        <v>3.4799999999999998E-2</v>
      </c>
      <c r="C270" s="35">
        <v>2.6700000000000002E-2</v>
      </c>
      <c r="D270" s="35">
        <v>7.43E-3</v>
      </c>
      <c r="E270" s="35">
        <v>4.2000000000000003E-2</v>
      </c>
      <c r="F270" s="35">
        <v>4.3900000000000002E-2</v>
      </c>
      <c r="G270" s="35">
        <v>2.9100000000000001E-2</v>
      </c>
      <c r="H270" s="35">
        <v>2.3400000000000001E-2</v>
      </c>
      <c r="I270" s="35">
        <v>3.3399999999999999E-2</v>
      </c>
      <c r="J270" s="35">
        <v>2.5499999999999998E-2</v>
      </c>
      <c r="K270" s="35">
        <v>4.4400000000000002E-2</v>
      </c>
      <c r="L270" s="35">
        <v>1.8499999999999999E-2</v>
      </c>
      <c r="M270" s="35">
        <v>4.1300000000000003E-2</v>
      </c>
      <c r="N270" s="35">
        <v>2.9600000000000001E-2</v>
      </c>
      <c r="O270" s="35">
        <v>2.2700000000000001E-2</v>
      </c>
      <c r="P270" s="35">
        <v>3.32E-2</v>
      </c>
      <c r="Q270" s="35">
        <v>4.1799999999999997E-2</v>
      </c>
      <c r="R270" s="35">
        <v>3.0499999999999999E-2</v>
      </c>
      <c r="S270" s="35">
        <v>4.0599999999999997E-2</v>
      </c>
      <c r="T270" s="35">
        <v>1.4200000000000001E-2</v>
      </c>
      <c r="U270" s="35">
        <v>2.35E-2</v>
      </c>
      <c r="V270" s="35">
        <v>4.4200000000000003E-2</v>
      </c>
      <c r="W270" s="35">
        <v>4.7699999999999999E-2</v>
      </c>
      <c r="X270" s="35">
        <v>3.0300000000000001E-2</v>
      </c>
      <c r="Y270" s="35">
        <v>3.27E-2</v>
      </c>
      <c r="Z270" s="35">
        <v>5.3900000000000003E-2</v>
      </c>
      <c r="AA270" s="3"/>
      <c r="AB270" s="35">
        <v>3.15E-2</v>
      </c>
      <c r="AC270" s="35">
        <v>2.9499999999999998E-2</v>
      </c>
      <c r="AD270" s="35">
        <v>4.9899999999999996E-3</v>
      </c>
      <c r="AE270" s="3"/>
      <c r="AF270" s="3"/>
      <c r="AG270" s="3"/>
      <c r="AH270" s="3"/>
      <c r="AI270" s="35">
        <v>4.4299999999999999E-2</v>
      </c>
      <c r="AJ270" s="35">
        <v>2.5899999999999999E-2</v>
      </c>
      <c r="AK270" s="35">
        <v>6.1699999999999998E-2</v>
      </c>
      <c r="AL270" s="35">
        <v>4.3999999999999997E-2</v>
      </c>
      <c r="AM270" s="3"/>
      <c r="AN270" s="35">
        <v>4.3999999999999997E-2</v>
      </c>
      <c r="AO270" s="35">
        <v>1.46E-2</v>
      </c>
      <c r="AP270" s="45">
        <v>33.299999999999997</v>
      </c>
    </row>
    <row r="271" spans="1:42">
      <c r="A271" s="94" t="s">
        <v>481</v>
      </c>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36">
        <v>0</v>
      </c>
      <c r="AP271" s="16"/>
    </row>
    <row r="272" spans="1:42">
      <c r="A272" s="94" t="s">
        <v>482</v>
      </c>
      <c r="B272" s="35">
        <v>4.0400000000000002E-3</v>
      </c>
      <c r="C272" s="35">
        <v>2.7E-2</v>
      </c>
      <c r="D272" s="35">
        <v>1.37E-2</v>
      </c>
      <c r="E272" s="3"/>
      <c r="F272" s="3"/>
      <c r="G272" s="35">
        <v>6.1399999999999996E-3</v>
      </c>
      <c r="H272" s="35">
        <v>2.81E-2</v>
      </c>
      <c r="I272" s="35">
        <v>1.5299999999999999E-2</v>
      </c>
      <c r="J272" s="35">
        <v>1.5299999999999999E-2</v>
      </c>
      <c r="K272" s="3"/>
      <c r="L272" s="35">
        <v>2.1999999999999999E-2</v>
      </c>
      <c r="M272" s="35">
        <v>6.9199999999999999E-3</v>
      </c>
      <c r="N272" s="35">
        <v>5.7400000000000003E-3</v>
      </c>
      <c r="O272" s="35">
        <v>4.6600000000000001E-3</v>
      </c>
      <c r="P272" s="35">
        <v>5.4599999999999996E-3</v>
      </c>
      <c r="Q272" s="3"/>
      <c r="R272" s="35">
        <v>8.2900000000000005E-3</v>
      </c>
      <c r="S272" s="3"/>
      <c r="T272" s="35">
        <v>4.5399999999999998E-3</v>
      </c>
      <c r="U272" s="35">
        <v>8.9700000000000005E-3</v>
      </c>
      <c r="V272" s="35">
        <v>7.6299999999999996E-3</v>
      </c>
      <c r="W272" s="35">
        <v>1.06E-2</v>
      </c>
      <c r="X272" s="35">
        <v>7.3099999999999997E-3</v>
      </c>
      <c r="Y272" s="35">
        <v>7.1700000000000002E-3</v>
      </c>
      <c r="Z272" s="35">
        <v>9.92E-3</v>
      </c>
      <c r="AA272" s="3"/>
      <c r="AB272" s="35">
        <v>9.8300000000000002E-3</v>
      </c>
      <c r="AC272" s="35">
        <v>1.0699999999999999E-2</v>
      </c>
      <c r="AD272" s="35">
        <v>9.4599999999999997E-3</v>
      </c>
      <c r="AE272" s="3"/>
      <c r="AF272" s="3"/>
      <c r="AG272" s="3"/>
      <c r="AH272" s="35">
        <v>5.9899999999999997E-3</v>
      </c>
      <c r="AI272" s="35">
        <v>4.8799999999999998E-3</v>
      </c>
      <c r="AJ272" s="35">
        <v>1.61E-2</v>
      </c>
      <c r="AK272" s="3"/>
      <c r="AL272" s="35">
        <v>9.7099999999999999E-3</v>
      </c>
      <c r="AM272" s="3"/>
      <c r="AN272" s="35">
        <v>9.1699999999999993E-3</v>
      </c>
      <c r="AO272" s="35">
        <v>5.0600000000000003E-3</v>
      </c>
      <c r="AP272" s="45">
        <v>55.1</v>
      </c>
    </row>
    <row r="273" spans="1:42">
      <c r="A273" s="94" t="s">
        <v>483</v>
      </c>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36">
        <v>0</v>
      </c>
      <c r="AP273" s="16"/>
    </row>
    <row r="274" spans="1:42">
      <c r="A274" s="94" t="s">
        <v>484</v>
      </c>
      <c r="B274" s="35">
        <v>7.1800000000000003E-2</v>
      </c>
      <c r="C274" s="35">
        <v>0.112</v>
      </c>
      <c r="D274" s="35">
        <v>8.6999999999999994E-2</v>
      </c>
      <c r="E274" s="35">
        <v>0.17100000000000001</v>
      </c>
      <c r="F274" s="35">
        <v>0.33200000000000002</v>
      </c>
      <c r="G274" s="35">
        <v>6.0100000000000001E-2</v>
      </c>
      <c r="H274" s="35">
        <v>0.11700000000000001</v>
      </c>
      <c r="I274" s="35">
        <v>8.8800000000000004E-2</v>
      </c>
      <c r="J274" s="35">
        <v>0.13700000000000001</v>
      </c>
      <c r="K274" s="35">
        <v>0.14499999999999999</v>
      </c>
      <c r="L274" s="35">
        <v>0.14599999999999999</v>
      </c>
      <c r="M274" s="35">
        <v>0.11600000000000001</v>
      </c>
      <c r="N274" s="35">
        <v>8.4900000000000003E-2</v>
      </c>
      <c r="O274" s="35">
        <v>9.98E-2</v>
      </c>
      <c r="P274" s="35">
        <v>0.109</v>
      </c>
      <c r="Q274" s="35">
        <v>0.23100000000000001</v>
      </c>
      <c r="R274" s="35">
        <v>0.16200000000000001</v>
      </c>
      <c r="S274" s="35">
        <v>8.7499999999999994E-2</v>
      </c>
      <c r="T274" s="35">
        <v>6.5299999999999997E-2</v>
      </c>
      <c r="U274" s="35">
        <v>3.5900000000000001E-2</v>
      </c>
      <c r="V274" s="35">
        <v>6.2199999999999998E-2</v>
      </c>
      <c r="W274" s="35">
        <v>0.115</v>
      </c>
      <c r="X274" s="35">
        <v>9.2499999999999999E-2</v>
      </c>
      <c r="Y274" s="35">
        <v>0.14299999999999999</v>
      </c>
      <c r="Z274" s="35">
        <v>0.127</v>
      </c>
      <c r="AA274" s="3"/>
      <c r="AB274" s="35">
        <v>7.0499999999999993E-2</v>
      </c>
      <c r="AC274" s="35">
        <v>0.23200000000000001</v>
      </c>
      <c r="AD274" s="35">
        <v>0.17499999999999999</v>
      </c>
      <c r="AE274" s="35">
        <v>0.40100000000000002</v>
      </c>
      <c r="AF274" s="3"/>
      <c r="AG274" s="3"/>
      <c r="AH274" s="3"/>
      <c r="AI274" s="35">
        <v>8.8300000000000003E-2</v>
      </c>
      <c r="AJ274" s="35">
        <v>0.14699999999999999</v>
      </c>
      <c r="AK274" s="35">
        <v>0.26400000000000001</v>
      </c>
      <c r="AL274" s="35">
        <v>9.1499999999999998E-2</v>
      </c>
      <c r="AM274" s="3"/>
      <c r="AN274" s="35">
        <v>0.14799999999999999</v>
      </c>
      <c r="AO274" s="35">
        <v>8.2299999999999998E-2</v>
      </c>
      <c r="AP274" s="45">
        <v>55.6</v>
      </c>
    </row>
    <row r="275" spans="1:42">
      <c r="A275" s="94" t="s">
        <v>485</v>
      </c>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36">
        <v>0</v>
      </c>
      <c r="AP275" s="16"/>
    </row>
    <row r="276" spans="1:42">
      <c r="A276" s="94" t="s">
        <v>486</v>
      </c>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5">
        <v>3.0400000000000002E-3</v>
      </c>
      <c r="AC276" s="3"/>
      <c r="AD276" s="3"/>
      <c r="AE276" s="3"/>
      <c r="AF276" s="3"/>
      <c r="AG276" s="3"/>
      <c r="AH276" s="3"/>
      <c r="AI276" s="3"/>
      <c r="AJ276" s="3"/>
      <c r="AK276" s="3"/>
      <c r="AL276" s="3"/>
      <c r="AM276" s="3"/>
      <c r="AN276" s="3"/>
      <c r="AO276" s="35">
        <v>0</v>
      </c>
      <c r="AP276" s="14"/>
    </row>
    <row r="277" spans="1:42">
      <c r="A277" s="94" t="s">
        <v>487</v>
      </c>
      <c r="B277" s="5"/>
      <c r="C277" s="5"/>
      <c r="D277" s="5"/>
      <c r="E277" s="5"/>
      <c r="F277" s="5"/>
      <c r="G277" s="5"/>
      <c r="H277" s="5"/>
      <c r="I277" s="5"/>
      <c r="J277" s="5"/>
      <c r="K277" s="5"/>
      <c r="L277" s="5"/>
      <c r="M277" s="5"/>
      <c r="N277" s="5"/>
      <c r="O277" s="5"/>
      <c r="P277" s="5"/>
      <c r="Q277" s="5"/>
      <c r="R277" s="5"/>
      <c r="S277" s="5"/>
      <c r="T277" s="5"/>
      <c r="U277" s="5"/>
      <c r="V277" s="36">
        <v>5.9800000000000001E-3</v>
      </c>
      <c r="W277" s="36">
        <v>5.7800000000000004E-3</v>
      </c>
      <c r="X277" s="36">
        <v>5.6800000000000002E-3</v>
      </c>
      <c r="Y277" s="36">
        <v>6.9199999999999999E-3</v>
      </c>
      <c r="Z277" s="36">
        <v>8.0199999999999994E-3</v>
      </c>
      <c r="AA277" s="5"/>
      <c r="AB277" s="5"/>
      <c r="AC277" s="5"/>
      <c r="AD277" s="5"/>
      <c r="AE277" s="5"/>
      <c r="AF277" s="5"/>
      <c r="AG277" s="5"/>
      <c r="AH277" s="5"/>
      <c r="AI277" s="5"/>
      <c r="AJ277" s="5"/>
      <c r="AK277" s="5"/>
      <c r="AL277" s="5"/>
      <c r="AM277" s="5"/>
      <c r="AN277" s="5"/>
      <c r="AO277" s="36">
        <v>0</v>
      </c>
      <c r="AP277" s="16"/>
    </row>
    <row r="278" spans="1:42">
      <c r="A278" s="94" t="s">
        <v>488</v>
      </c>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5">
        <v>0</v>
      </c>
      <c r="AP278" s="14"/>
    </row>
    <row r="279" spans="1:42">
      <c r="A279" s="94" t="s">
        <v>489</v>
      </c>
      <c r="B279" s="5"/>
      <c r="C279" s="5"/>
      <c r="D279" s="5"/>
      <c r="E279" s="5"/>
      <c r="F279" s="5"/>
      <c r="G279" s="5"/>
      <c r="H279" s="5"/>
      <c r="I279" s="5"/>
      <c r="J279" s="5"/>
      <c r="K279" s="5"/>
      <c r="L279" s="5"/>
      <c r="M279" s="5"/>
      <c r="N279" s="5"/>
      <c r="O279" s="5"/>
      <c r="P279" s="5"/>
      <c r="Q279" s="5"/>
      <c r="R279" s="5"/>
      <c r="S279" s="5"/>
      <c r="T279" s="5"/>
      <c r="U279" s="36">
        <v>1.4E-3</v>
      </c>
      <c r="V279" s="5"/>
      <c r="W279" s="36">
        <v>5.47E-3</v>
      </c>
      <c r="X279" s="5"/>
      <c r="Y279" s="5"/>
      <c r="Z279" s="5"/>
      <c r="AA279" s="5"/>
      <c r="AB279" s="5"/>
      <c r="AC279" s="5"/>
      <c r="AD279" s="36">
        <v>4.3600000000000002E-3</v>
      </c>
      <c r="AE279" s="5"/>
      <c r="AF279" s="5"/>
      <c r="AG279" s="5"/>
      <c r="AH279" s="5"/>
      <c r="AI279" s="5"/>
      <c r="AJ279" s="5"/>
      <c r="AK279" s="5"/>
      <c r="AL279" s="36">
        <v>7.6699999999999997E-3</v>
      </c>
      <c r="AM279" s="5"/>
      <c r="AN279" s="36">
        <v>7.6699999999999997E-3</v>
      </c>
      <c r="AO279" s="5"/>
      <c r="AP279" s="46">
        <v>0</v>
      </c>
    </row>
    <row r="280" spans="1:42">
      <c r="A280" s="94" t="s">
        <v>490</v>
      </c>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5">
        <v>0</v>
      </c>
      <c r="AP280" s="14"/>
    </row>
    <row r="281" spans="1:42">
      <c r="A281" s="94" t="s">
        <v>491</v>
      </c>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36">
        <v>0</v>
      </c>
      <c r="AP281" s="16"/>
    </row>
    <row r="282" spans="1:42">
      <c r="A282" s="94" t="s">
        <v>492</v>
      </c>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5">
        <v>0</v>
      </c>
      <c r="AP282" s="14"/>
    </row>
    <row r="283" spans="1:42">
      <c r="A283" s="94" t="s">
        <v>493</v>
      </c>
      <c r="B283" s="5"/>
      <c r="C283" s="5"/>
      <c r="D283" s="5"/>
      <c r="E283" s="5"/>
      <c r="F283" s="5"/>
      <c r="G283" s="5"/>
      <c r="H283" s="5"/>
      <c r="I283" s="5"/>
      <c r="J283" s="5"/>
      <c r="K283" s="5"/>
      <c r="L283" s="5"/>
      <c r="M283" s="5"/>
      <c r="N283" s="5"/>
      <c r="O283" s="5"/>
      <c r="P283" s="5"/>
      <c r="Q283" s="5"/>
      <c r="R283" s="5"/>
      <c r="S283" s="5"/>
      <c r="T283" s="5"/>
      <c r="U283" s="5"/>
      <c r="V283" s="5"/>
      <c r="W283" s="36">
        <v>2.2100000000000002E-3</v>
      </c>
      <c r="X283" s="5"/>
      <c r="Y283" s="5"/>
      <c r="Z283" s="5"/>
      <c r="AA283" s="5"/>
      <c r="AB283" s="36">
        <v>2.7799999999999999E-3</v>
      </c>
      <c r="AC283" s="5"/>
      <c r="AD283" s="5"/>
      <c r="AE283" s="5"/>
      <c r="AF283" s="5"/>
      <c r="AG283" s="5"/>
      <c r="AH283" s="5"/>
      <c r="AI283" s="5"/>
      <c r="AJ283" s="5"/>
      <c r="AK283" s="5"/>
      <c r="AL283" s="5"/>
      <c r="AM283" s="5"/>
      <c r="AN283" s="5"/>
      <c r="AO283" s="36">
        <v>0</v>
      </c>
      <c r="AP283" s="16"/>
    </row>
    <row r="284" spans="1:42">
      <c r="A284" s="94" t="s">
        <v>494</v>
      </c>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5">
        <v>0</v>
      </c>
      <c r="AP284" s="14"/>
    </row>
    <row r="285" spans="1:42">
      <c r="A285" s="94" t="s">
        <v>495</v>
      </c>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36">
        <v>0</v>
      </c>
      <c r="AP285" s="16"/>
    </row>
    <row r="286" spans="1:42">
      <c r="A286" s="94" t="s">
        <v>496</v>
      </c>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5">
        <v>0</v>
      </c>
      <c r="AP286" s="14"/>
    </row>
    <row r="287" spans="1:42">
      <c r="A287" s="94" t="s">
        <v>497</v>
      </c>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36">
        <v>0</v>
      </c>
      <c r="AP287" s="16"/>
    </row>
    <row r="288" spans="1:42">
      <c r="A288" s="94" t="s">
        <v>498</v>
      </c>
      <c r="B288" s="35">
        <v>3.3300000000000003E-2</v>
      </c>
      <c r="C288" s="35">
        <v>4.7100000000000003E-2</v>
      </c>
      <c r="D288" s="35">
        <v>3.9300000000000002E-2</v>
      </c>
      <c r="E288" s="35">
        <v>3.7499999999999999E-2</v>
      </c>
      <c r="F288" s="35">
        <v>6.2899999999999998E-2</v>
      </c>
      <c r="G288" s="35">
        <v>5.9299999999999999E-2</v>
      </c>
      <c r="H288" s="35">
        <v>5.28E-2</v>
      </c>
      <c r="I288" s="35">
        <v>5.62E-2</v>
      </c>
      <c r="J288" s="35">
        <v>3.61E-2</v>
      </c>
      <c r="K288" s="35">
        <v>2.3400000000000001E-2</v>
      </c>
      <c r="L288" s="35">
        <v>8.1799999999999998E-2</v>
      </c>
      <c r="M288" s="35">
        <v>2.2800000000000001E-2</v>
      </c>
      <c r="N288" s="35">
        <v>1.4800000000000001E-2</v>
      </c>
      <c r="O288" s="35">
        <v>1.83E-2</v>
      </c>
      <c r="P288" s="35">
        <v>3.6499999999999998E-2</v>
      </c>
      <c r="Q288" s="35">
        <v>1.2999999999999999E-2</v>
      </c>
      <c r="R288" s="35">
        <v>1.5299999999999999E-2</v>
      </c>
      <c r="S288" s="35">
        <v>7.7400000000000004E-3</v>
      </c>
      <c r="T288" s="3"/>
      <c r="U288" s="35">
        <v>0.107</v>
      </c>
      <c r="V288" s="35">
        <v>5.7499999999999999E-3</v>
      </c>
      <c r="W288" s="35">
        <v>2.9000000000000001E-2</v>
      </c>
      <c r="X288" s="35">
        <v>5.7000000000000002E-3</v>
      </c>
      <c r="Y288" s="35">
        <v>1.06E-2</v>
      </c>
      <c r="Z288" s="35">
        <v>3.7600000000000001E-2</v>
      </c>
      <c r="AA288" s="3"/>
      <c r="AB288" s="35">
        <v>3.9300000000000002E-2</v>
      </c>
      <c r="AC288" s="35">
        <v>2.3599999999999999E-2</v>
      </c>
      <c r="AD288" s="35">
        <v>2.3800000000000002E-2</v>
      </c>
      <c r="AE288" s="35">
        <v>1.7399999999999999E-2</v>
      </c>
      <c r="AF288" s="3"/>
      <c r="AG288" s="3"/>
      <c r="AH288" s="3"/>
      <c r="AI288" s="35">
        <v>3.7400000000000003E-2</v>
      </c>
      <c r="AJ288" s="35">
        <v>4.4200000000000003E-2</v>
      </c>
      <c r="AK288" s="35">
        <v>2.7199999999999998E-2</v>
      </c>
      <c r="AL288" s="35">
        <v>3.4700000000000002E-2</v>
      </c>
      <c r="AM288" s="3"/>
      <c r="AN288" s="35">
        <v>3.5900000000000001E-2</v>
      </c>
      <c r="AO288" s="35">
        <v>7.0600000000000003E-3</v>
      </c>
      <c r="AP288" s="45">
        <v>19.7</v>
      </c>
    </row>
    <row r="289" spans="1:42">
      <c r="A289" s="94" t="s">
        <v>499</v>
      </c>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36">
        <v>0</v>
      </c>
      <c r="AP289" s="16"/>
    </row>
    <row r="290" spans="1:42">
      <c r="A290" s="94" t="s">
        <v>500</v>
      </c>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5">
        <v>0</v>
      </c>
      <c r="AP290" s="14"/>
    </row>
    <row r="291" spans="1:42">
      <c r="A291" s="94" t="s">
        <v>501</v>
      </c>
      <c r="B291" s="5"/>
      <c r="C291" s="36">
        <v>4.3600000000000002E-3</v>
      </c>
      <c r="D291" s="5"/>
      <c r="E291" s="5"/>
      <c r="F291" s="5"/>
      <c r="G291" s="5"/>
      <c r="H291" s="5"/>
      <c r="I291" s="36">
        <v>1.81E-3</v>
      </c>
      <c r="J291" s="5"/>
      <c r="K291" s="5"/>
      <c r="L291" s="36">
        <v>3.29E-3</v>
      </c>
      <c r="M291" s="5"/>
      <c r="N291" s="5"/>
      <c r="O291" s="5"/>
      <c r="P291" s="5"/>
      <c r="Q291" s="5"/>
      <c r="R291" s="5"/>
      <c r="S291" s="5"/>
      <c r="T291" s="5"/>
      <c r="U291" s="5"/>
      <c r="V291" s="5"/>
      <c r="W291" s="36">
        <v>2.33E-3</v>
      </c>
      <c r="X291" s="5"/>
      <c r="Y291" s="5"/>
      <c r="Z291" s="5"/>
      <c r="AA291" s="5"/>
      <c r="AB291" s="36">
        <v>2.8800000000000002E-3</v>
      </c>
      <c r="AC291" s="5"/>
      <c r="AD291" s="5"/>
      <c r="AE291" s="5"/>
      <c r="AF291" s="5"/>
      <c r="AG291" s="5"/>
      <c r="AH291" s="5"/>
      <c r="AI291" s="5"/>
      <c r="AJ291" s="36">
        <v>2.63E-3</v>
      </c>
      <c r="AK291" s="5"/>
      <c r="AL291" s="5"/>
      <c r="AM291" s="5"/>
      <c r="AN291" s="36">
        <v>2.63E-3</v>
      </c>
      <c r="AO291" s="5"/>
      <c r="AP291" s="46">
        <v>0</v>
      </c>
    </row>
    <row r="292" spans="1:42">
      <c r="A292" s="94" t="s">
        <v>502</v>
      </c>
      <c r="B292" s="3"/>
      <c r="C292" s="35">
        <v>2.2000000000000001E-3</v>
      </c>
      <c r="D292" s="3"/>
      <c r="E292" s="3"/>
      <c r="F292" s="3"/>
      <c r="G292" s="3"/>
      <c r="H292" s="3"/>
      <c r="I292" s="35">
        <v>8.3699999999999996E-4</v>
      </c>
      <c r="J292" s="3"/>
      <c r="K292" s="3"/>
      <c r="L292" s="35">
        <v>7.3200000000000001E-4</v>
      </c>
      <c r="M292" s="3"/>
      <c r="N292" s="3"/>
      <c r="O292" s="3"/>
      <c r="P292" s="3"/>
      <c r="Q292" s="3"/>
      <c r="R292" s="3"/>
      <c r="S292" s="3"/>
      <c r="T292" s="3"/>
      <c r="U292" s="3"/>
      <c r="V292" s="3"/>
      <c r="W292" s="3"/>
      <c r="X292" s="3"/>
      <c r="Y292" s="3"/>
      <c r="Z292" s="3"/>
      <c r="AA292" s="3"/>
      <c r="AB292" s="35">
        <v>1.89E-3</v>
      </c>
      <c r="AC292" s="3"/>
      <c r="AD292" s="3"/>
      <c r="AE292" s="3"/>
      <c r="AF292" s="3"/>
      <c r="AG292" s="3"/>
      <c r="AH292" s="3"/>
      <c r="AI292" s="3"/>
      <c r="AJ292" s="3"/>
      <c r="AK292" s="3"/>
      <c r="AL292" s="3"/>
      <c r="AM292" s="3"/>
      <c r="AN292" s="3"/>
      <c r="AO292" s="35">
        <v>0</v>
      </c>
      <c r="AP292" s="14"/>
    </row>
    <row r="293" spans="1:42">
      <c r="A293" s="94" t="s">
        <v>503</v>
      </c>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36">
        <v>0</v>
      </c>
      <c r="AP293" s="16"/>
    </row>
    <row r="294" spans="1:42">
      <c r="A294" s="94" t="s">
        <v>504</v>
      </c>
      <c r="B294" s="3"/>
      <c r="C294" s="3"/>
      <c r="D294" s="3"/>
      <c r="E294" s="3"/>
      <c r="F294" s="35">
        <v>1.0500000000000001E-2</v>
      </c>
      <c r="G294" s="35">
        <v>7.9900000000000006E-3</v>
      </c>
      <c r="H294" s="35">
        <v>1.18E-2</v>
      </c>
      <c r="I294" s="35">
        <v>9.0699999999999999E-3</v>
      </c>
      <c r="J294" s="3"/>
      <c r="K294" s="3"/>
      <c r="L294" s="35">
        <v>1.03E-2</v>
      </c>
      <c r="M294" s="35">
        <v>7.5199999999999998E-3</v>
      </c>
      <c r="N294" s="3"/>
      <c r="O294" s="3"/>
      <c r="P294" s="35">
        <v>1.2E-2</v>
      </c>
      <c r="Q294" s="35">
        <v>5.2500000000000003E-3</v>
      </c>
      <c r="R294" s="35">
        <v>2.0799999999999999E-2</v>
      </c>
      <c r="S294" s="3"/>
      <c r="T294" s="3"/>
      <c r="U294" s="3"/>
      <c r="V294" s="3"/>
      <c r="W294" s="3"/>
      <c r="X294" s="3"/>
      <c r="Y294" s="3"/>
      <c r="Z294" s="3"/>
      <c r="AA294" s="3"/>
      <c r="AB294" s="35">
        <v>1.61E-2</v>
      </c>
      <c r="AC294" s="35">
        <v>2.8299999999999999E-2</v>
      </c>
      <c r="AD294" s="3"/>
      <c r="AE294" s="3"/>
      <c r="AF294" s="3"/>
      <c r="AG294" s="3"/>
      <c r="AH294" s="35">
        <v>5.4000000000000003E-3</v>
      </c>
      <c r="AI294" s="35">
        <v>1.21E-2</v>
      </c>
      <c r="AJ294" s="35">
        <v>1.26E-2</v>
      </c>
      <c r="AK294" s="35">
        <v>7.1399999999999996E-3</v>
      </c>
      <c r="AL294" s="3"/>
      <c r="AM294" s="3"/>
      <c r="AN294" s="35">
        <v>9.3100000000000006E-3</v>
      </c>
      <c r="AO294" s="35">
        <v>3.5899999999999999E-3</v>
      </c>
      <c r="AP294" s="45">
        <v>38.6</v>
      </c>
    </row>
    <row r="295" spans="1:42">
      <c r="A295" s="94" t="s">
        <v>505</v>
      </c>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36">
        <v>0</v>
      </c>
      <c r="AP295" s="16"/>
    </row>
    <row r="296" spans="1:42">
      <c r="A296" s="94" t="s">
        <v>506</v>
      </c>
      <c r="B296" s="35">
        <v>5.4699999999999999E-2</v>
      </c>
      <c r="C296" s="35">
        <v>0.13600000000000001</v>
      </c>
      <c r="D296" s="35">
        <v>0.128</v>
      </c>
      <c r="E296" s="35">
        <v>0.191</v>
      </c>
      <c r="F296" s="35">
        <v>0.76900000000000002</v>
      </c>
      <c r="G296" s="35">
        <v>5.28E-2</v>
      </c>
      <c r="H296" s="35">
        <v>0.17899999999999999</v>
      </c>
      <c r="I296" s="35">
        <v>0.104</v>
      </c>
      <c r="J296" s="35">
        <v>0.27700000000000002</v>
      </c>
      <c r="K296" s="35">
        <v>0.28599999999999998</v>
      </c>
      <c r="L296" s="35">
        <v>0.27300000000000002</v>
      </c>
      <c r="M296" s="35">
        <v>7.8700000000000006E-2</v>
      </c>
      <c r="N296" s="35">
        <v>8.3699999999999997E-2</v>
      </c>
      <c r="O296" s="35">
        <v>0.182</v>
      </c>
      <c r="P296" s="35">
        <v>0.224</v>
      </c>
      <c r="Q296" s="35">
        <v>0.19700000000000001</v>
      </c>
      <c r="R296" s="35">
        <v>0.188</v>
      </c>
      <c r="S296" s="35">
        <v>7.5600000000000001E-2</v>
      </c>
      <c r="T296" s="35">
        <v>5.3100000000000001E-2</v>
      </c>
      <c r="U296" s="35">
        <v>6.0999999999999999E-2</v>
      </c>
      <c r="V296" s="35">
        <v>0.11700000000000001</v>
      </c>
      <c r="W296" s="35">
        <v>0.20699999999999999</v>
      </c>
      <c r="X296" s="35">
        <v>0.111</v>
      </c>
      <c r="Y296" s="35">
        <v>0.26600000000000001</v>
      </c>
      <c r="Z296" s="35">
        <v>0.14000000000000001</v>
      </c>
      <c r="AA296" s="3"/>
      <c r="AB296" s="35">
        <v>0.115</v>
      </c>
      <c r="AC296" s="35">
        <v>0.32800000000000001</v>
      </c>
      <c r="AD296" s="35">
        <v>0.107</v>
      </c>
      <c r="AE296" s="35">
        <v>0.61</v>
      </c>
      <c r="AF296" s="3"/>
      <c r="AG296" s="3"/>
      <c r="AH296" s="3"/>
      <c r="AI296" s="35">
        <v>8.7599999999999997E-2</v>
      </c>
      <c r="AJ296" s="35">
        <v>0.26500000000000001</v>
      </c>
      <c r="AK296" s="35">
        <v>0.45100000000000001</v>
      </c>
      <c r="AL296" s="35">
        <v>8.48E-2</v>
      </c>
      <c r="AM296" s="3"/>
      <c r="AN296" s="35">
        <v>0.222</v>
      </c>
      <c r="AO296" s="35">
        <v>0.17399999999999999</v>
      </c>
      <c r="AP296" s="45">
        <v>78.5</v>
      </c>
    </row>
    <row r="297" spans="1:42">
      <c r="A297" s="94" t="s">
        <v>507</v>
      </c>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36">
        <v>0</v>
      </c>
      <c r="AP297" s="16"/>
    </row>
    <row r="298" spans="1:42">
      <c r="A298" s="94" t="s">
        <v>508</v>
      </c>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5">
        <v>0</v>
      </c>
      <c r="AP298" s="14"/>
    </row>
    <row r="299" spans="1:42">
      <c r="A299" s="94" t="s">
        <v>509</v>
      </c>
      <c r="B299" s="5"/>
      <c r="C299" s="5"/>
      <c r="D299" s="5"/>
      <c r="E299" s="5"/>
      <c r="F299" s="5"/>
      <c r="G299" s="5"/>
      <c r="H299" s="5"/>
      <c r="I299" s="5"/>
      <c r="J299" s="5"/>
      <c r="K299" s="5"/>
      <c r="L299" s="5"/>
      <c r="M299" s="5"/>
      <c r="N299" s="5"/>
      <c r="O299" s="5"/>
      <c r="P299" s="5"/>
      <c r="Q299" s="5"/>
      <c r="R299" s="5"/>
      <c r="S299" s="5"/>
      <c r="T299" s="5"/>
      <c r="U299" s="5"/>
      <c r="V299" s="5"/>
      <c r="W299" s="36">
        <v>2.3400000000000001E-3</v>
      </c>
      <c r="X299" s="5"/>
      <c r="Y299" s="5"/>
      <c r="Z299" s="5"/>
      <c r="AA299" s="5"/>
      <c r="AB299" s="36">
        <v>3.7399999999999998E-3</v>
      </c>
      <c r="AC299" s="5"/>
      <c r="AD299" s="5"/>
      <c r="AE299" s="5"/>
      <c r="AF299" s="5"/>
      <c r="AG299" s="5"/>
      <c r="AH299" s="5"/>
      <c r="AI299" s="5"/>
      <c r="AJ299" s="5"/>
      <c r="AK299" s="5"/>
      <c r="AL299" s="5"/>
      <c r="AM299" s="5"/>
      <c r="AN299" s="5"/>
      <c r="AO299" s="36">
        <v>0</v>
      </c>
      <c r="AP299" s="16"/>
    </row>
    <row r="300" spans="1:42">
      <c r="A300" s="94" t="s">
        <v>510</v>
      </c>
      <c r="B300" s="3"/>
      <c r="C300" s="3"/>
      <c r="D300" s="3"/>
      <c r="E300" s="3"/>
      <c r="F300" s="3"/>
      <c r="G300" s="3"/>
      <c r="H300" s="3"/>
      <c r="I300" s="3"/>
      <c r="J300" s="3"/>
      <c r="K300" s="3"/>
      <c r="L300" s="35">
        <v>4.9699999999999996E-3</v>
      </c>
      <c r="M300" s="3"/>
      <c r="N300" s="3"/>
      <c r="O300" s="3"/>
      <c r="P300" s="3"/>
      <c r="Q300" s="3"/>
      <c r="R300" s="3"/>
      <c r="S300" s="3"/>
      <c r="T300" s="3"/>
      <c r="U300" s="3"/>
      <c r="V300" s="3"/>
      <c r="W300" s="35">
        <v>3.3999999999999998E-3</v>
      </c>
      <c r="X300" s="3"/>
      <c r="Y300" s="3"/>
      <c r="Z300" s="3"/>
      <c r="AA300" s="3"/>
      <c r="AB300" s="35">
        <v>4.0800000000000003E-3</v>
      </c>
      <c r="AC300" s="3"/>
      <c r="AD300" s="3"/>
      <c r="AE300" s="3"/>
      <c r="AF300" s="3"/>
      <c r="AG300" s="3"/>
      <c r="AH300" s="3"/>
      <c r="AI300" s="3"/>
      <c r="AJ300" s="35">
        <v>6.0499999999999998E-3</v>
      </c>
      <c r="AK300" s="3"/>
      <c r="AL300" s="3"/>
      <c r="AM300" s="3"/>
      <c r="AN300" s="35">
        <v>6.0499999999999998E-3</v>
      </c>
      <c r="AO300" s="3"/>
      <c r="AP300" s="45">
        <v>0</v>
      </c>
    </row>
    <row r="301" spans="1:42">
      <c r="A301" s="94" t="s">
        <v>511</v>
      </c>
      <c r="B301" s="5"/>
      <c r="C301" s="5"/>
      <c r="D301" s="5"/>
      <c r="E301" s="5"/>
      <c r="F301" s="5"/>
      <c r="G301" s="5"/>
      <c r="H301" s="5"/>
      <c r="I301" s="5"/>
      <c r="J301" s="5"/>
      <c r="K301" s="5"/>
      <c r="L301" s="5"/>
      <c r="M301" s="5"/>
      <c r="N301" s="5"/>
      <c r="O301" s="5"/>
      <c r="P301" s="5"/>
      <c r="Q301" s="5"/>
      <c r="R301" s="5"/>
      <c r="S301" s="5"/>
      <c r="T301" s="5"/>
      <c r="U301" s="5"/>
      <c r="V301" s="5"/>
      <c r="W301" s="36">
        <v>1.9499999999999999E-3</v>
      </c>
      <c r="X301" s="5"/>
      <c r="Y301" s="5"/>
      <c r="Z301" s="5"/>
      <c r="AA301" s="5"/>
      <c r="AB301" s="5"/>
      <c r="AC301" s="5"/>
      <c r="AD301" s="5"/>
      <c r="AE301" s="5"/>
      <c r="AF301" s="5"/>
      <c r="AG301" s="5"/>
      <c r="AH301" s="5"/>
      <c r="AI301" s="5"/>
      <c r="AJ301" s="5"/>
      <c r="AK301" s="5"/>
      <c r="AL301" s="5"/>
      <c r="AM301" s="5"/>
      <c r="AN301" s="5"/>
      <c r="AO301" s="36">
        <v>0</v>
      </c>
      <c r="AP301" s="16"/>
    </row>
    <row r="302" spans="1:42">
      <c r="A302" s="94" t="s">
        <v>512</v>
      </c>
      <c r="B302" s="3"/>
      <c r="C302" s="3"/>
      <c r="D302" s="3"/>
      <c r="E302" s="3"/>
      <c r="F302" s="3"/>
      <c r="G302" s="3"/>
      <c r="H302" s="3"/>
      <c r="I302" s="3"/>
      <c r="J302" s="3"/>
      <c r="K302" s="3"/>
      <c r="L302" s="35">
        <v>1.98E-3</v>
      </c>
      <c r="M302" s="3"/>
      <c r="N302" s="3"/>
      <c r="O302" s="3"/>
      <c r="P302" s="3"/>
      <c r="Q302" s="3"/>
      <c r="R302" s="3"/>
      <c r="S302" s="3"/>
      <c r="T302" s="3"/>
      <c r="U302" s="3"/>
      <c r="V302" s="3"/>
      <c r="W302" s="35">
        <v>2.48E-3</v>
      </c>
      <c r="X302" s="3"/>
      <c r="Y302" s="3"/>
      <c r="Z302" s="3"/>
      <c r="AA302" s="3"/>
      <c r="AB302" s="35">
        <v>2.4299999999999999E-3</v>
      </c>
      <c r="AC302" s="3"/>
      <c r="AD302" s="3"/>
      <c r="AE302" s="3"/>
      <c r="AF302" s="3"/>
      <c r="AG302" s="3"/>
      <c r="AH302" s="3"/>
      <c r="AI302" s="3"/>
      <c r="AJ302" s="35">
        <v>1.6999999999999999E-3</v>
      </c>
      <c r="AK302" s="3"/>
      <c r="AL302" s="3"/>
      <c r="AM302" s="3"/>
      <c r="AN302" s="35">
        <v>1.6999999999999999E-3</v>
      </c>
      <c r="AO302" s="3"/>
      <c r="AP302" s="45">
        <v>0</v>
      </c>
    </row>
    <row r="303" spans="1:42">
      <c r="A303" s="94" t="s">
        <v>513</v>
      </c>
      <c r="B303" s="5"/>
      <c r="C303" s="36">
        <v>6.8100000000000001E-3</v>
      </c>
      <c r="D303" s="5"/>
      <c r="E303" s="5"/>
      <c r="F303" s="5"/>
      <c r="G303" s="5"/>
      <c r="H303" s="36">
        <v>5.3600000000000002E-3</v>
      </c>
      <c r="I303" s="36">
        <v>3.14E-3</v>
      </c>
      <c r="J303" s="5"/>
      <c r="K303" s="5"/>
      <c r="L303" s="36">
        <v>6.1700000000000001E-3</v>
      </c>
      <c r="M303" s="5"/>
      <c r="N303" s="5"/>
      <c r="O303" s="5"/>
      <c r="P303" s="5"/>
      <c r="Q303" s="5"/>
      <c r="R303" s="5"/>
      <c r="S303" s="5"/>
      <c r="T303" s="5"/>
      <c r="U303" s="5"/>
      <c r="V303" s="5"/>
      <c r="W303" s="36">
        <v>5.2900000000000004E-3</v>
      </c>
      <c r="X303" s="5"/>
      <c r="Y303" s="5"/>
      <c r="Z303" s="5"/>
      <c r="AA303" s="5"/>
      <c r="AB303" s="36">
        <v>8.9200000000000008E-3</v>
      </c>
      <c r="AC303" s="36">
        <v>5.47E-3</v>
      </c>
      <c r="AD303" s="5"/>
      <c r="AE303" s="5"/>
      <c r="AF303" s="5"/>
      <c r="AG303" s="5"/>
      <c r="AH303" s="5"/>
      <c r="AI303" s="5"/>
      <c r="AJ303" s="36">
        <v>5.5999999999999999E-3</v>
      </c>
      <c r="AK303" s="5"/>
      <c r="AL303" s="5"/>
      <c r="AM303" s="5"/>
      <c r="AN303" s="36">
        <v>5.5999999999999999E-3</v>
      </c>
      <c r="AO303" s="5"/>
      <c r="AP303" s="46">
        <v>0</v>
      </c>
    </row>
    <row r="304" spans="1:42">
      <c r="A304" s="94" t="s">
        <v>514</v>
      </c>
      <c r="B304" s="3"/>
      <c r="C304" s="35">
        <v>4.1099999999999999E-3</v>
      </c>
      <c r="D304" s="35">
        <v>2.7399999999999998E-3</v>
      </c>
      <c r="E304" s="3"/>
      <c r="F304" s="3"/>
      <c r="G304" s="3"/>
      <c r="H304" s="3"/>
      <c r="I304" s="35">
        <v>1.6999999999999999E-3</v>
      </c>
      <c r="J304" s="3"/>
      <c r="K304" s="3"/>
      <c r="L304" s="35">
        <v>1.7600000000000001E-3</v>
      </c>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5">
        <v>0</v>
      </c>
      <c r="AP304" s="14"/>
    </row>
    <row r="305" spans="1:42">
      <c r="A305" s="94" t="s">
        <v>515</v>
      </c>
      <c r="B305" s="5"/>
      <c r="C305" s="5"/>
      <c r="D305" s="36">
        <v>1.6899999999999998E-2</v>
      </c>
      <c r="E305" s="5"/>
      <c r="F305" s="5"/>
      <c r="G305" s="5"/>
      <c r="H305" s="36">
        <v>1.2699999999999999E-2</v>
      </c>
      <c r="I305" s="36">
        <v>1.41E-2</v>
      </c>
      <c r="J305" s="5"/>
      <c r="K305" s="5"/>
      <c r="L305" s="36">
        <v>8.5900000000000004E-3</v>
      </c>
      <c r="M305" s="5"/>
      <c r="N305" s="5"/>
      <c r="O305" s="5"/>
      <c r="P305" s="5"/>
      <c r="Q305" s="5"/>
      <c r="R305" s="5"/>
      <c r="S305" s="5"/>
      <c r="T305" s="5"/>
      <c r="U305" s="5"/>
      <c r="V305" s="5"/>
      <c r="W305" s="5"/>
      <c r="X305" s="5"/>
      <c r="Y305" s="5"/>
      <c r="Z305" s="5"/>
      <c r="AA305" s="5"/>
      <c r="AB305" s="36">
        <v>1.1299999999999999E-2</v>
      </c>
      <c r="AC305" s="5"/>
      <c r="AD305" s="5"/>
      <c r="AE305" s="5"/>
      <c r="AF305" s="5"/>
      <c r="AG305" s="5"/>
      <c r="AH305" s="5"/>
      <c r="AI305" s="5"/>
      <c r="AJ305" s="36">
        <v>6.2599999999999999E-3</v>
      </c>
      <c r="AK305" s="5"/>
      <c r="AL305" s="5"/>
      <c r="AM305" s="5"/>
      <c r="AN305" s="36">
        <v>6.2599999999999999E-3</v>
      </c>
      <c r="AO305" s="5"/>
      <c r="AP305" s="46">
        <v>0</v>
      </c>
    </row>
    <row r="306" spans="1:42">
      <c r="A306" s="94" t="s">
        <v>516</v>
      </c>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5">
        <v>0</v>
      </c>
      <c r="AP306" s="14"/>
    </row>
    <row r="307" spans="1:42">
      <c r="A307" s="94" t="s">
        <v>517</v>
      </c>
      <c r="B307" s="5"/>
      <c r="C307" s="36">
        <v>4.0499999999999998E-3</v>
      </c>
      <c r="D307" s="36">
        <v>3.0799999999999998E-3</v>
      </c>
      <c r="E307" s="5"/>
      <c r="F307" s="5"/>
      <c r="G307" s="5"/>
      <c r="H307" s="5"/>
      <c r="I307" s="5"/>
      <c r="J307" s="5"/>
      <c r="K307" s="5"/>
      <c r="L307" s="36">
        <v>3.5000000000000001E-3</v>
      </c>
      <c r="M307" s="5"/>
      <c r="N307" s="5"/>
      <c r="O307" s="5"/>
      <c r="P307" s="5"/>
      <c r="Q307" s="5"/>
      <c r="R307" s="5"/>
      <c r="S307" s="5"/>
      <c r="T307" s="5"/>
      <c r="U307" s="5"/>
      <c r="V307" s="5"/>
      <c r="W307" s="36">
        <v>3.0799999999999998E-3</v>
      </c>
      <c r="X307" s="5"/>
      <c r="Y307" s="5"/>
      <c r="Z307" s="5"/>
      <c r="AA307" s="5"/>
      <c r="AB307" s="36">
        <v>3.7699999999999999E-3</v>
      </c>
      <c r="AC307" s="36">
        <v>2.5400000000000002E-3</v>
      </c>
      <c r="AD307" s="5"/>
      <c r="AE307" s="5"/>
      <c r="AF307" s="5"/>
      <c r="AG307" s="5"/>
      <c r="AH307" s="5"/>
      <c r="AI307" s="5"/>
      <c r="AJ307" s="36">
        <v>2.5799999999999998E-3</v>
      </c>
      <c r="AK307" s="5"/>
      <c r="AL307" s="5"/>
      <c r="AM307" s="5"/>
      <c r="AN307" s="36">
        <v>2.5799999999999998E-3</v>
      </c>
      <c r="AO307" s="5"/>
      <c r="AP307" s="46">
        <v>0</v>
      </c>
    </row>
    <row r="308" spans="1:42">
      <c r="A308" s="94" t="s">
        <v>518</v>
      </c>
      <c r="B308" s="3"/>
      <c r="C308" s="35">
        <v>1.7899999999999999E-2</v>
      </c>
      <c r="D308" s="35">
        <v>1.2999999999999999E-2</v>
      </c>
      <c r="E308" s="3"/>
      <c r="F308" s="3"/>
      <c r="G308" s="3"/>
      <c r="H308" s="35">
        <v>8.8900000000000003E-3</v>
      </c>
      <c r="I308" s="35">
        <v>9.9399999999999992E-3</v>
      </c>
      <c r="J308" s="3"/>
      <c r="K308" s="3"/>
      <c r="L308" s="35">
        <v>1.29E-2</v>
      </c>
      <c r="M308" s="3"/>
      <c r="N308" s="3"/>
      <c r="O308" s="3"/>
      <c r="P308" s="3"/>
      <c r="Q308" s="3"/>
      <c r="R308" s="3"/>
      <c r="S308" s="3"/>
      <c r="T308" s="3"/>
      <c r="U308" s="3"/>
      <c r="V308" s="3"/>
      <c r="W308" s="35">
        <v>3.0999999999999999E-3</v>
      </c>
      <c r="X308" s="3"/>
      <c r="Y308" s="3"/>
      <c r="Z308" s="3"/>
      <c r="AA308" s="3"/>
      <c r="AB308" s="35">
        <v>6.4799999999999996E-3</v>
      </c>
      <c r="AC308" s="35">
        <v>3.4299999999999999E-3</v>
      </c>
      <c r="AD308" s="35">
        <v>1.8699999999999999E-3</v>
      </c>
      <c r="AE308" s="3"/>
      <c r="AF308" s="3"/>
      <c r="AG308" s="3"/>
      <c r="AH308" s="3"/>
      <c r="AI308" s="3"/>
      <c r="AJ308" s="35">
        <v>8.7200000000000003E-3</v>
      </c>
      <c r="AK308" s="3"/>
      <c r="AL308" s="3"/>
      <c r="AM308" s="3"/>
      <c r="AN308" s="35">
        <v>8.7200000000000003E-3</v>
      </c>
      <c r="AO308" s="3"/>
      <c r="AP308" s="45">
        <v>0</v>
      </c>
    </row>
    <row r="309" spans="1:42">
      <c r="A309" s="94" t="s">
        <v>519</v>
      </c>
      <c r="B309" s="5"/>
      <c r="C309" s="5"/>
      <c r="D309" s="5"/>
      <c r="E309" s="36">
        <v>0.115</v>
      </c>
      <c r="F309" s="36">
        <v>0.21099999999999999</v>
      </c>
      <c r="G309" s="36">
        <v>7.8799999999999995E-2</v>
      </c>
      <c r="H309" s="5"/>
      <c r="I309" s="5"/>
      <c r="J309" s="5"/>
      <c r="K309" s="36">
        <v>9.6600000000000005E-2</v>
      </c>
      <c r="L309" s="5"/>
      <c r="M309" s="5"/>
      <c r="N309" s="5"/>
      <c r="O309" s="5"/>
      <c r="P309" s="5"/>
      <c r="Q309" s="36">
        <v>0.14299999999999999</v>
      </c>
      <c r="R309" s="36">
        <v>0.17299999999999999</v>
      </c>
      <c r="S309" s="5"/>
      <c r="T309" s="5"/>
      <c r="U309" s="5"/>
      <c r="V309" s="5"/>
      <c r="W309" s="5"/>
      <c r="X309" s="5"/>
      <c r="Y309" s="5"/>
      <c r="Z309" s="5"/>
      <c r="AA309" s="5"/>
      <c r="AB309" s="36">
        <v>0.14299999999999999</v>
      </c>
      <c r="AC309" s="36">
        <v>0.19600000000000001</v>
      </c>
      <c r="AD309" s="36">
        <v>0.13400000000000001</v>
      </c>
      <c r="AE309" s="36">
        <v>0.17</v>
      </c>
      <c r="AF309" s="5"/>
      <c r="AG309" s="5"/>
      <c r="AH309" s="5"/>
      <c r="AI309" s="5"/>
      <c r="AJ309" s="5"/>
      <c r="AK309" s="36">
        <v>0.14499999999999999</v>
      </c>
      <c r="AL309" s="36">
        <v>0.115</v>
      </c>
      <c r="AM309" s="5"/>
      <c r="AN309" s="36">
        <v>0.13</v>
      </c>
      <c r="AO309" s="36">
        <v>2.1499999999999998E-2</v>
      </c>
      <c r="AP309" s="46">
        <v>16.5</v>
      </c>
    </row>
    <row r="310" spans="1:42">
      <c r="A310" s="94" t="s">
        <v>520</v>
      </c>
      <c r="B310" s="35">
        <v>6.5799999999999999E-3</v>
      </c>
      <c r="C310" s="35">
        <v>3.1300000000000001E-2</v>
      </c>
      <c r="D310" s="35">
        <v>2.98E-2</v>
      </c>
      <c r="E310" s="3"/>
      <c r="F310" s="3"/>
      <c r="G310" s="3"/>
      <c r="H310" s="35">
        <v>2.53E-2</v>
      </c>
      <c r="I310" s="35">
        <v>1.5800000000000002E-2</v>
      </c>
      <c r="J310" s="35">
        <v>2.64E-2</v>
      </c>
      <c r="K310" s="3"/>
      <c r="L310" s="35">
        <v>4.1599999999999998E-2</v>
      </c>
      <c r="M310" s="3"/>
      <c r="N310" s="35">
        <v>1.14E-2</v>
      </c>
      <c r="O310" s="35">
        <v>2.9000000000000001E-2</v>
      </c>
      <c r="P310" s="35">
        <v>3.3700000000000001E-2</v>
      </c>
      <c r="Q310" s="3"/>
      <c r="R310" s="3"/>
      <c r="S310" s="3"/>
      <c r="T310" s="35">
        <v>4.7899999999999998E-2</v>
      </c>
      <c r="U310" s="3"/>
      <c r="V310" s="3"/>
      <c r="W310" s="35">
        <v>1.21E-2</v>
      </c>
      <c r="X310" s="35">
        <v>0.11799999999999999</v>
      </c>
      <c r="Y310" s="35">
        <v>3.4000000000000002E-2</v>
      </c>
      <c r="Z310" s="3"/>
      <c r="AA310" s="3"/>
      <c r="AB310" s="3"/>
      <c r="AC310" s="3"/>
      <c r="AD310" s="3"/>
      <c r="AE310" s="3"/>
      <c r="AF310" s="3"/>
      <c r="AG310" s="3"/>
      <c r="AH310" s="3"/>
      <c r="AI310" s="3"/>
      <c r="AJ310" s="35">
        <v>3.3099999999999997E-2</v>
      </c>
      <c r="AK310" s="3"/>
      <c r="AL310" s="3"/>
      <c r="AM310" s="3"/>
      <c r="AN310" s="35">
        <v>3.3099999999999997E-2</v>
      </c>
      <c r="AO310" s="3"/>
      <c r="AP310" s="45">
        <v>0</v>
      </c>
    </row>
    <row r="311" spans="1:42">
      <c r="A311" s="94" t="s">
        <v>521</v>
      </c>
      <c r="B311" s="36">
        <v>8.3900000000000002E-2</v>
      </c>
      <c r="C311" s="36">
        <v>8.5800000000000001E-2</v>
      </c>
      <c r="D311" s="36">
        <v>5.4600000000000003E-2</v>
      </c>
      <c r="E311" s="5"/>
      <c r="F311" s="5"/>
      <c r="G311" s="5"/>
      <c r="H311" s="36">
        <v>0.107</v>
      </c>
      <c r="I311" s="36">
        <v>8.9700000000000002E-2</v>
      </c>
      <c r="J311" s="36">
        <v>9.6699999999999994E-2</v>
      </c>
      <c r="K311" s="5"/>
      <c r="L311" s="36">
        <v>0.113</v>
      </c>
      <c r="M311" s="36">
        <v>0.127</v>
      </c>
      <c r="N311" s="36">
        <v>6.7900000000000002E-2</v>
      </c>
      <c r="O311" s="36">
        <v>0.123</v>
      </c>
      <c r="P311" s="36">
        <v>0.104</v>
      </c>
      <c r="Q311" s="5"/>
      <c r="R311" s="5"/>
      <c r="S311" s="36">
        <v>0.114</v>
      </c>
      <c r="T311" s="36">
        <v>6.8199999999999997E-2</v>
      </c>
      <c r="U311" s="36">
        <v>8.3000000000000004E-2</v>
      </c>
      <c r="V311" s="36">
        <v>0.124</v>
      </c>
      <c r="W311" s="36">
        <v>0.14799999999999999</v>
      </c>
      <c r="X311" s="5"/>
      <c r="Y311" s="36">
        <v>0.11899999999999999</v>
      </c>
      <c r="Z311" s="36">
        <v>0.11700000000000001</v>
      </c>
      <c r="AA311" s="5"/>
      <c r="AB311" s="5"/>
      <c r="AC311" s="5"/>
      <c r="AD311" s="5"/>
      <c r="AE311" s="5"/>
      <c r="AF311" s="5"/>
      <c r="AG311" s="5"/>
      <c r="AH311" s="5"/>
      <c r="AI311" s="36">
        <v>0.107</v>
      </c>
      <c r="AJ311" s="36">
        <v>0.12</v>
      </c>
      <c r="AK311" s="5"/>
      <c r="AL311" s="5"/>
      <c r="AM311" s="5"/>
      <c r="AN311" s="36">
        <v>0.114</v>
      </c>
      <c r="AO311" s="36">
        <v>9.0399999999999994E-3</v>
      </c>
      <c r="AP311" s="46">
        <v>7.96</v>
      </c>
    </row>
    <row r="312" spans="1:42">
      <c r="A312" s="94" t="s">
        <v>522</v>
      </c>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5">
        <v>0</v>
      </c>
      <c r="AP312" s="14"/>
    </row>
    <row r="313" spans="1:42">
      <c r="A313" s="94" t="s">
        <v>523</v>
      </c>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36">
        <v>1.97E-3</v>
      </c>
      <c r="AC313" s="5"/>
      <c r="AD313" s="5"/>
      <c r="AE313" s="5"/>
      <c r="AF313" s="5"/>
      <c r="AG313" s="5"/>
      <c r="AH313" s="5"/>
      <c r="AI313" s="5"/>
      <c r="AJ313" s="5"/>
      <c r="AK313" s="5"/>
      <c r="AL313" s="5"/>
      <c r="AM313" s="5"/>
      <c r="AN313" s="5"/>
      <c r="AO313" s="36">
        <v>0</v>
      </c>
      <c r="AP313" s="16"/>
    </row>
    <row r="314" spans="1:42">
      <c r="A314" s="94" t="s">
        <v>524</v>
      </c>
      <c r="B314" s="35">
        <v>8.1799999999999998E-2</v>
      </c>
      <c r="C314" s="35">
        <v>8.2100000000000006E-2</v>
      </c>
      <c r="D314" s="35">
        <v>4.82E-2</v>
      </c>
      <c r="E314" s="35">
        <v>7.1800000000000003E-2</v>
      </c>
      <c r="F314" s="35">
        <v>0.13100000000000001</v>
      </c>
      <c r="G314" s="35">
        <v>5.0200000000000002E-2</v>
      </c>
      <c r="H314" s="35">
        <v>0.104</v>
      </c>
      <c r="I314" s="35">
        <v>9.4E-2</v>
      </c>
      <c r="J314" s="35">
        <v>0.10199999999999999</v>
      </c>
      <c r="K314" s="35">
        <v>0.16500000000000001</v>
      </c>
      <c r="L314" s="35">
        <v>0.105</v>
      </c>
      <c r="M314" s="35">
        <v>0.111</v>
      </c>
      <c r="N314" s="35">
        <v>7.5800000000000006E-2</v>
      </c>
      <c r="O314" s="35">
        <v>4.8800000000000003E-2</v>
      </c>
      <c r="P314" s="35">
        <v>8.4000000000000005E-2</v>
      </c>
      <c r="Q314" s="35">
        <v>0.17899999999999999</v>
      </c>
      <c r="R314" s="35">
        <v>0.13200000000000001</v>
      </c>
      <c r="S314" s="35">
        <v>0.107</v>
      </c>
      <c r="T314" s="35">
        <v>0.20699999999999999</v>
      </c>
      <c r="U314" s="35">
        <v>7.5700000000000003E-2</v>
      </c>
      <c r="V314" s="35">
        <v>0.13400000000000001</v>
      </c>
      <c r="W314" s="35">
        <v>0.11799999999999999</v>
      </c>
      <c r="X314" s="35">
        <v>8.3699999999999997E-2</v>
      </c>
      <c r="Y314" s="35">
        <v>0.109</v>
      </c>
      <c r="Z314" s="35">
        <v>0.11700000000000001</v>
      </c>
      <c r="AA314" s="3"/>
      <c r="AB314" s="35">
        <v>5.8900000000000001E-2</v>
      </c>
      <c r="AC314" s="35">
        <v>0.16300000000000001</v>
      </c>
      <c r="AD314" s="35">
        <v>0.10100000000000001</v>
      </c>
      <c r="AE314" s="35">
        <v>0.22700000000000001</v>
      </c>
      <c r="AF314" s="3"/>
      <c r="AG314" s="3"/>
      <c r="AH314" s="35">
        <v>7.3800000000000004E-2</v>
      </c>
      <c r="AI314" s="35">
        <v>8.3400000000000002E-2</v>
      </c>
      <c r="AJ314" s="35">
        <v>0.10299999999999999</v>
      </c>
      <c r="AK314" s="35">
        <v>0.216</v>
      </c>
      <c r="AL314" s="35">
        <v>8.43E-2</v>
      </c>
      <c r="AM314" s="3"/>
      <c r="AN314" s="35">
        <v>0.112</v>
      </c>
      <c r="AO314" s="35">
        <v>5.8900000000000001E-2</v>
      </c>
      <c r="AP314" s="45">
        <v>52.6</v>
      </c>
    </row>
    <row r="315" spans="1:42">
      <c r="A315" s="94" t="s">
        <v>525</v>
      </c>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36">
        <v>0</v>
      </c>
      <c r="AP315" s="16"/>
    </row>
    <row r="316" spans="1:42">
      <c r="A316" s="94" t="s">
        <v>526</v>
      </c>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5">
        <v>0</v>
      </c>
      <c r="AP316" s="14"/>
    </row>
    <row r="317" spans="1:42">
      <c r="A317" s="94" t="s">
        <v>527</v>
      </c>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36">
        <v>0</v>
      </c>
      <c r="AP317" s="16"/>
    </row>
    <row r="318" spans="1:42">
      <c r="A318" s="94" t="s">
        <v>528</v>
      </c>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5">
        <v>0</v>
      </c>
      <c r="AP318" s="14"/>
    </row>
    <row r="319" spans="1:42">
      <c r="A319" s="94" t="s">
        <v>529</v>
      </c>
      <c r="B319" s="36">
        <v>8.8300000000000003E-2</v>
      </c>
      <c r="C319" s="36">
        <v>5.8200000000000002E-2</v>
      </c>
      <c r="D319" s="36">
        <v>3.4099999999999998E-2</v>
      </c>
      <c r="E319" s="36">
        <v>3.8100000000000002E-2</v>
      </c>
      <c r="F319" s="36">
        <v>8.5099999999999995E-2</v>
      </c>
      <c r="G319" s="36">
        <v>9.64E-2</v>
      </c>
      <c r="H319" s="36">
        <v>9.3799999999999994E-2</v>
      </c>
      <c r="I319" s="36">
        <v>6.7199999999999996E-2</v>
      </c>
      <c r="J319" s="36">
        <v>9.6600000000000005E-2</v>
      </c>
      <c r="K319" s="36">
        <v>3.5400000000000001E-2</v>
      </c>
      <c r="L319" s="36">
        <v>0.115</v>
      </c>
      <c r="M319" s="36">
        <v>0.13300000000000001</v>
      </c>
      <c r="N319" s="36">
        <v>5.9299999999999999E-2</v>
      </c>
      <c r="O319" s="36">
        <v>9.1300000000000006E-2</v>
      </c>
      <c r="P319" s="36">
        <v>0.114</v>
      </c>
      <c r="Q319" s="36">
        <v>5.3600000000000002E-2</v>
      </c>
      <c r="R319" s="36">
        <v>0.155</v>
      </c>
      <c r="S319" s="36">
        <v>7.5499999999999998E-2</v>
      </c>
      <c r="T319" s="36">
        <v>6.3899999999999998E-2</v>
      </c>
      <c r="U319" s="36">
        <v>7.0400000000000004E-2</v>
      </c>
      <c r="V319" s="36">
        <v>0.13200000000000001</v>
      </c>
      <c r="W319" s="36">
        <v>0.16300000000000001</v>
      </c>
      <c r="X319" s="36">
        <v>0.112</v>
      </c>
      <c r="Y319" s="36">
        <v>0.17</v>
      </c>
      <c r="Z319" s="36">
        <v>0.112</v>
      </c>
      <c r="AA319" s="5"/>
      <c r="AB319" s="36">
        <v>0.128</v>
      </c>
      <c r="AC319" s="36">
        <v>0.19500000000000001</v>
      </c>
      <c r="AD319" s="36">
        <v>0.11</v>
      </c>
      <c r="AE319" s="36">
        <v>4.8399999999999999E-2</v>
      </c>
      <c r="AF319" s="5"/>
      <c r="AG319" s="5"/>
      <c r="AH319" s="36">
        <v>7.4300000000000005E-2</v>
      </c>
      <c r="AI319" s="36">
        <v>9.3899999999999997E-2</v>
      </c>
      <c r="AJ319" s="36">
        <v>0.12</v>
      </c>
      <c r="AK319" s="36">
        <v>8.9599999999999999E-2</v>
      </c>
      <c r="AL319" s="36">
        <v>0.109</v>
      </c>
      <c r="AM319" s="5"/>
      <c r="AN319" s="36">
        <v>9.7199999999999995E-2</v>
      </c>
      <c r="AO319" s="36">
        <v>1.7500000000000002E-2</v>
      </c>
      <c r="AP319" s="46">
        <v>18</v>
      </c>
    </row>
    <row r="320" spans="1:42">
      <c r="A320" s="94" t="s">
        <v>530</v>
      </c>
      <c r="B320" s="35">
        <v>0.192</v>
      </c>
      <c r="C320" s="35">
        <v>0.17299999999999999</v>
      </c>
      <c r="D320" s="35">
        <v>9.4E-2</v>
      </c>
      <c r="E320" s="35">
        <v>0.28899999999999998</v>
      </c>
      <c r="F320" s="35">
        <v>0.58799999999999997</v>
      </c>
      <c r="G320" s="35">
        <v>0.155</v>
      </c>
      <c r="H320" s="35">
        <v>0.30199999999999999</v>
      </c>
      <c r="I320" s="35">
        <v>0.24299999999999999</v>
      </c>
      <c r="J320" s="35">
        <v>0.32200000000000001</v>
      </c>
      <c r="K320" s="35">
        <v>0.44800000000000001</v>
      </c>
      <c r="L320" s="35">
        <v>0.32300000000000001</v>
      </c>
      <c r="M320" s="35">
        <v>0.23899999999999999</v>
      </c>
      <c r="N320" s="35">
        <v>0.19</v>
      </c>
      <c r="O320" s="35">
        <v>0.20399999999999999</v>
      </c>
      <c r="P320" s="35">
        <v>0.26600000000000001</v>
      </c>
      <c r="Q320" s="35">
        <v>0.36</v>
      </c>
      <c r="R320" s="35">
        <v>0.434</v>
      </c>
      <c r="S320" s="35">
        <v>0.24</v>
      </c>
      <c r="T320" s="35">
        <v>0.36399999999999999</v>
      </c>
      <c r="U320" s="35">
        <v>0.20300000000000001</v>
      </c>
      <c r="V320" s="35">
        <v>0.318</v>
      </c>
      <c r="W320" s="35">
        <v>0.371</v>
      </c>
      <c r="X320" s="35">
        <v>0.28799999999999998</v>
      </c>
      <c r="Y320" s="35">
        <v>0.36399999999999999</v>
      </c>
      <c r="Z320" s="35">
        <v>0.372</v>
      </c>
      <c r="AA320" s="3"/>
      <c r="AB320" s="35">
        <v>0.16800000000000001</v>
      </c>
      <c r="AC320" s="35">
        <v>0.46600000000000003</v>
      </c>
      <c r="AD320" s="35">
        <v>0.34799999999999998</v>
      </c>
      <c r="AE320" s="35">
        <v>0.78200000000000003</v>
      </c>
      <c r="AF320" s="3"/>
      <c r="AG320" s="3"/>
      <c r="AH320" s="35">
        <v>0.24099999999999999</v>
      </c>
      <c r="AI320" s="35">
        <v>0.23100000000000001</v>
      </c>
      <c r="AJ320" s="35">
        <v>0.33700000000000002</v>
      </c>
      <c r="AK320" s="35">
        <v>0.57899999999999996</v>
      </c>
      <c r="AL320" s="35">
        <v>0.255</v>
      </c>
      <c r="AM320" s="3"/>
      <c r="AN320" s="35">
        <v>0.32900000000000001</v>
      </c>
      <c r="AO320" s="35">
        <v>0.14599999999999999</v>
      </c>
      <c r="AP320" s="45">
        <v>44.4</v>
      </c>
    </row>
    <row r="321" spans="1:42">
      <c r="A321" s="94" t="s">
        <v>531</v>
      </c>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36">
        <v>0</v>
      </c>
      <c r="AP321" s="16"/>
    </row>
    <row r="322" spans="1:42">
      <c r="A322" s="94" t="s">
        <v>532</v>
      </c>
      <c r="B322" s="3"/>
      <c r="C322" s="3"/>
      <c r="D322" s="3"/>
      <c r="E322" s="3"/>
      <c r="F322" s="3"/>
      <c r="G322" s="3"/>
      <c r="H322" s="3"/>
      <c r="I322" s="3"/>
      <c r="J322" s="3"/>
      <c r="K322" s="3"/>
      <c r="L322" s="3"/>
      <c r="M322" s="3"/>
      <c r="N322" s="3"/>
      <c r="O322" s="3"/>
      <c r="P322" s="3"/>
      <c r="Q322" s="3"/>
      <c r="R322" s="3"/>
      <c r="S322" s="3"/>
      <c r="T322" s="3"/>
      <c r="U322" s="3"/>
      <c r="V322" s="3"/>
      <c r="W322" s="35">
        <v>2.49E-3</v>
      </c>
      <c r="X322" s="3"/>
      <c r="Y322" s="3"/>
      <c r="Z322" s="3"/>
      <c r="AA322" s="3"/>
      <c r="AB322" s="35">
        <v>2.5600000000000002E-3</v>
      </c>
      <c r="AC322" s="35">
        <v>1.0399999999999999E-3</v>
      </c>
      <c r="AD322" s="3"/>
      <c r="AE322" s="3"/>
      <c r="AF322" s="3"/>
      <c r="AG322" s="3"/>
      <c r="AH322" s="3"/>
      <c r="AI322" s="3"/>
      <c r="AJ322" s="3"/>
      <c r="AK322" s="3"/>
      <c r="AL322" s="3"/>
      <c r="AM322" s="3"/>
      <c r="AN322" s="3"/>
      <c r="AO322" s="35">
        <v>0</v>
      </c>
      <c r="AP322" s="14"/>
    </row>
    <row r="323" spans="1:42">
      <c r="A323" s="94" t="s">
        <v>533</v>
      </c>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36">
        <v>0</v>
      </c>
      <c r="AP323" s="16"/>
    </row>
    <row r="324" spans="1:42">
      <c r="A324" s="94" t="s">
        <v>534</v>
      </c>
      <c r="B324" s="35">
        <v>0.126</v>
      </c>
      <c r="C324" s="35">
        <v>7.0999999999999994E-2</v>
      </c>
      <c r="D324" s="35">
        <v>9.4399999999999998E-2</v>
      </c>
      <c r="E324" s="35">
        <v>0.21</v>
      </c>
      <c r="F324" s="35">
        <v>0.16800000000000001</v>
      </c>
      <c r="G324" s="35">
        <v>0.12</v>
      </c>
      <c r="H324" s="35">
        <v>7.5300000000000006E-2</v>
      </c>
      <c r="I324" s="35">
        <v>6.6600000000000006E-2</v>
      </c>
      <c r="J324" s="35">
        <v>4.36E-2</v>
      </c>
      <c r="K324" s="35">
        <v>0.13800000000000001</v>
      </c>
      <c r="L324" s="35">
        <v>8.3500000000000005E-2</v>
      </c>
      <c r="M324" s="35">
        <v>0.16600000000000001</v>
      </c>
      <c r="N324" s="35">
        <v>0.11700000000000001</v>
      </c>
      <c r="O324" s="35">
        <v>8.3799999999999999E-2</v>
      </c>
      <c r="P324" s="35">
        <v>0.16400000000000001</v>
      </c>
      <c r="Q324" s="35">
        <v>0.18</v>
      </c>
      <c r="R324" s="35">
        <v>0.14199999999999999</v>
      </c>
      <c r="S324" s="35">
        <v>6.13E-2</v>
      </c>
      <c r="T324" s="35">
        <v>5.4599999999999996E-3</v>
      </c>
      <c r="U324" s="35">
        <v>3.6999999999999998E-2</v>
      </c>
      <c r="V324" s="35">
        <v>9.0300000000000005E-2</v>
      </c>
      <c r="W324" s="35">
        <v>2.63E-2</v>
      </c>
      <c r="X324" s="35">
        <v>5.11E-2</v>
      </c>
      <c r="Y324" s="35">
        <v>5.6899999999999999E-2</v>
      </c>
      <c r="Z324" s="35">
        <v>4.0500000000000001E-2</v>
      </c>
      <c r="AA324" s="3"/>
      <c r="AB324" s="35">
        <v>0.10199999999999999</v>
      </c>
      <c r="AC324" s="35">
        <v>0.17599999999999999</v>
      </c>
      <c r="AD324" s="35">
        <v>0.20899999999999999</v>
      </c>
      <c r="AE324" s="35">
        <v>0.22700000000000001</v>
      </c>
      <c r="AF324" s="3"/>
      <c r="AG324" s="3"/>
      <c r="AH324" s="35">
        <v>7.4300000000000005E-2</v>
      </c>
      <c r="AI324" s="35">
        <v>0.217</v>
      </c>
      <c r="AJ324" s="35">
        <v>0.10199999999999999</v>
      </c>
      <c r="AK324" s="35">
        <v>0.19900000000000001</v>
      </c>
      <c r="AL324" s="35">
        <v>0.19600000000000001</v>
      </c>
      <c r="AM324" s="3"/>
      <c r="AN324" s="35">
        <v>0.158</v>
      </c>
      <c r="AO324" s="35">
        <v>6.4600000000000005E-2</v>
      </c>
      <c r="AP324" s="45">
        <v>41</v>
      </c>
    </row>
    <row r="325" spans="1:42">
      <c r="A325" s="94" t="s">
        <v>535</v>
      </c>
      <c r="B325" s="5"/>
      <c r="C325" s="36">
        <v>1.5299999999999999E-2</v>
      </c>
      <c r="D325" s="5"/>
      <c r="E325" s="5"/>
      <c r="F325" s="5"/>
      <c r="G325" s="5"/>
      <c r="H325" s="5"/>
      <c r="I325" s="36">
        <v>1.7899999999999999E-2</v>
      </c>
      <c r="J325" s="36">
        <v>3.2800000000000003E-2</v>
      </c>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36">
        <v>0</v>
      </c>
      <c r="AP325" s="16"/>
    </row>
    <row r="326" spans="1:42">
      <c r="A326" s="94" t="s">
        <v>536</v>
      </c>
      <c r="B326" s="35">
        <v>0.18099999999999999</v>
      </c>
      <c r="C326" s="35">
        <v>0.311</v>
      </c>
      <c r="D326" s="35">
        <v>0.41299999999999998</v>
      </c>
      <c r="E326" s="35">
        <v>0.63900000000000001</v>
      </c>
      <c r="F326" s="35">
        <v>0.65500000000000003</v>
      </c>
      <c r="G326" s="35">
        <v>0.35699999999999998</v>
      </c>
      <c r="H326" s="35">
        <v>0.29699999999999999</v>
      </c>
      <c r="I326" s="35">
        <v>0.30099999999999999</v>
      </c>
      <c r="J326" s="35">
        <v>0.191</v>
      </c>
      <c r="K326" s="35">
        <v>0.37</v>
      </c>
      <c r="L326" s="35">
        <v>0.184</v>
      </c>
      <c r="M326" s="35">
        <v>9.9500000000000005E-2</v>
      </c>
      <c r="N326" s="35">
        <v>0.215</v>
      </c>
      <c r="O326" s="35">
        <v>0.109</v>
      </c>
      <c r="P326" s="35">
        <v>0.22800000000000001</v>
      </c>
      <c r="Q326" s="35">
        <v>0.215</v>
      </c>
      <c r="R326" s="35">
        <v>0.19800000000000001</v>
      </c>
      <c r="S326" s="35">
        <v>0.192</v>
      </c>
      <c r="T326" s="35">
        <v>4.0300000000000002E-2</v>
      </c>
      <c r="U326" s="35">
        <v>0.184</v>
      </c>
      <c r="V326" s="35">
        <v>0.25700000000000001</v>
      </c>
      <c r="W326" s="35">
        <v>0.16</v>
      </c>
      <c r="X326" s="35">
        <v>0.254</v>
      </c>
      <c r="Y326" s="35">
        <v>0.25700000000000001</v>
      </c>
      <c r="Z326" s="35">
        <v>0.27300000000000002</v>
      </c>
      <c r="AA326" s="3"/>
      <c r="AB326" s="35">
        <v>0.192</v>
      </c>
      <c r="AC326" s="35">
        <v>0.34499999999999997</v>
      </c>
      <c r="AD326" s="35">
        <v>0.22700000000000001</v>
      </c>
      <c r="AE326" s="35">
        <v>0.29799999999999999</v>
      </c>
      <c r="AF326" s="3"/>
      <c r="AG326" s="3"/>
      <c r="AH326" s="35">
        <v>0.17599999999999999</v>
      </c>
      <c r="AI326" s="35">
        <v>0.30599999999999999</v>
      </c>
      <c r="AJ326" s="35">
        <v>0.27700000000000002</v>
      </c>
      <c r="AK326" s="35">
        <v>0.33600000000000002</v>
      </c>
      <c r="AL326" s="35">
        <v>0.379</v>
      </c>
      <c r="AM326" s="3"/>
      <c r="AN326" s="35">
        <v>0.29499999999999998</v>
      </c>
      <c r="AO326" s="35">
        <v>7.6600000000000001E-2</v>
      </c>
      <c r="AP326" s="45">
        <v>26</v>
      </c>
    </row>
    <row r="327" spans="1:42">
      <c r="A327" s="94" t="s">
        <v>537</v>
      </c>
      <c r="B327" s="5"/>
      <c r="C327" s="5"/>
      <c r="D327" s="5"/>
      <c r="E327" s="5"/>
      <c r="F327" s="5"/>
      <c r="G327" s="5"/>
      <c r="H327" s="5"/>
      <c r="I327" s="5"/>
      <c r="J327" s="5"/>
      <c r="K327" s="5"/>
      <c r="L327" s="5"/>
      <c r="M327" s="5"/>
      <c r="N327" s="5"/>
      <c r="O327" s="5"/>
      <c r="P327" s="5"/>
      <c r="Q327" s="5"/>
      <c r="R327" s="5"/>
      <c r="S327" s="5"/>
      <c r="T327" s="5"/>
      <c r="U327" s="5"/>
      <c r="V327" s="5"/>
      <c r="W327" s="36">
        <v>2.8600000000000001E-3</v>
      </c>
      <c r="X327" s="5"/>
      <c r="Y327" s="5"/>
      <c r="Z327" s="5"/>
      <c r="AA327" s="5"/>
      <c r="AB327" s="5"/>
      <c r="AC327" s="5"/>
      <c r="AD327" s="5"/>
      <c r="AE327" s="5"/>
      <c r="AF327" s="5"/>
      <c r="AG327" s="5"/>
      <c r="AH327" s="5"/>
      <c r="AI327" s="5"/>
      <c r="AJ327" s="5"/>
      <c r="AK327" s="5"/>
      <c r="AL327" s="5"/>
      <c r="AM327" s="5"/>
      <c r="AN327" s="5"/>
      <c r="AO327" s="36">
        <v>0</v>
      </c>
      <c r="AP327" s="16"/>
    </row>
    <row r="328" spans="1:42">
      <c r="A328" s="94" t="s">
        <v>538</v>
      </c>
      <c r="B328" s="3"/>
      <c r="C328" s="35">
        <v>1.3100000000000001E-2</v>
      </c>
      <c r="D328" s="3"/>
      <c r="E328" s="3"/>
      <c r="F328" s="3"/>
      <c r="G328" s="3"/>
      <c r="H328" s="35">
        <v>5.1000000000000004E-3</v>
      </c>
      <c r="I328" s="35">
        <v>6.6800000000000002E-3</v>
      </c>
      <c r="J328" s="3"/>
      <c r="K328" s="3"/>
      <c r="L328" s="35">
        <v>5.5799999999999999E-3</v>
      </c>
      <c r="M328" s="3"/>
      <c r="N328" s="3"/>
      <c r="O328" s="3"/>
      <c r="P328" s="3"/>
      <c r="Q328" s="3"/>
      <c r="R328" s="3"/>
      <c r="S328" s="3"/>
      <c r="T328" s="35">
        <v>1.6799999999999999E-2</v>
      </c>
      <c r="U328" s="35">
        <v>1.0500000000000001E-2</v>
      </c>
      <c r="V328" s="35">
        <v>1.23E-2</v>
      </c>
      <c r="W328" s="3"/>
      <c r="X328" s="3"/>
      <c r="Y328" s="3"/>
      <c r="Z328" s="3"/>
      <c r="AA328" s="3"/>
      <c r="AB328" s="3"/>
      <c r="AC328" s="3"/>
      <c r="AD328" s="3"/>
      <c r="AE328" s="3"/>
      <c r="AF328" s="3"/>
      <c r="AG328" s="3"/>
      <c r="AH328" s="3"/>
      <c r="AI328" s="3"/>
      <c r="AJ328" s="35">
        <v>5.0699999999999999E-3</v>
      </c>
      <c r="AK328" s="3"/>
      <c r="AL328" s="3"/>
      <c r="AM328" s="3"/>
      <c r="AN328" s="35">
        <v>5.0699999999999999E-3</v>
      </c>
      <c r="AO328" s="3"/>
      <c r="AP328" s="45">
        <v>0</v>
      </c>
    </row>
    <row r="329" spans="1:42">
      <c r="A329" s="94" t="s">
        <v>539</v>
      </c>
      <c r="B329" s="5"/>
      <c r="C329" s="5"/>
      <c r="D329" s="5"/>
      <c r="E329" s="5"/>
      <c r="F329" s="5"/>
      <c r="G329" s="5"/>
      <c r="H329" s="5"/>
      <c r="I329" s="5"/>
      <c r="J329" s="5"/>
      <c r="K329" s="5"/>
      <c r="L329" s="5"/>
      <c r="M329" s="5"/>
      <c r="N329" s="36">
        <v>2.81E-3</v>
      </c>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36">
        <v>0</v>
      </c>
      <c r="AP329" s="16"/>
    </row>
    <row r="330" spans="1:42">
      <c r="A330" s="94" t="s">
        <v>540</v>
      </c>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5">
        <v>0</v>
      </c>
      <c r="AP330" s="14"/>
    </row>
    <row r="331" spans="1:42">
      <c r="A331" s="94" t="s">
        <v>541</v>
      </c>
      <c r="B331" s="5"/>
      <c r="C331" s="36">
        <v>2.5700000000000001E-2</v>
      </c>
      <c r="D331" s="36">
        <v>1.4800000000000001E-2</v>
      </c>
      <c r="E331" s="5"/>
      <c r="F331" s="5"/>
      <c r="G331" s="5"/>
      <c r="H331" s="36">
        <v>9.2999999999999992E-3</v>
      </c>
      <c r="I331" s="36">
        <v>1.17E-2</v>
      </c>
      <c r="J331" s="5"/>
      <c r="K331" s="5"/>
      <c r="L331" s="36">
        <v>1.03E-2</v>
      </c>
      <c r="M331" s="5"/>
      <c r="N331" s="5"/>
      <c r="O331" s="5"/>
      <c r="P331" s="5"/>
      <c r="Q331" s="5"/>
      <c r="R331" s="5"/>
      <c r="S331" s="5"/>
      <c r="T331" s="5"/>
      <c r="U331" s="5"/>
      <c r="V331" s="5"/>
      <c r="W331" s="5"/>
      <c r="X331" s="5"/>
      <c r="Y331" s="5"/>
      <c r="Z331" s="5"/>
      <c r="AA331" s="5"/>
      <c r="AB331" s="36">
        <v>1.44E-2</v>
      </c>
      <c r="AC331" s="5"/>
      <c r="AD331" s="5"/>
      <c r="AE331" s="5"/>
      <c r="AF331" s="5"/>
      <c r="AG331" s="5"/>
      <c r="AH331" s="5"/>
      <c r="AI331" s="5"/>
      <c r="AJ331" s="36">
        <v>7.4999999999999997E-3</v>
      </c>
      <c r="AK331" s="5"/>
      <c r="AL331" s="5"/>
      <c r="AM331" s="5"/>
      <c r="AN331" s="36">
        <v>7.4999999999999997E-3</v>
      </c>
      <c r="AO331" s="5"/>
      <c r="AP331" s="46">
        <v>0</v>
      </c>
    </row>
    <row r="332" spans="1:42">
      <c r="A332" s="94" t="s">
        <v>542</v>
      </c>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5">
        <v>2.7100000000000002E-3</v>
      </c>
      <c r="AC332" s="3"/>
      <c r="AD332" s="3"/>
      <c r="AE332" s="3"/>
      <c r="AF332" s="3"/>
      <c r="AG332" s="3"/>
      <c r="AH332" s="3"/>
      <c r="AI332" s="3"/>
      <c r="AJ332" s="3"/>
      <c r="AK332" s="3"/>
      <c r="AL332" s="3"/>
      <c r="AM332" s="3"/>
      <c r="AN332" s="3"/>
      <c r="AO332" s="35">
        <v>0</v>
      </c>
      <c r="AP332" s="14"/>
    </row>
    <row r="333" spans="1:42">
      <c r="A333" s="94" t="s">
        <v>543</v>
      </c>
      <c r="B333" s="5"/>
      <c r="C333" s="36">
        <v>3.1E-2</v>
      </c>
      <c r="D333" s="36">
        <v>3.1899999999999998E-2</v>
      </c>
      <c r="E333" s="36">
        <v>7.0099999999999996E-2</v>
      </c>
      <c r="F333" s="36">
        <v>0.16700000000000001</v>
      </c>
      <c r="G333" s="36">
        <v>2.2200000000000001E-2</v>
      </c>
      <c r="H333" s="36">
        <v>4.3700000000000003E-2</v>
      </c>
      <c r="I333" s="36">
        <v>2.5700000000000001E-2</v>
      </c>
      <c r="J333" s="36">
        <v>4.5400000000000003E-2</v>
      </c>
      <c r="K333" s="36">
        <v>4.65E-2</v>
      </c>
      <c r="L333" s="36">
        <v>8.4199999999999997E-2</v>
      </c>
      <c r="M333" s="5"/>
      <c r="N333" s="5"/>
      <c r="O333" s="5"/>
      <c r="P333" s="5"/>
      <c r="Q333" s="36">
        <v>7.8899999999999998E-2</v>
      </c>
      <c r="R333" s="36">
        <v>0.152</v>
      </c>
      <c r="S333" s="5"/>
      <c r="T333" s="5"/>
      <c r="U333" s="36">
        <v>1.61E-2</v>
      </c>
      <c r="V333" s="36">
        <v>3.4700000000000002E-2</v>
      </c>
      <c r="W333" s="36">
        <v>9.5399999999999999E-2</v>
      </c>
      <c r="X333" s="36">
        <v>4.48E-2</v>
      </c>
      <c r="Y333" s="36">
        <v>7.8299999999999995E-2</v>
      </c>
      <c r="Z333" s="36">
        <v>3.3599999999999998E-2</v>
      </c>
      <c r="AA333" s="5"/>
      <c r="AB333" s="36">
        <v>4.4200000000000003E-2</v>
      </c>
      <c r="AC333" s="36">
        <v>0.16500000000000001</v>
      </c>
      <c r="AD333" s="36">
        <v>3.8399999999999997E-2</v>
      </c>
      <c r="AE333" s="36">
        <v>0.11</v>
      </c>
      <c r="AF333" s="5"/>
      <c r="AG333" s="5"/>
      <c r="AH333" s="5"/>
      <c r="AI333" s="5"/>
      <c r="AJ333" s="36">
        <v>0.09</v>
      </c>
      <c r="AK333" s="36">
        <v>0.13200000000000001</v>
      </c>
      <c r="AL333" s="36">
        <v>4.1200000000000001E-2</v>
      </c>
      <c r="AM333" s="5"/>
      <c r="AN333" s="36">
        <v>8.7599999999999997E-2</v>
      </c>
      <c r="AO333" s="36">
        <v>4.5199999999999997E-2</v>
      </c>
      <c r="AP333" s="46">
        <v>51.6</v>
      </c>
    </row>
    <row r="334" spans="1:42">
      <c r="A334" s="94" t="s">
        <v>544</v>
      </c>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5">
        <v>0</v>
      </c>
      <c r="AP334" s="14"/>
    </row>
    <row r="335" spans="1:42">
      <c r="A335" s="94" t="s">
        <v>545</v>
      </c>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36">
        <v>2.0100000000000001E-3</v>
      </c>
      <c r="AC335" s="5"/>
      <c r="AD335" s="5"/>
      <c r="AE335" s="5"/>
      <c r="AF335" s="5"/>
      <c r="AG335" s="5"/>
      <c r="AH335" s="5"/>
      <c r="AI335" s="5"/>
      <c r="AJ335" s="5"/>
      <c r="AK335" s="5"/>
      <c r="AL335" s="5"/>
      <c r="AM335" s="5"/>
      <c r="AN335" s="5"/>
      <c r="AO335" s="36">
        <v>0</v>
      </c>
      <c r="AP335" s="16"/>
    </row>
    <row r="336" spans="1:42">
      <c r="A336" s="94" t="s">
        <v>546</v>
      </c>
      <c r="B336" s="35">
        <v>5.4400000000000004E-3</v>
      </c>
      <c r="C336" s="35">
        <v>3.5000000000000001E-3</v>
      </c>
      <c r="D336" s="3"/>
      <c r="E336" s="3"/>
      <c r="F336" s="3"/>
      <c r="G336" s="3"/>
      <c r="H336" s="35">
        <v>2.2300000000000002E-3</v>
      </c>
      <c r="I336" s="35">
        <v>2.32E-3</v>
      </c>
      <c r="J336" s="35">
        <v>1.8400000000000001E-3</v>
      </c>
      <c r="K336" s="3"/>
      <c r="L336" s="35">
        <v>3.1199999999999999E-3</v>
      </c>
      <c r="M336" s="35">
        <v>6.4799999999999996E-3</v>
      </c>
      <c r="N336" s="35">
        <v>1.2700000000000001E-3</v>
      </c>
      <c r="O336" s="35">
        <v>7.3200000000000001E-4</v>
      </c>
      <c r="P336" s="35">
        <v>2.7299999999999998E-3</v>
      </c>
      <c r="Q336" s="3"/>
      <c r="R336" s="35">
        <v>4.1399999999999996E-3</v>
      </c>
      <c r="S336" s="35">
        <v>2.0999999999999999E-3</v>
      </c>
      <c r="T336" s="3"/>
      <c r="U336" s="35">
        <v>1.6900000000000001E-3</v>
      </c>
      <c r="V336" s="35">
        <v>2.8800000000000002E-3</v>
      </c>
      <c r="W336" s="35">
        <v>6.4700000000000001E-3</v>
      </c>
      <c r="X336" s="35">
        <v>4.0400000000000002E-3</v>
      </c>
      <c r="Y336" s="35">
        <v>5.7400000000000003E-3</v>
      </c>
      <c r="Z336" s="35">
        <v>5.8700000000000002E-3</v>
      </c>
      <c r="AA336" s="3"/>
      <c r="AB336" s="3"/>
      <c r="AC336" s="35">
        <v>1.72E-3</v>
      </c>
      <c r="AD336" s="3"/>
      <c r="AE336" s="35">
        <v>8.2100000000000003E-3</v>
      </c>
      <c r="AF336" s="3"/>
      <c r="AG336" s="3"/>
      <c r="AH336" s="3"/>
      <c r="AI336" s="35">
        <v>2.7799999999999999E-3</v>
      </c>
      <c r="AJ336" s="35">
        <v>1.5499999999999999E-3</v>
      </c>
      <c r="AK336" s="3"/>
      <c r="AL336" s="35">
        <v>2.6199999999999999E-3</v>
      </c>
      <c r="AM336" s="3"/>
      <c r="AN336" s="35">
        <v>2.31E-3</v>
      </c>
      <c r="AO336" s="35">
        <v>6.69E-4</v>
      </c>
      <c r="AP336" s="45">
        <v>28.9</v>
      </c>
    </row>
    <row r="337" spans="1:42">
      <c r="A337" s="94" t="s">
        <v>547</v>
      </c>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36">
        <v>2.63E-3</v>
      </c>
      <c r="AC337" s="5"/>
      <c r="AD337" s="5"/>
      <c r="AE337" s="5"/>
      <c r="AF337" s="5"/>
      <c r="AG337" s="5"/>
      <c r="AH337" s="5"/>
      <c r="AI337" s="5"/>
      <c r="AJ337" s="5"/>
      <c r="AK337" s="5"/>
      <c r="AL337" s="5"/>
      <c r="AM337" s="5"/>
      <c r="AN337" s="5"/>
      <c r="AO337" s="36">
        <v>0</v>
      </c>
      <c r="AP337" s="16"/>
    </row>
    <row r="338" spans="1:42">
      <c r="A338" s="94" t="s">
        <v>548</v>
      </c>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5">
        <v>0</v>
      </c>
      <c r="AP338" s="14"/>
    </row>
    <row r="339" spans="1:42">
      <c r="A339" s="94" t="s">
        <v>549</v>
      </c>
      <c r="B339" s="5"/>
      <c r="C339" s="5"/>
      <c r="D339" s="36">
        <v>3.3400000000000001E-3</v>
      </c>
      <c r="E339" s="5"/>
      <c r="F339" s="5"/>
      <c r="G339" s="5"/>
      <c r="H339" s="36">
        <v>4.3400000000000001E-3</v>
      </c>
      <c r="I339" s="36">
        <v>2.65E-3</v>
      </c>
      <c r="J339" s="36">
        <v>2.0799999999999998E-3</v>
      </c>
      <c r="K339" s="5"/>
      <c r="L339" s="36">
        <v>3.7599999999999999E-3</v>
      </c>
      <c r="M339" s="5"/>
      <c r="N339" s="5"/>
      <c r="O339" s="5"/>
      <c r="P339" s="5"/>
      <c r="Q339" s="5"/>
      <c r="R339" s="5"/>
      <c r="S339" s="5"/>
      <c r="T339" s="5"/>
      <c r="U339" s="5"/>
      <c r="V339" s="5"/>
      <c r="W339" s="36">
        <v>3.4199999999999999E-3</v>
      </c>
      <c r="X339" s="5"/>
      <c r="Y339" s="5"/>
      <c r="Z339" s="5"/>
      <c r="AA339" s="5"/>
      <c r="AB339" s="5"/>
      <c r="AC339" s="36">
        <v>1.91E-3</v>
      </c>
      <c r="AD339" s="36">
        <v>1.42E-3</v>
      </c>
      <c r="AE339" s="36">
        <v>7.9299999999999995E-3</v>
      </c>
      <c r="AF339" s="5"/>
      <c r="AG339" s="5"/>
      <c r="AH339" s="5"/>
      <c r="AI339" s="5"/>
      <c r="AJ339" s="36">
        <v>2.3E-3</v>
      </c>
      <c r="AK339" s="5"/>
      <c r="AL339" s="5"/>
      <c r="AM339" s="5"/>
      <c r="AN339" s="36">
        <v>2.3E-3</v>
      </c>
      <c r="AO339" s="5"/>
      <c r="AP339" s="46">
        <v>0</v>
      </c>
    </row>
    <row r="340" spans="1:42">
      <c r="A340" s="94" t="s">
        <v>550</v>
      </c>
      <c r="B340" s="3"/>
      <c r="C340" s="35">
        <v>5.4599999999999996E-3</v>
      </c>
      <c r="D340" s="35">
        <v>3.3600000000000001E-3</v>
      </c>
      <c r="E340" s="3"/>
      <c r="F340" s="3"/>
      <c r="G340" s="3"/>
      <c r="H340" s="35">
        <v>2.7100000000000002E-3</v>
      </c>
      <c r="I340" s="35">
        <v>2.3900000000000002E-3</v>
      </c>
      <c r="J340" s="35">
        <v>1.66E-3</v>
      </c>
      <c r="K340" s="3"/>
      <c r="L340" s="35">
        <v>4.0200000000000001E-3</v>
      </c>
      <c r="M340" s="3"/>
      <c r="N340" s="3"/>
      <c r="O340" s="3"/>
      <c r="P340" s="3"/>
      <c r="Q340" s="3"/>
      <c r="R340" s="3"/>
      <c r="S340" s="3"/>
      <c r="T340" s="3"/>
      <c r="U340" s="3"/>
      <c r="V340" s="3"/>
      <c r="W340" s="35">
        <v>2.7899999999999999E-3</v>
      </c>
      <c r="X340" s="3"/>
      <c r="Y340" s="3"/>
      <c r="Z340" s="35">
        <v>9.8999999999999999E-4</v>
      </c>
      <c r="AA340" s="3"/>
      <c r="AB340" s="35">
        <v>3.5300000000000002E-3</v>
      </c>
      <c r="AC340" s="35">
        <v>1.6100000000000001E-3</v>
      </c>
      <c r="AD340" s="35">
        <v>8.6600000000000002E-4</v>
      </c>
      <c r="AE340" s="3"/>
      <c r="AF340" s="3"/>
      <c r="AG340" s="3"/>
      <c r="AH340" s="35">
        <v>9.0799999999999995E-4</v>
      </c>
      <c r="AI340" s="3"/>
      <c r="AJ340" s="35">
        <v>2.48E-3</v>
      </c>
      <c r="AK340" s="3"/>
      <c r="AL340" s="3"/>
      <c r="AM340" s="3"/>
      <c r="AN340" s="35">
        <v>1.6900000000000001E-3</v>
      </c>
      <c r="AO340" s="35">
        <v>1.1100000000000001E-3</v>
      </c>
      <c r="AP340" s="45">
        <v>65.599999999999994</v>
      </c>
    </row>
    <row r="341" spans="1:42">
      <c r="A341" s="94" t="s">
        <v>551</v>
      </c>
      <c r="B341" s="36">
        <v>5.1999999999999995E-4</v>
      </c>
      <c r="C341" s="36">
        <v>3.0899999999999999E-3</v>
      </c>
      <c r="D341" s="5"/>
      <c r="E341" s="5"/>
      <c r="F341" s="36">
        <v>1.1800000000000001E-3</v>
      </c>
      <c r="G341" s="36">
        <v>2.6199999999999999E-3</v>
      </c>
      <c r="H341" s="36">
        <v>8.2600000000000002E-4</v>
      </c>
      <c r="I341" s="36">
        <v>9.2900000000000003E-4</v>
      </c>
      <c r="J341" s="5"/>
      <c r="K341" s="5"/>
      <c r="L341" s="5"/>
      <c r="M341" s="5"/>
      <c r="N341" s="5"/>
      <c r="O341" s="5"/>
      <c r="P341" s="5"/>
      <c r="Q341" s="5"/>
      <c r="R341" s="36">
        <v>1.52E-2</v>
      </c>
      <c r="S341" s="5"/>
      <c r="T341" s="5"/>
      <c r="U341" s="5"/>
      <c r="V341" s="5"/>
      <c r="W341" s="5"/>
      <c r="X341" s="5"/>
      <c r="Y341" s="5"/>
      <c r="Z341" s="5"/>
      <c r="AA341" s="5"/>
      <c r="AB341" s="36">
        <v>8.5199999999999998E-3</v>
      </c>
      <c r="AC341" s="36">
        <v>4.5399999999999998E-3</v>
      </c>
      <c r="AD341" s="36">
        <v>4.9800000000000001E-3</v>
      </c>
      <c r="AE341" s="5"/>
      <c r="AF341" s="5"/>
      <c r="AG341" s="5"/>
      <c r="AH341" s="5"/>
      <c r="AI341" s="5"/>
      <c r="AJ341" s="5"/>
      <c r="AK341" s="5"/>
      <c r="AL341" s="5"/>
      <c r="AM341" s="5"/>
      <c r="AN341" s="5"/>
      <c r="AO341" s="36">
        <v>0</v>
      </c>
      <c r="AP341" s="16"/>
    </row>
    <row r="342" spans="1:42">
      <c r="A342" s="94" t="s">
        <v>552</v>
      </c>
      <c r="B342" s="35">
        <v>0.31900000000000001</v>
      </c>
      <c r="C342" s="35">
        <v>0.21099999999999999</v>
      </c>
      <c r="D342" s="35">
        <v>4.99E-2</v>
      </c>
      <c r="E342" s="35">
        <v>0.248</v>
      </c>
      <c r="F342" s="35">
        <v>0.224</v>
      </c>
      <c r="G342" s="35">
        <v>9.1899999999999996E-2</v>
      </c>
      <c r="H342" s="35">
        <v>0.45500000000000002</v>
      </c>
      <c r="I342" s="35">
        <v>0.439</v>
      </c>
      <c r="J342" s="35">
        <v>0.55700000000000005</v>
      </c>
      <c r="K342" s="35">
        <v>0.59799999999999998</v>
      </c>
      <c r="L342" s="35">
        <v>0.40100000000000002</v>
      </c>
      <c r="M342" s="35">
        <v>1.35</v>
      </c>
      <c r="N342" s="35">
        <v>0.79400000000000004</v>
      </c>
      <c r="O342" s="35">
        <v>0.33600000000000002</v>
      </c>
      <c r="P342" s="35">
        <v>0.23499999999999999</v>
      </c>
      <c r="Q342" s="35">
        <v>1.59</v>
      </c>
      <c r="R342" s="35">
        <v>0.371</v>
      </c>
      <c r="S342" s="35">
        <v>0.755</v>
      </c>
      <c r="T342" s="35">
        <v>0.71499999999999997</v>
      </c>
      <c r="U342" s="35">
        <v>0.60399999999999998</v>
      </c>
      <c r="V342" s="35">
        <v>0.79400000000000004</v>
      </c>
      <c r="W342" s="35">
        <v>0.48899999999999999</v>
      </c>
      <c r="X342" s="35">
        <v>0.42799999999999999</v>
      </c>
      <c r="Y342" s="35">
        <v>0.47199999999999998</v>
      </c>
      <c r="Z342" s="35">
        <v>0.73099999999999998</v>
      </c>
      <c r="AA342" s="3"/>
      <c r="AB342" s="35">
        <v>0.157</v>
      </c>
      <c r="AC342" s="35">
        <v>0.307</v>
      </c>
      <c r="AD342" s="35">
        <v>0.40300000000000002</v>
      </c>
      <c r="AE342" s="35">
        <v>0.70799999999999996</v>
      </c>
      <c r="AF342" s="3"/>
      <c r="AG342" s="3"/>
      <c r="AH342" s="35">
        <v>0.56899999999999995</v>
      </c>
      <c r="AI342" s="35">
        <v>0.44900000000000001</v>
      </c>
      <c r="AJ342" s="35">
        <v>0.49399999999999999</v>
      </c>
      <c r="AK342" s="35">
        <v>1.32</v>
      </c>
      <c r="AL342" s="35">
        <v>0.371</v>
      </c>
      <c r="AM342" s="3"/>
      <c r="AN342" s="35">
        <v>0.64100000000000001</v>
      </c>
      <c r="AO342" s="35">
        <v>0.38800000000000001</v>
      </c>
      <c r="AP342" s="45">
        <v>60.5</v>
      </c>
    </row>
    <row r="343" spans="1:42">
      <c r="A343" s="94" t="s">
        <v>553</v>
      </c>
      <c r="B343" s="5"/>
      <c r="C343" s="36">
        <v>2.64E-3</v>
      </c>
      <c r="D343" s="36">
        <v>1.7600000000000001E-3</v>
      </c>
      <c r="E343" s="5"/>
      <c r="F343" s="5"/>
      <c r="G343" s="5"/>
      <c r="H343" s="5"/>
      <c r="I343" s="5"/>
      <c r="J343" s="5"/>
      <c r="K343" s="5"/>
      <c r="L343" s="5"/>
      <c r="M343" s="5"/>
      <c r="N343" s="5"/>
      <c r="O343" s="5"/>
      <c r="P343" s="5"/>
      <c r="Q343" s="5"/>
      <c r="R343" s="5"/>
      <c r="S343" s="5"/>
      <c r="T343" s="5"/>
      <c r="U343" s="5"/>
      <c r="V343" s="5"/>
      <c r="W343" s="36">
        <v>1.8699999999999999E-3</v>
      </c>
      <c r="X343" s="5"/>
      <c r="Y343" s="5"/>
      <c r="Z343" s="5"/>
      <c r="AA343" s="5"/>
      <c r="AB343" s="36">
        <v>1.65E-3</v>
      </c>
      <c r="AC343" s="5"/>
      <c r="AD343" s="5"/>
      <c r="AE343" s="5"/>
      <c r="AF343" s="5"/>
      <c r="AG343" s="5"/>
      <c r="AH343" s="5"/>
      <c r="AI343" s="5"/>
      <c r="AJ343" s="36">
        <v>1.2600000000000001E-3</v>
      </c>
      <c r="AK343" s="5"/>
      <c r="AL343" s="5"/>
      <c r="AM343" s="5"/>
      <c r="AN343" s="36">
        <v>1.2600000000000001E-3</v>
      </c>
      <c r="AO343" s="5"/>
      <c r="AP343" s="46">
        <v>0</v>
      </c>
    </row>
    <row r="344" spans="1:42">
      <c r="A344" s="94" t="s">
        <v>554</v>
      </c>
      <c r="B344" s="35">
        <v>0.316</v>
      </c>
      <c r="C344" s="35">
        <v>0.217</v>
      </c>
      <c r="D344" s="35">
        <v>0.13500000000000001</v>
      </c>
      <c r="E344" s="35">
        <v>9.11E-2</v>
      </c>
      <c r="F344" s="35">
        <v>0.191</v>
      </c>
      <c r="G344" s="35">
        <v>0.35099999999999998</v>
      </c>
      <c r="H344" s="35">
        <v>0.27200000000000002</v>
      </c>
      <c r="I344" s="35">
        <v>0.30199999999999999</v>
      </c>
      <c r="J344" s="35">
        <v>0.30399999999999999</v>
      </c>
      <c r="K344" s="35">
        <v>0.14499999999999999</v>
      </c>
      <c r="L344" s="35">
        <v>0.26800000000000002</v>
      </c>
      <c r="M344" s="35">
        <v>0.42499999999999999</v>
      </c>
      <c r="N344" s="35">
        <v>0.29099999999999998</v>
      </c>
      <c r="O344" s="35">
        <v>0.246</v>
      </c>
      <c r="P344" s="35">
        <v>0.29499999999999998</v>
      </c>
      <c r="Q344" s="35">
        <v>0.20300000000000001</v>
      </c>
      <c r="R344" s="35">
        <v>0.377</v>
      </c>
      <c r="S344" s="35">
        <v>0.42399999999999999</v>
      </c>
      <c r="T344" s="35">
        <v>1.5</v>
      </c>
      <c r="U344" s="35">
        <v>0.28399999999999997</v>
      </c>
      <c r="V344" s="35">
        <v>0.40500000000000003</v>
      </c>
      <c r="W344" s="35">
        <v>0.39200000000000002</v>
      </c>
      <c r="X344" s="35">
        <v>0.28199999999999997</v>
      </c>
      <c r="Y344" s="35">
        <v>0.32500000000000001</v>
      </c>
      <c r="Z344" s="35">
        <v>0.27200000000000002</v>
      </c>
      <c r="AA344" s="3"/>
      <c r="AB344" s="35">
        <v>0.35</v>
      </c>
      <c r="AC344" s="35">
        <v>0.34699999999999998</v>
      </c>
      <c r="AD344" s="35">
        <v>0.32</v>
      </c>
      <c r="AE344" s="35">
        <v>0.18099999999999999</v>
      </c>
      <c r="AF344" s="3"/>
      <c r="AG344" s="3"/>
      <c r="AH344" s="35">
        <v>0.32300000000000001</v>
      </c>
      <c r="AI344" s="35">
        <v>0.38800000000000001</v>
      </c>
      <c r="AJ344" s="35">
        <v>0.36099999999999999</v>
      </c>
      <c r="AK344" s="35">
        <v>0.19900000000000001</v>
      </c>
      <c r="AL344" s="35">
        <v>0.40200000000000002</v>
      </c>
      <c r="AM344" s="3"/>
      <c r="AN344" s="35">
        <v>0.33500000000000002</v>
      </c>
      <c r="AO344" s="35">
        <v>8.1600000000000006E-2</v>
      </c>
      <c r="AP344" s="45">
        <v>24.4</v>
      </c>
    </row>
    <row r="345" spans="1:42">
      <c r="A345" s="94" t="s">
        <v>555</v>
      </c>
      <c r="B345" s="5"/>
      <c r="C345" s="36">
        <v>8.3199999999999993E-3</v>
      </c>
      <c r="D345" s="36">
        <v>5.8300000000000001E-3</v>
      </c>
      <c r="E345" s="5"/>
      <c r="F345" s="5"/>
      <c r="G345" s="5"/>
      <c r="H345" s="36">
        <v>4.6600000000000001E-3</v>
      </c>
      <c r="I345" s="36">
        <v>4.4600000000000004E-3</v>
      </c>
      <c r="J345" s="5"/>
      <c r="K345" s="5"/>
      <c r="L345" s="36">
        <v>6.5399999999999998E-3</v>
      </c>
      <c r="M345" s="5"/>
      <c r="N345" s="5"/>
      <c r="O345" s="5"/>
      <c r="P345" s="5"/>
      <c r="Q345" s="5"/>
      <c r="R345" s="5"/>
      <c r="S345" s="5"/>
      <c r="T345" s="5"/>
      <c r="U345" s="5"/>
      <c r="V345" s="5"/>
      <c r="W345" s="36">
        <v>3.5500000000000002E-3</v>
      </c>
      <c r="X345" s="5"/>
      <c r="Y345" s="5"/>
      <c r="Z345" s="5"/>
      <c r="AA345" s="5"/>
      <c r="AB345" s="36">
        <v>5.5599999999999998E-3</v>
      </c>
      <c r="AC345" s="36">
        <v>2.5899999999999999E-3</v>
      </c>
      <c r="AD345" s="5"/>
      <c r="AE345" s="5"/>
      <c r="AF345" s="5"/>
      <c r="AG345" s="5"/>
      <c r="AH345" s="5"/>
      <c r="AI345" s="5"/>
      <c r="AJ345" s="36">
        <v>4.3400000000000001E-3</v>
      </c>
      <c r="AK345" s="5"/>
      <c r="AL345" s="5"/>
      <c r="AM345" s="5"/>
      <c r="AN345" s="36">
        <v>4.3400000000000001E-3</v>
      </c>
      <c r="AO345" s="5"/>
      <c r="AP345" s="46">
        <v>0</v>
      </c>
    </row>
    <row r="346" spans="1:42">
      <c r="A346" s="94" t="s">
        <v>556</v>
      </c>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5">
        <v>0</v>
      </c>
      <c r="AP346" s="14"/>
    </row>
    <row r="347" spans="1:42">
      <c r="A347" s="94" t="s">
        <v>557</v>
      </c>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36">
        <v>0</v>
      </c>
      <c r="AP347" s="16"/>
    </row>
    <row r="348" spans="1:42">
      <c r="A348" s="94" t="s">
        <v>558</v>
      </c>
      <c r="B348" s="35">
        <v>4.7300000000000004</v>
      </c>
      <c r="C348" s="35">
        <v>1.87</v>
      </c>
      <c r="D348" s="35">
        <v>0.68200000000000005</v>
      </c>
      <c r="E348" s="35">
        <v>2.34</v>
      </c>
      <c r="F348" s="35">
        <v>3.27</v>
      </c>
      <c r="G348" s="35">
        <v>1.84</v>
      </c>
      <c r="H348" s="35">
        <v>4.88</v>
      </c>
      <c r="I348" s="35">
        <v>4.17</v>
      </c>
      <c r="J348" s="35">
        <v>6.11</v>
      </c>
      <c r="K348" s="35">
        <v>6.78</v>
      </c>
      <c r="L348" s="35">
        <v>3.95</v>
      </c>
      <c r="M348" s="35">
        <v>13.1</v>
      </c>
      <c r="N348" s="35">
        <v>4.05</v>
      </c>
      <c r="O348" s="35">
        <v>3.44</v>
      </c>
      <c r="P348" s="35">
        <v>4.12</v>
      </c>
      <c r="Q348" s="35">
        <v>7.05</v>
      </c>
      <c r="R348" s="35">
        <v>4.6399999999999997</v>
      </c>
      <c r="S348" s="35">
        <v>8.8000000000000007</v>
      </c>
      <c r="T348" s="35">
        <v>6.37</v>
      </c>
      <c r="U348" s="35">
        <v>4.18</v>
      </c>
      <c r="V348" s="35">
        <v>5.79</v>
      </c>
      <c r="W348" s="35">
        <v>7.82</v>
      </c>
      <c r="X348" s="35">
        <v>4.25</v>
      </c>
      <c r="Y348" s="35">
        <v>4.68</v>
      </c>
      <c r="Z348" s="35">
        <v>4.95</v>
      </c>
      <c r="AA348" s="3"/>
      <c r="AB348" s="35">
        <v>2.39</v>
      </c>
      <c r="AC348" s="35">
        <v>5.63</v>
      </c>
      <c r="AD348" s="35">
        <v>5.98</v>
      </c>
      <c r="AE348" s="35">
        <v>6.6</v>
      </c>
      <c r="AF348" s="3"/>
      <c r="AG348" s="3"/>
      <c r="AH348" s="3"/>
      <c r="AI348" s="35">
        <v>4.55</v>
      </c>
      <c r="AJ348" s="35">
        <v>4.43</v>
      </c>
      <c r="AK348" s="35">
        <v>8.42</v>
      </c>
      <c r="AL348" s="35">
        <v>3.63</v>
      </c>
      <c r="AM348" s="3"/>
      <c r="AN348" s="35">
        <v>5.26</v>
      </c>
      <c r="AO348" s="35">
        <v>2.15</v>
      </c>
      <c r="AP348" s="45">
        <v>40.9</v>
      </c>
    </row>
    <row r="349" spans="1:42">
      <c r="A349" s="94" t="s">
        <v>559</v>
      </c>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36">
        <v>0</v>
      </c>
      <c r="AP349" s="16"/>
    </row>
    <row r="350" spans="1:42">
      <c r="A350" s="94" t="s">
        <v>560</v>
      </c>
      <c r="B350" s="3"/>
      <c r="C350" s="3"/>
      <c r="D350" s="3"/>
      <c r="E350" s="3"/>
      <c r="F350" s="35">
        <v>3.3000000000000002E-2</v>
      </c>
      <c r="G350" s="35">
        <v>1.3299999999999999E-2</v>
      </c>
      <c r="H350" s="3"/>
      <c r="I350" s="3"/>
      <c r="J350" s="3"/>
      <c r="K350" s="3"/>
      <c r="L350" s="3"/>
      <c r="M350" s="35">
        <v>9.2600000000000002E-2</v>
      </c>
      <c r="N350" s="35">
        <v>1.66E-2</v>
      </c>
      <c r="O350" s="35">
        <v>2.6499999999999999E-2</v>
      </c>
      <c r="P350" s="3"/>
      <c r="Q350" s="35">
        <v>3.6799999999999999E-2</v>
      </c>
      <c r="R350" s="35">
        <v>1.12E-2</v>
      </c>
      <c r="S350" s="35">
        <v>1.23E-2</v>
      </c>
      <c r="T350" s="3"/>
      <c r="U350" s="3"/>
      <c r="V350" s="35">
        <v>1.35E-2</v>
      </c>
      <c r="W350" s="35">
        <v>1.8800000000000001E-2</v>
      </c>
      <c r="X350" s="35">
        <v>1.6299999999999999E-2</v>
      </c>
      <c r="Y350" s="35">
        <v>9.7699999999999992E-3</v>
      </c>
      <c r="Z350" s="35">
        <v>1.9199999999999998E-2</v>
      </c>
      <c r="AA350" s="3"/>
      <c r="AB350" s="35">
        <v>1.1900000000000001E-2</v>
      </c>
      <c r="AC350" s="35">
        <v>2.6700000000000002E-2</v>
      </c>
      <c r="AD350" s="35">
        <v>1.7100000000000001E-2</v>
      </c>
      <c r="AE350" s="35">
        <v>7.8700000000000006E-2</v>
      </c>
      <c r="AF350" s="3"/>
      <c r="AG350" s="3"/>
      <c r="AH350" s="3"/>
      <c r="AI350" s="35">
        <v>2.3300000000000001E-2</v>
      </c>
      <c r="AJ350" s="3"/>
      <c r="AK350" s="3"/>
      <c r="AL350" s="35">
        <v>2.1600000000000001E-2</v>
      </c>
      <c r="AM350" s="3"/>
      <c r="AN350" s="35">
        <v>2.24E-2</v>
      </c>
      <c r="AO350" s="35">
        <v>1.1999999999999999E-3</v>
      </c>
      <c r="AP350" s="45">
        <v>5.34</v>
      </c>
    </row>
    <row r="351" spans="1:42">
      <c r="A351" s="94" t="s">
        <v>561</v>
      </c>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36">
        <v>0</v>
      </c>
      <c r="AP351" s="16"/>
    </row>
    <row r="352" spans="1:42">
      <c r="A352" s="94" t="s">
        <v>562</v>
      </c>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5">
        <v>0</v>
      </c>
      <c r="AP352" s="14"/>
    </row>
    <row r="353" spans="1:42">
      <c r="A353" s="94" t="s">
        <v>563</v>
      </c>
      <c r="B353" s="36">
        <v>2.47E-2</v>
      </c>
      <c r="C353" s="36">
        <v>2.06E-2</v>
      </c>
      <c r="D353" s="36">
        <v>1.8100000000000002E-2</v>
      </c>
      <c r="E353" s="36">
        <v>2.3199999999999998E-2</v>
      </c>
      <c r="F353" s="36">
        <v>3.09E-2</v>
      </c>
      <c r="G353" s="36">
        <v>3.6799999999999999E-2</v>
      </c>
      <c r="H353" s="36">
        <v>2.41E-2</v>
      </c>
      <c r="I353" s="5"/>
      <c r="J353" s="36">
        <v>4.4499999999999998E-2</v>
      </c>
      <c r="K353" s="36">
        <v>2.1899999999999999E-2</v>
      </c>
      <c r="L353" s="36">
        <v>2.3900000000000001E-2</v>
      </c>
      <c r="M353" s="36">
        <v>2.8799999999999999E-2</v>
      </c>
      <c r="N353" s="36">
        <v>2.5999999999999999E-2</v>
      </c>
      <c r="O353" s="36">
        <v>2.5899999999999999E-2</v>
      </c>
      <c r="P353" s="36">
        <v>2.35E-2</v>
      </c>
      <c r="Q353" s="36">
        <v>3.44E-2</v>
      </c>
      <c r="R353" s="36">
        <v>3.1699999999999999E-2</v>
      </c>
      <c r="S353" s="36">
        <v>4.2799999999999998E-2</v>
      </c>
      <c r="T353" s="36">
        <v>5.1200000000000002E-2</v>
      </c>
      <c r="U353" s="36">
        <v>3.8600000000000002E-2</v>
      </c>
      <c r="V353" s="36">
        <v>4.41E-2</v>
      </c>
      <c r="W353" s="36">
        <v>2.5999999999999999E-2</v>
      </c>
      <c r="X353" s="36">
        <v>3.2800000000000003E-2</v>
      </c>
      <c r="Y353" s="36">
        <v>3.1399999999999997E-2</v>
      </c>
      <c r="Z353" s="36">
        <v>3.6700000000000003E-2</v>
      </c>
      <c r="AA353" s="5"/>
      <c r="AB353" s="36">
        <v>1.6400000000000001E-2</v>
      </c>
      <c r="AC353" s="36">
        <v>6.2899999999999998E-2</v>
      </c>
      <c r="AD353" s="36">
        <v>7.1499999999999994E-2</v>
      </c>
      <c r="AE353" s="36">
        <v>8.4900000000000003E-2</v>
      </c>
      <c r="AF353" s="5"/>
      <c r="AG353" s="5"/>
      <c r="AH353" s="36">
        <v>3.4299999999999997E-2</v>
      </c>
      <c r="AI353" s="36">
        <v>2.58E-2</v>
      </c>
      <c r="AJ353" s="36">
        <v>3.0300000000000001E-2</v>
      </c>
      <c r="AK353" s="36">
        <v>2.6200000000000001E-2</v>
      </c>
      <c r="AL353" s="36">
        <v>4.2299999999999997E-2</v>
      </c>
      <c r="AM353" s="5"/>
      <c r="AN353" s="36">
        <v>3.1800000000000002E-2</v>
      </c>
      <c r="AO353" s="36">
        <v>6.8199999999999997E-3</v>
      </c>
      <c r="AP353" s="46">
        <v>21.5</v>
      </c>
    </row>
    <row r="354" spans="1:42">
      <c r="A354" s="94" t="s">
        <v>564</v>
      </c>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5">
        <v>0</v>
      </c>
      <c r="AP354" s="14"/>
    </row>
    <row r="355" spans="1:42">
      <c r="A355" s="94" t="s">
        <v>565</v>
      </c>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36">
        <v>0</v>
      </c>
      <c r="AP355" s="16"/>
    </row>
    <row r="356" spans="1:42">
      <c r="A356" s="94" t="s">
        <v>566</v>
      </c>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5">
        <v>0</v>
      </c>
      <c r="AP356" s="14"/>
    </row>
    <row r="357" spans="1:42">
      <c r="A357" s="94" t="s">
        <v>567</v>
      </c>
      <c r="B357" s="5"/>
      <c r="C357" s="36">
        <v>1.61E-2</v>
      </c>
      <c r="D357" s="36">
        <v>1.14E-2</v>
      </c>
      <c r="E357" s="36">
        <v>2.47E-2</v>
      </c>
      <c r="F357" s="36">
        <v>4.5400000000000003E-2</v>
      </c>
      <c r="G357" s="36">
        <v>4.28E-3</v>
      </c>
      <c r="H357" s="36">
        <v>1.21E-2</v>
      </c>
      <c r="I357" s="36">
        <v>1.5299999999999999E-2</v>
      </c>
      <c r="J357" s="36">
        <v>1.9400000000000001E-2</v>
      </c>
      <c r="K357" s="36">
        <v>2.0500000000000001E-2</v>
      </c>
      <c r="L357" s="36">
        <v>2.29E-2</v>
      </c>
      <c r="M357" s="36">
        <v>9.2599999999999991E-3</v>
      </c>
      <c r="N357" s="36">
        <v>1.26E-2</v>
      </c>
      <c r="O357" s="36">
        <v>0.112</v>
      </c>
      <c r="P357" s="36">
        <v>1.6799999999999999E-2</v>
      </c>
      <c r="Q357" s="36">
        <v>0.30299999999999999</v>
      </c>
      <c r="R357" s="36">
        <v>7.6E-3</v>
      </c>
      <c r="S357" s="36">
        <v>1.66E-2</v>
      </c>
      <c r="T357" s="36">
        <v>1.9E-2</v>
      </c>
      <c r="U357" s="36">
        <v>1.35E-2</v>
      </c>
      <c r="V357" s="36">
        <v>9.0300000000000005E-2</v>
      </c>
      <c r="W357" s="36">
        <v>1.2E-2</v>
      </c>
      <c r="X357" s="36">
        <v>1.1299999999999999E-2</v>
      </c>
      <c r="Y357" s="36">
        <v>1.6E-2</v>
      </c>
      <c r="Z357" s="36">
        <v>1.01E-2</v>
      </c>
      <c r="AA357" s="5"/>
      <c r="AB357" s="36">
        <v>5.3299999999999997E-3</v>
      </c>
      <c r="AC357" s="36">
        <v>1.49E-2</v>
      </c>
      <c r="AD357" s="36">
        <v>5.3699999999999998E-3</v>
      </c>
      <c r="AE357" s="36">
        <v>0.873</v>
      </c>
      <c r="AF357" s="5"/>
      <c r="AG357" s="5"/>
      <c r="AH357" s="5"/>
      <c r="AI357" s="36">
        <v>8.5100000000000002E-3</v>
      </c>
      <c r="AJ357" s="36">
        <v>1.43E-2</v>
      </c>
      <c r="AK357" s="36">
        <v>0.17799999999999999</v>
      </c>
      <c r="AL357" s="36">
        <v>3.4199999999999999E-3</v>
      </c>
      <c r="AM357" s="5"/>
      <c r="AN357" s="36">
        <v>5.11E-2</v>
      </c>
      <c r="AO357" s="36">
        <v>8.4900000000000003E-2</v>
      </c>
      <c r="AP357" s="46">
        <v>166</v>
      </c>
    </row>
    <row r="358" spans="1:42">
      <c r="A358" s="94" t="s">
        <v>568</v>
      </c>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5">
        <v>0</v>
      </c>
      <c r="AP358" s="14"/>
    </row>
    <row r="359" spans="1:42">
      <c r="A359" s="94" t="s">
        <v>569</v>
      </c>
      <c r="B359" s="36">
        <v>4.87E-2</v>
      </c>
      <c r="C359" s="36">
        <v>6.8199999999999997E-2</v>
      </c>
      <c r="D359" s="36">
        <v>9.1800000000000007E-2</v>
      </c>
      <c r="E359" s="36">
        <v>9.1399999999999995E-2</v>
      </c>
      <c r="F359" s="36">
        <v>9.69E-2</v>
      </c>
      <c r="G359" s="36">
        <v>8.4599999999999995E-2</v>
      </c>
      <c r="H359" s="36">
        <v>5.6500000000000002E-2</v>
      </c>
      <c r="I359" s="36">
        <v>5.3499999999999999E-2</v>
      </c>
      <c r="J359" s="36">
        <v>4.9000000000000002E-2</v>
      </c>
      <c r="K359" s="36">
        <v>8.6999999999999994E-2</v>
      </c>
      <c r="L359" s="36">
        <v>5.7000000000000002E-2</v>
      </c>
      <c r="M359" s="36">
        <v>2.7199999999999998E-2</v>
      </c>
      <c r="N359" s="36">
        <v>3.7699999999999997E-2</v>
      </c>
      <c r="O359" s="36">
        <v>2.1700000000000001E-2</v>
      </c>
      <c r="P359" s="36">
        <v>6.5600000000000006E-2</v>
      </c>
      <c r="Q359" s="36">
        <v>6.08E-2</v>
      </c>
      <c r="R359" s="36">
        <v>5.3199999999999997E-2</v>
      </c>
      <c r="S359" s="36">
        <v>3.7699999999999997E-2</v>
      </c>
      <c r="T359" s="36">
        <v>1.06E-2</v>
      </c>
      <c r="U359" s="36">
        <v>3.4599999999999999E-2</v>
      </c>
      <c r="V359" s="36">
        <v>3.8300000000000001E-2</v>
      </c>
      <c r="W359" s="36">
        <v>3.9100000000000003E-2</v>
      </c>
      <c r="X359" s="36">
        <v>5.3900000000000003E-2</v>
      </c>
      <c r="Y359" s="36">
        <v>5.0999999999999997E-2</v>
      </c>
      <c r="Z359" s="36">
        <v>4.7199999999999999E-2</v>
      </c>
      <c r="AA359" s="5"/>
      <c r="AB359" s="36">
        <v>4.41E-2</v>
      </c>
      <c r="AC359" s="36">
        <v>7.9299999999999995E-2</v>
      </c>
      <c r="AD359" s="36">
        <v>6.5199999999999994E-2</v>
      </c>
      <c r="AE359" s="36">
        <v>0.114</v>
      </c>
      <c r="AF359" s="5"/>
      <c r="AG359" s="5"/>
      <c r="AH359" s="36">
        <v>0.03</v>
      </c>
      <c r="AI359" s="36">
        <v>5.5399999999999998E-2</v>
      </c>
      <c r="AJ359" s="36">
        <v>6.5100000000000005E-2</v>
      </c>
      <c r="AK359" s="36">
        <v>7.5399999999999995E-2</v>
      </c>
      <c r="AL359" s="36">
        <v>6.7100000000000007E-2</v>
      </c>
      <c r="AM359" s="5"/>
      <c r="AN359" s="36">
        <v>5.8599999999999999E-2</v>
      </c>
      <c r="AO359" s="36">
        <v>1.7500000000000002E-2</v>
      </c>
      <c r="AP359" s="46">
        <v>29.9</v>
      </c>
    </row>
    <row r="360" spans="1:42">
      <c r="A360" s="94" t="s">
        <v>570</v>
      </c>
      <c r="B360" s="3"/>
      <c r="C360" s="35">
        <v>3.5300000000000002E-3</v>
      </c>
      <c r="D360" s="3"/>
      <c r="E360" s="3"/>
      <c r="F360" s="3"/>
      <c r="G360" s="3"/>
      <c r="H360" s="3"/>
      <c r="I360" s="35">
        <v>3.9399999999999999E-3</v>
      </c>
      <c r="J360" s="3"/>
      <c r="K360" s="3"/>
      <c r="L360" s="35">
        <v>2.3800000000000002E-3</v>
      </c>
      <c r="M360" s="3"/>
      <c r="N360" s="3"/>
      <c r="O360" s="3"/>
      <c r="P360" s="3"/>
      <c r="Q360" s="3"/>
      <c r="R360" s="3"/>
      <c r="S360" s="3"/>
      <c r="T360" s="3"/>
      <c r="U360" s="3"/>
      <c r="V360" s="3"/>
      <c r="W360" s="3"/>
      <c r="X360" s="3"/>
      <c r="Y360" s="3"/>
      <c r="Z360" s="3"/>
      <c r="AA360" s="3"/>
      <c r="AB360" s="35">
        <v>3.0000000000000001E-3</v>
      </c>
      <c r="AC360" s="3"/>
      <c r="AD360" s="3"/>
      <c r="AE360" s="3"/>
      <c r="AF360" s="3"/>
      <c r="AG360" s="3"/>
      <c r="AH360" s="3"/>
      <c r="AI360" s="3"/>
      <c r="AJ360" s="3"/>
      <c r="AK360" s="3"/>
      <c r="AL360" s="3"/>
      <c r="AM360" s="3"/>
      <c r="AN360" s="3"/>
      <c r="AO360" s="35">
        <v>0</v>
      </c>
      <c r="AP360" s="14"/>
    </row>
    <row r="361" spans="1:42">
      <c r="A361" s="94" t="s">
        <v>571</v>
      </c>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36">
        <v>2.2100000000000002E-3</v>
      </c>
      <c r="AI361" s="5"/>
      <c r="AJ361" s="5"/>
      <c r="AK361" s="5"/>
      <c r="AL361" s="5"/>
      <c r="AM361" s="5"/>
      <c r="AN361" s="36">
        <v>2.2100000000000002E-3</v>
      </c>
      <c r="AO361" s="5"/>
      <c r="AP361" s="46">
        <v>0</v>
      </c>
    </row>
    <row r="362" spans="1:42">
      <c r="A362" s="94" t="s">
        <v>572</v>
      </c>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5">
        <v>0</v>
      </c>
      <c r="AP362" s="14"/>
    </row>
    <row r="363" spans="1:42">
      <c r="A363" s="94" t="s">
        <v>573</v>
      </c>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36">
        <v>0</v>
      </c>
      <c r="AP363" s="16"/>
    </row>
    <row r="364" spans="1:42">
      <c r="A364" s="94" t="s">
        <v>574</v>
      </c>
      <c r="B364" s="3"/>
      <c r="C364" s="35">
        <v>4.45E-3</v>
      </c>
      <c r="D364" s="35">
        <v>2.7399999999999998E-3</v>
      </c>
      <c r="E364" s="3"/>
      <c r="F364" s="3"/>
      <c r="G364" s="3"/>
      <c r="H364" s="35">
        <v>1.7899999999999999E-3</v>
      </c>
      <c r="I364" s="35">
        <v>3.64E-3</v>
      </c>
      <c r="J364" s="3"/>
      <c r="K364" s="3"/>
      <c r="L364" s="35">
        <v>2.8400000000000001E-3</v>
      </c>
      <c r="M364" s="3"/>
      <c r="N364" s="3"/>
      <c r="O364" s="3"/>
      <c r="P364" s="3"/>
      <c r="Q364" s="3"/>
      <c r="R364" s="3"/>
      <c r="S364" s="3"/>
      <c r="T364" s="3"/>
      <c r="U364" s="3"/>
      <c r="V364" s="3"/>
      <c r="W364" s="35">
        <v>2.5100000000000001E-3</v>
      </c>
      <c r="X364" s="3"/>
      <c r="Y364" s="3"/>
      <c r="Z364" s="3"/>
      <c r="AA364" s="3"/>
      <c r="AB364" s="35">
        <v>2.31E-3</v>
      </c>
      <c r="AC364" s="35">
        <v>1.0499999999999999E-3</v>
      </c>
      <c r="AD364" s="3"/>
      <c r="AE364" s="3"/>
      <c r="AF364" s="3"/>
      <c r="AG364" s="3"/>
      <c r="AH364" s="3"/>
      <c r="AI364" s="3"/>
      <c r="AJ364" s="35">
        <v>2.15E-3</v>
      </c>
      <c r="AK364" s="3"/>
      <c r="AL364" s="3"/>
      <c r="AM364" s="3"/>
      <c r="AN364" s="35">
        <v>2.15E-3</v>
      </c>
      <c r="AO364" s="3"/>
      <c r="AP364" s="45">
        <v>0</v>
      </c>
    </row>
    <row r="365" spans="1:42">
      <c r="A365" s="94" t="s">
        <v>575</v>
      </c>
      <c r="B365" s="5"/>
      <c r="C365" s="36">
        <v>3.4499999999999999E-3</v>
      </c>
      <c r="D365" s="36">
        <v>2.3900000000000002E-3</v>
      </c>
      <c r="E365" s="5"/>
      <c r="F365" s="5"/>
      <c r="G365" s="5"/>
      <c r="H365" s="36">
        <v>1.9499999999999999E-3</v>
      </c>
      <c r="I365" s="36">
        <v>1.8600000000000001E-3</v>
      </c>
      <c r="J365" s="5"/>
      <c r="K365" s="5"/>
      <c r="L365" s="36">
        <v>2.7299999999999998E-3</v>
      </c>
      <c r="M365" s="5"/>
      <c r="N365" s="5"/>
      <c r="O365" s="5"/>
      <c r="P365" s="5"/>
      <c r="Q365" s="5"/>
      <c r="R365" s="5"/>
      <c r="S365" s="5"/>
      <c r="T365" s="5"/>
      <c r="U365" s="5"/>
      <c r="V365" s="5"/>
      <c r="W365" s="36">
        <v>2.3500000000000001E-3</v>
      </c>
      <c r="X365" s="5"/>
      <c r="Y365" s="5"/>
      <c r="Z365" s="5"/>
      <c r="AA365" s="5"/>
      <c r="AB365" s="36">
        <v>2.7000000000000001E-3</v>
      </c>
      <c r="AC365" s="36">
        <v>1.25E-3</v>
      </c>
      <c r="AD365" s="5"/>
      <c r="AE365" s="5"/>
      <c r="AF365" s="5"/>
      <c r="AG365" s="5"/>
      <c r="AH365" s="36">
        <v>6.4199999999999999E-4</v>
      </c>
      <c r="AI365" s="5"/>
      <c r="AJ365" s="36">
        <v>1.8500000000000001E-3</v>
      </c>
      <c r="AK365" s="5"/>
      <c r="AL365" s="5"/>
      <c r="AM365" s="5"/>
      <c r="AN365" s="36">
        <v>1.24E-3</v>
      </c>
      <c r="AO365" s="36">
        <v>8.5099999999999998E-4</v>
      </c>
      <c r="AP365" s="46">
        <v>68.400000000000006</v>
      </c>
    </row>
    <row r="366" spans="1:42">
      <c r="A366" s="94" t="s">
        <v>576</v>
      </c>
      <c r="B366" s="35">
        <v>3.8600000000000002E-2</v>
      </c>
      <c r="C366" s="35">
        <v>3.7999999999999999E-2</v>
      </c>
      <c r="D366" s="35">
        <v>2.6700000000000002E-2</v>
      </c>
      <c r="E366" s="35">
        <v>6.3600000000000004E-2</v>
      </c>
      <c r="F366" s="35">
        <v>0.14899999999999999</v>
      </c>
      <c r="G366" s="35">
        <v>3.0499999999999999E-2</v>
      </c>
      <c r="H366" s="35">
        <v>3.8100000000000002E-2</v>
      </c>
      <c r="I366" s="35">
        <v>3.1899999999999998E-2</v>
      </c>
      <c r="J366" s="35">
        <v>3.7199999999999997E-2</v>
      </c>
      <c r="K366" s="35">
        <v>4.7300000000000002E-2</v>
      </c>
      <c r="L366" s="35">
        <v>5.6399999999999999E-2</v>
      </c>
      <c r="M366" s="35">
        <v>4.3700000000000003E-2</v>
      </c>
      <c r="N366" s="35">
        <v>4.2900000000000001E-2</v>
      </c>
      <c r="O366" s="35">
        <v>5.8599999999999999E-2</v>
      </c>
      <c r="P366" s="35">
        <v>6.9800000000000001E-2</v>
      </c>
      <c r="Q366" s="35">
        <v>0.13900000000000001</v>
      </c>
      <c r="R366" s="35">
        <v>7.0300000000000001E-2</v>
      </c>
      <c r="S366" s="35">
        <v>3.5299999999999998E-2</v>
      </c>
      <c r="T366" s="35">
        <v>4.6399999999999997E-2</v>
      </c>
      <c r="U366" s="35">
        <v>3.3700000000000001E-2</v>
      </c>
      <c r="V366" s="35">
        <v>6.8199999999999997E-2</v>
      </c>
      <c r="W366" s="35">
        <v>9.6100000000000005E-2</v>
      </c>
      <c r="X366" s="35">
        <v>7.1099999999999997E-2</v>
      </c>
      <c r="Y366" s="35">
        <v>0.105</v>
      </c>
      <c r="Z366" s="35">
        <v>6.13E-2</v>
      </c>
      <c r="AA366" s="3"/>
      <c r="AB366" s="35">
        <v>4.6300000000000001E-2</v>
      </c>
      <c r="AC366" s="35">
        <v>9.2499999999999999E-2</v>
      </c>
      <c r="AD366" s="35">
        <v>3.4299999999999997E-2</v>
      </c>
      <c r="AE366" s="35">
        <v>0.16800000000000001</v>
      </c>
      <c r="AF366" s="3"/>
      <c r="AG366" s="3"/>
      <c r="AH366" s="35">
        <v>5.9299999999999999E-2</v>
      </c>
      <c r="AI366" s="35">
        <v>4.8800000000000003E-2</v>
      </c>
      <c r="AJ366" s="35">
        <v>5.2400000000000002E-2</v>
      </c>
      <c r="AK366" s="35">
        <v>0.184</v>
      </c>
      <c r="AL366" s="35">
        <v>4.8000000000000001E-2</v>
      </c>
      <c r="AM366" s="3"/>
      <c r="AN366" s="35">
        <v>7.85E-2</v>
      </c>
      <c r="AO366" s="35">
        <v>5.9200000000000003E-2</v>
      </c>
      <c r="AP366" s="45">
        <v>75.400000000000006</v>
      </c>
    </row>
    <row r="367" spans="1:42">
      <c r="A367" s="94" t="s">
        <v>577</v>
      </c>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36">
        <v>0</v>
      </c>
      <c r="AP367" s="16"/>
    </row>
    <row r="368" spans="1:42">
      <c r="A368" s="94" t="s">
        <v>578</v>
      </c>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5">
        <v>0</v>
      </c>
      <c r="AP368" s="14"/>
    </row>
    <row r="369" spans="1:42">
      <c r="A369" s="94" t="s">
        <v>579</v>
      </c>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36">
        <v>0</v>
      </c>
      <c r="AP369" s="16"/>
    </row>
    <row r="370" spans="1:42">
      <c r="A370" s="94" t="s">
        <v>580</v>
      </c>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5">
        <v>0</v>
      </c>
      <c r="AP370" s="14"/>
    </row>
    <row r="371" spans="1:42">
      <c r="A371" s="94" t="s">
        <v>581</v>
      </c>
      <c r="B371" s="5"/>
      <c r="C371" s="5"/>
      <c r="D371" s="5"/>
      <c r="E371" s="5"/>
      <c r="F371" s="5"/>
      <c r="G371" s="5"/>
      <c r="H371" s="5"/>
      <c r="I371" s="5"/>
      <c r="J371" s="5"/>
      <c r="K371" s="5"/>
      <c r="L371" s="5"/>
      <c r="M371" s="5"/>
      <c r="N371" s="5"/>
      <c r="O371" s="5"/>
      <c r="P371" s="5"/>
      <c r="Q371" s="5"/>
      <c r="R371" s="5"/>
      <c r="S371" s="5"/>
      <c r="T371" s="5"/>
      <c r="U371" s="5"/>
      <c r="V371" s="5"/>
      <c r="W371" s="36">
        <v>3.2499999999999999E-3</v>
      </c>
      <c r="X371" s="5"/>
      <c r="Y371" s="5"/>
      <c r="Z371" s="5"/>
      <c r="AA371" s="5"/>
      <c r="AB371" s="5"/>
      <c r="AC371" s="5"/>
      <c r="AD371" s="5"/>
      <c r="AE371" s="5"/>
      <c r="AF371" s="5"/>
      <c r="AG371" s="5"/>
      <c r="AH371" s="5"/>
      <c r="AI371" s="5"/>
      <c r="AJ371" s="5"/>
      <c r="AK371" s="5"/>
      <c r="AL371" s="5"/>
      <c r="AM371" s="5"/>
      <c r="AN371" s="5"/>
      <c r="AO371" s="36">
        <v>0</v>
      </c>
      <c r="AP371" s="16"/>
    </row>
    <row r="372" spans="1:42">
      <c r="A372" s="94" t="s">
        <v>582</v>
      </c>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5">
        <v>0</v>
      </c>
      <c r="AP372" s="14"/>
    </row>
    <row r="373" spans="1:42">
      <c r="A373" s="94" t="s">
        <v>583</v>
      </c>
      <c r="B373" s="36">
        <v>0.46300000000000002</v>
      </c>
      <c r="C373" s="36">
        <v>0.44500000000000001</v>
      </c>
      <c r="D373" s="36">
        <v>0.186</v>
      </c>
      <c r="E373" s="36">
        <v>0.39700000000000002</v>
      </c>
      <c r="F373" s="36">
        <v>0.433</v>
      </c>
      <c r="G373" s="36">
        <v>0.29899999999999999</v>
      </c>
      <c r="H373" s="36">
        <v>0.59099999999999997</v>
      </c>
      <c r="I373" s="36">
        <v>0.51900000000000002</v>
      </c>
      <c r="J373" s="36">
        <v>0.64300000000000002</v>
      </c>
      <c r="K373" s="36">
        <v>0.69699999999999995</v>
      </c>
      <c r="L373" s="36">
        <v>0.442</v>
      </c>
      <c r="M373" s="36">
        <v>0.71199999999999997</v>
      </c>
      <c r="N373" s="36">
        <v>0.39400000000000002</v>
      </c>
      <c r="O373" s="36">
        <v>0.245</v>
      </c>
      <c r="P373" s="36">
        <v>0.38500000000000001</v>
      </c>
      <c r="Q373" s="36">
        <v>0.72499999999999998</v>
      </c>
      <c r="R373" s="36">
        <v>0.65800000000000003</v>
      </c>
      <c r="S373" s="36">
        <v>0.61299999999999999</v>
      </c>
      <c r="T373" s="36">
        <v>1.56</v>
      </c>
      <c r="U373" s="36">
        <v>0.54400000000000004</v>
      </c>
      <c r="V373" s="36">
        <v>0.71099999999999997</v>
      </c>
      <c r="W373" s="36">
        <v>0.65200000000000002</v>
      </c>
      <c r="X373" s="36">
        <v>0.47499999999999998</v>
      </c>
      <c r="Y373" s="36">
        <v>0.55000000000000004</v>
      </c>
      <c r="Z373" s="36">
        <v>0.61</v>
      </c>
      <c r="AA373" s="5"/>
      <c r="AB373" s="36">
        <v>0.47699999999999998</v>
      </c>
      <c r="AC373" s="36">
        <v>0.41</v>
      </c>
      <c r="AD373" s="36">
        <v>0.45600000000000002</v>
      </c>
      <c r="AE373" s="36">
        <v>0.44</v>
      </c>
      <c r="AF373" s="5"/>
      <c r="AG373" s="5"/>
      <c r="AH373" s="5"/>
      <c r="AI373" s="36">
        <v>0.39600000000000002</v>
      </c>
      <c r="AJ373" s="36">
        <v>0.51200000000000001</v>
      </c>
      <c r="AK373" s="36">
        <v>0.73499999999999999</v>
      </c>
      <c r="AL373" s="36">
        <v>0.57599999999999996</v>
      </c>
      <c r="AM373" s="5"/>
      <c r="AN373" s="36">
        <v>0.55500000000000005</v>
      </c>
      <c r="AO373" s="36">
        <v>0.14199999999999999</v>
      </c>
      <c r="AP373" s="46">
        <v>25.5</v>
      </c>
    </row>
    <row r="374" spans="1:42">
      <c r="A374" s="94" t="s">
        <v>584</v>
      </c>
      <c r="B374" s="3"/>
      <c r="C374" s="3"/>
      <c r="D374" s="3"/>
      <c r="E374" s="3"/>
      <c r="F374" s="3"/>
      <c r="G374" s="3"/>
      <c r="H374" s="3"/>
      <c r="I374" s="3"/>
      <c r="J374" s="3"/>
      <c r="K374" s="3"/>
      <c r="L374" s="35">
        <v>2.6900000000000001E-3</v>
      </c>
      <c r="M374" s="3"/>
      <c r="N374" s="3"/>
      <c r="O374" s="3"/>
      <c r="P374" s="3"/>
      <c r="Q374" s="3"/>
      <c r="R374" s="3"/>
      <c r="S374" s="3"/>
      <c r="T374" s="3"/>
      <c r="U374" s="3"/>
      <c r="V374" s="3"/>
      <c r="W374" s="3"/>
      <c r="X374" s="3"/>
      <c r="Y374" s="3"/>
      <c r="Z374" s="3"/>
      <c r="AA374" s="3"/>
      <c r="AB374" s="35">
        <v>2.5100000000000001E-3</v>
      </c>
      <c r="AC374" s="35">
        <v>1.07E-3</v>
      </c>
      <c r="AD374" s="3"/>
      <c r="AE374" s="3"/>
      <c r="AF374" s="3"/>
      <c r="AG374" s="3"/>
      <c r="AH374" s="3"/>
      <c r="AI374" s="3"/>
      <c r="AJ374" s="35">
        <v>1.41E-3</v>
      </c>
      <c r="AK374" s="3"/>
      <c r="AL374" s="3"/>
      <c r="AM374" s="3"/>
      <c r="AN374" s="35">
        <v>1.41E-3</v>
      </c>
      <c r="AO374" s="3"/>
      <c r="AP374" s="45">
        <v>0</v>
      </c>
    </row>
    <row r="375" spans="1:42">
      <c r="A375" s="94" t="s">
        <v>585</v>
      </c>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36">
        <v>0</v>
      </c>
      <c r="AP375" s="16"/>
    </row>
    <row r="376" spans="1:42">
      <c r="A376" s="94" t="s">
        <v>586</v>
      </c>
      <c r="B376" s="35">
        <v>0.01</v>
      </c>
      <c r="C376" s="35">
        <v>1.14E-2</v>
      </c>
      <c r="D376" s="35">
        <v>7.5700000000000003E-3</v>
      </c>
      <c r="E376" s="3"/>
      <c r="F376" s="3"/>
      <c r="G376" s="35">
        <v>6.8500000000000002E-3</v>
      </c>
      <c r="H376" s="35">
        <v>1.09E-2</v>
      </c>
      <c r="I376" s="35">
        <v>9.0100000000000006E-3</v>
      </c>
      <c r="J376" s="3"/>
      <c r="K376" s="35">
        <v>1.49E-2</v>
      </c>
      <c r="L376" s="35">
        <v>9.2599999999999991E-3</v>
      </c>
      <c r="M376" s="35">
        <v>1.67E-2</v>
      </c>
      <c r="N376" s="35">
        <v>1.2E-2</v>
      </c>
      <c r="O376" s="35">
        <v>1.21E-2</v>
      </c>
      <c r="P376" s="35">
        <v>1.04E-2</v>
      </c>
      <c r="Q376" s="3"/>
      <c r="R376" s="35">
        <v>9.6799999999999994E-3</v>
      </c>
      <c r="S376" s="35">
        <v>2.1600000000000001E-2</v>
      </c>
      <c r="T376" s="35">
        <v>1.2999999999999999E-2</v>
      </c>
      <c r="U376" s="35">
        <v>1.49E-2</v>
      </c>
      <c r="V376" s="35">
        <v>2.0299999999999999E-2</v>
      </c>
      <c r="W376" s="35">
        <v>1.52E-2</v>
      </c>
      <c r="X376" s="35">
        <v>1.18E-2</v>
      </c>
      <c r="Y376" s="35">
        <v>1.11E-2</v>
      </c>
      <c r="Z376" s="35">
        <v>1.5900000000000001E-2</v>
      </c>
      <c r="AA376" s="3"/>
      <c r="AB376" s="35">
        <v>8.8400000000000006E-3</v>
      </c>
      <c r="AC376" s="35">
        <v>1.12E-2</v>
      </c>
      <c r="AD376" s="35">
        <v>6.8199999999999997E-3</v>
      </c>
      <c r="AE376" s="3"/>
      <c r="AF376" s="3"/>
      <c r="AG376" s="3"/>
      <c r="AH376" s="3"/>
      <c r="AI376" s="35">
        <v>1.18E-2</v>
      </c>
      <c r="AJ376" s="35">
        <v>1.15E-2</v>
      </c>
      <c r="AK376" s="35">
        <v>0.02</v>
      </c>
      <c r="AL376" s="35">
        <v>1.26E-2</v>
      </c>
      <c r="AM376" s="3"/>
      <c r="AN376" s="35">
        <v>1.4E-2</v>
      </c>
      <c r="AO376" s="35">
        <v>4.0499999999999998E-3</v>
      </c>
      <c r="AP376" s="45">
        <v>29</v>
      </c>
    </row>
    <row r="377" spans="1:42">
      <c r="A377" s="94" t="s">
        <v>587</v>
      </c>
      <c r="B377" s="5"/>
      <c r="C377" s="5"/>
      <c r="D377" s="5"/>
      <c r="E377" s="5"/>
      <c r="F377" s="5"/>
      <c r="G377" s="5"/>
      <c r="H377" s="5"/>
      <c r="I377" s="5"/>
      <c r="J377" s="5"/>
      <c r="K377" s="5"/>
      <c r="L377" s="5"/>
      <c r="M377" s="5"/>
      <c r="N377" s="5"/>
      <c r="O377" s="5"/>
      <c r="P377" s="5"/>
      <c r="Q377" s="5"/>
      <c r="R377" s="5"/>
      <c r="S377" s="5"/>
      <c r="T377" s="5"/>
      <c r="U377" s="5"/>
      <c r="V377" s="5"/>
      <c r="W377" s="36">
        <v>3.8600000000000002E-2</v>
      </c>
      <c r="X377" s="36">
        <v>2.7300000000000001E-2</v>
      </c>
      <c r="Y377" s="36">
        <v>3.1E-2</v>
      </c>
      <c r="Z377" s="36">
        <v>3.4200000000000001E-2</v>
      </c>
      <c r="AA377" s="5"/>
      <c r="AB377" s="5"/>
      <c r="AC377" s="5"/>
      <c r="AD377" s="5"/>
      <c r="AE377" s="5"/>
      <c r="AF377" s="5"/>
      <c r="AG377" s="5"/>
      <c r="AH377" s="5"/>
      <c r="AI377" s="5"/>
      <c r="AJ377" s="5"/>
      <c r="AK377" s="5"/>
      <c r="AL377" s="5"/>
      <c r="AM377" s="5"/>
      <c r="AN377" s="5"/>
      <c r="AO377" s="36">
        <v>0</v>
      </c>
      <c r="AP377" s="16"/>
    </row>
    <row r="378" spans="1:42">
      <c r="A378" s="94" t="s">
        <v>588</v>
      </c>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5">
        <v>0</v>
      </c>
      <c r="AP378" s="14"/>
    </row>
    <row r="379" spans="1:42">
      <c r="A379" s="94" t="s">
        <v>589</v>
      </c>
      <c r="B379" s="5"/>
      <c r="C379" s="36">
        <v>9.1199999999999996E-3</v>
      </c>
      <c r="D379" s="36">
        <v>9.0299999999999998E-3</v>
      </c>
      <c r="E379" s="5"/>
      <c r="F379" s="5"/>
      <c r="G379" s="36">
        <v>2.7299999999999998E-3</v>
      </c>
      <c r="H379" s="36">
        <v>5.4200000000000003E-3</v>
      </c>
      <c r="I379" s="36">
        <v>5.96E-3</v>
      </c>
      <c r="J379" s="5"/>
      <c r="K379" s="36">
        <v>3.2100000000000002E-3</v>
      </c>
      <c r="L379" s="36">
        <v>5.4000000000000003E-3</v>
      </c>
      <c r="M379" s="5"/>
      <c r="N379" s="5"/>
      <c r="O379" s="5"/>
      <c r="P379" s="5"/>
      <c r="Q379" s="5"/>
      <c r="R379" s="36">
        <v>3.2000000000000002E-3</v>
      </c>
      <c r="S379" s="5"/>
      <c r="T379" s="5"/>
      <c r="U379" s="5"/>
      <c r="V379" s="5"/>
      <c r="W379" s="36">
        <v>2.7399999999999998E-3</v>
      </c>
      <c r="X379" s="5"/>
      <c r="Y379" s="5"/>
      <c r="Z379" s="36">
        <v>1.3500000000000001E-3</v>
      </c>
      <c r="AA379" s="5"/>
      <c r="AB379" s="36">
        <v>2.8800000000000002E-3</v>
      </c>
      <c r="AC379" s="36">
        <v>3.47E-3</v>
      </c>
      <c r="AD379" s="36">
        <v>1.74E-3</v>
      </c>
      <c r="AE379" s="36">
        <v>4.6899999999999997E-3</v>
      </c>
      <c r="AF379" s="5"/>
      <c r="AG379" s="5"/>
      <c r="AH379" s="5"/>
      <c r="AI379" s="5"/>
      <c r="AJ379" s="36">
        <v>3.9899999999999996E-3</v>
      </c>
      <c r="AK379" s="5"/>
      <c r="AL379" s="36">
        <v>1.6900000000000001E-3</v>
      </c>
      <c r="AM379" s="5"/>
      <c r="AN379" s="36">
        <v>2.8400000000000001E-3</v>
      </c>
      <c r="AO379" s="36">
        <v>1.6299999999999999E-3</v>
      </c>
      <c r="AP379" s="46">
        <v>57.4</v>
      </c>
    </row>
    <row r="380" spans="1:42">
      <c r="A380" s="94" t="s">
        <v>590</v>
      </c>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5">
        <v>0</v>
      </c>
      <c r="AP380" s="14"/>
    </row>
    <row r="381" spans="1:42">
      <c r="A381" s="94" t="s">
        <v>591</v>
      </c>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36">
        <v>0</v>
      </c>
      <c r="AP381" s="16"/>
    </row>
    <row r="382" spans="1:42">
      <c r="A382" s="94" t="s">
        <v>592</v>
      </c>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5">
        <v>0</v>
      </c>
      <c r="AP382" s="14"/>
    </row>
    <row r="383" spans="1:42">
      <c r="A383" s="94" t="s">
        <v>593</v>
      </c>
      <c r="B383" s="36">
        <v>2.2700000000000001E-2</v>
      </c>
      <c r="C383" s="36">
        <v>1.38E-2</v>
      </c>
      <c r="D383" s="36">
        <v>1.2999999999999999E-2</v>
      </c>
      <c r="E383" s="5"/>
      <c r="F383" s="36">
        <v>1.34E-2</v>
      </c>
      <c r="G383" s="36">
        <v>1.38E-2</v>
      </c>
      <c r="H383" s="36">
        <v>2.2200000000000001E-2</v>
      </c>
      <c r="I383" s="36">
        <v>2.3E-2</v>
      </c>
      <c r="J383" s="36">
        <v>2.6800000000000001E-2</v>
      </c>
      <c r="K383" s="36">
        <v>1.7000000000000001E-2</v>
      </c>
      <c r="L383" s="36">
        <v>2.4400000000000002E-2</v>
      </c>
      <c r="M383" s="36">
        <v>1.9199999999999998E-2</v>
      </c>
      <c r="N383" s="36">
        <v>2.8000000000000001E-2</v>
      </c>
      <c r="O383" s="36">
        <v>1.4999999999999999E-2</v>
      </c>
      <c r="P383" s="36">
        <v>1.8800000000000001E-2</v>
      </c>
      <c r="Q383" s="5"/>
      <c r="R383" s="36">
        <v>1.9300000000000001E-2</v>
      </c>
      <c r="S383" s="36">
        <v>3.0099999999999998E-2</v>
      </c>
      <c r="T383" s="36">
        <v>2.4500000000000001E-2</v>
      </c>
      <c r="U383" s="36">
        <v>2.9399999999999999E-2</v>
      </c>
      <c r="V383" s="36">
        <v>3.2800000000000003E-2</v>
      </c>
      <c r="W383" s="36">
        <v>3.15E-2</v>
      </c>
      <c r="X383" s="36">
        <v>2.64E-2</v>
      </c>
      <c r="Y383" s="36">
        <v>2.9000000000000001E-2</v>
      </c>
      <c r="Z383" s="36">
        <v>2.7400000000000001E-2</v>
      </c>
      <c r="AA383" s="5"/>
      <c r="AB383" s="36">
        <v>1.3899999999999999E-2</v>
      </c>
      <c r="AC383" s="36">
        <v>2.1000000000000001E-2</v>
      </c>
      <c r="AD383" s="36">
        <v>3.09E-2</v>
      </c>
      <c r="AE383" s="36">
        <v>5.2499999999999998E-2</v>
      </c>
      <c r="AF383" s="5"/>
      <c r="AG383" s="5"/>
      <c r="AH383" s="36">
        <v>2.3900000000000001E-2</v>
      </c>
      <c r="AI383" s="36">
        <v>1.7100000000000001E-2</v>
      </c>
      <c r="AJ383" s="36">
        <v>0.04</v>
      </c>
      <c r="AK383" s="36">
        <v>2.52E-2</v>
      </c>
      <c r="AL383" s="36">
        <v>2.35E-2</v>
      </c>
      <c r="AM383" s="5"/>
      <c r="AN383" s="36">
        <v>2.5999999999999999E-2</v>
      </c>
      <c r="AO383" s="36">
        <v>8.4600000000000005E-3</v>
      </c>
      <c r="AP383" s="46">
        <v>32.6</v>
      </c>
    </row>
    <row r="384" spans="1:42">
      <c r="A384" s="94" t="s">
        <v>594</v>
      </c>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5">
        <v>0</v>
      </c>
      <c r="AP384" s="14"/>
    </row>
    <row r="385" spans="1:42">
      <c r="A385" s="94" t="s">
        <v>595</v>
      </c>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36">
        <v>0</v>
      </c>
      <c r="AP385" s="16"/>
    </row>
    <row r="386" spans="1:42">
      <c r="A386" s="94" t="s">
        <v>596</v>
      </c>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5">
        <v>0</v>
      </c>
      <c r="AP386" s="14"/>
    </row>
    <row r="387" spans="1:42">
      <c r="A387" s="94" t="s">
        <v>597</v>
      </c>
      <c r="B387" s="36">
        <v>3.6700000000000003E-2</v>
      </c>
      <c r="C387" s="36">
        <v>5.3100000000000001E-2</v>
      </c>
      <c r="D387" s="36">
        <v>4.0399999999999998E-2</v>
      </c>
      <c r="E387" s="36">
        <v>0.125</v>
      </c>
      <c r="F387" s="36">
        <v>0.122</v>
      </c>
      <c r="G387" s="36">
        <v>5.9799999999999999E-2</v>
      </c>
      <c r="H387" s="36">
        <v>0.05</v>
      </c>
      <c r="I387" s="36">
        <v>4.3900000000000002E-2</v>
      </c>
      <c r="J387" s="36">
        <v>4.8500000000000001E-2</v>
      </c>
      <c r="K387" s="36">
        <v>3.1399999999999997E-2</v>
      </c>
      <c r="L387" s="36">
        <v>6.0299999999999999E-2</v>
      </c>
      <c r="M387" s="36">
        <v>4.3099999999999999E-2</v>
      </c>
      <c r="N387" s="36">
        <v>4.7E-2</v>
      </c>
      <c r="O387" s="36">
        <v>8.4400000000000003E-2</v>
      </c>
      <c r="P387" s="36">
        <v>5.2699999999999997E-2</v>
      </c>
      <c r="Q387" s="36">
        <v>6.5600000000000006E-2</v>
      </c>
      <c r="R387" s="36">
        <v>6.6500000000000004E-2</v>
      </c>
      <c r="S387" s="36">
        <v>4.1000000000000002E-2</v>
      </c>
      <c r="T387" s="36">
        <v>4.6600000000000003E-2</v>
      </c>
      <c r="U387" s="36">
        <v>3.61E-2</v>
      </c>
      <c r="V387" s="36">
        <v>4.6899999999999997E-2</v>
      </c>
      <c r="W387" s="36">
        <v>6.6699999999999995E-2</v>
      </c>
      <c r="X387" s="36">
        <v>4.7899999999999998E-2</v>
      </c>
      <c r="Y387" s="36">
        <v>6.13E-2</v>
      </c>
      <c r="Z387" s="36">
        <v>4.6100000000000002E-2</v>
      </c>
      <c r="AA387" s="5"/>
      <c r="AB387" s="36">
        <v>4.4699999999999997E-2</v>
      </c>
      <c r="AC387" s="36">
        <v>6.4799999999999996E-2</v>
      </c>
      <c r="AD387" s="36">
        <v>4.4400000000000002E-2</v>
      </c>
      <c r="AE387" s="36">
        <v>5.6399999999999999E-2</v>
      </c>
      <c r="AF387" s="5"/>
      <c r="AG387" s="5"/>
      <c r="AH387" s="36">
        <v>5.57E-2</v>
      </c>
      <c r="AI387" s="36">
        <v>5.1700000000000003E-2</v>
      </c>
      <c r="AJ387" s="36">
        <v>6.5699999999999995E-2</v>
      </c>
      <c r="AK387" s="36">
        <v>5.4800000000000001E-2</v>
      </c>
      <c r="AL387" s="36">
        <v>5.3499999999999999E-2</v>
      </c>
      <c r="AM387" s="5"/>
      <c r="AN387" s="36">
        <v>5.6300000000000003E-2</v>
      </c>
      <c r="AO387" s="36">
        <v>5.4799999999999996E-3</v>
      </c>
      <c r="AP387" s="46">
        <v>9.74</v>
      </c>
    </row>
    <row r="388" spans="1:42">
      <c r="A388" s="94" t="s">
        <v>598</v>
      </c>
      <c r="B388" s="3"/>
      <c r="C388" s="3"/>
      <c r="D388" s="3"/>
      <c r="E388" s="3"/>
      <c r="F388" s="3"/>
      <c r="G388" s="3"/>
      <c r="H388" s="3"/>
      <c r="I388" s="3"/>
      <c r="J388" s="3"/>
      <c r="K388" s="3"/>
      <c r="L388" s="3"/>
      <c r="M388" s="3"/>
      <c r="N388" s="3"/>
      <c r="O388" s="3"/>
      <c r="P388" s="3"/>
      <c r="Q388" s="3"/>
      <c r="R388" s="3"/>
      <c r="S388" s="3"/>
      <c r="T388" s="35">
        <v>3.9399999999999999E-3</v>
      </c>
      <c r="U388" s="35">
        <v>2.7799999999999999E-3</v>
      </c>
      <c r="V388" s="35">
        <v>2.8500000000000001E-3</v>
      </c>
      <c r="W388" s="35">
        <v>4.1999999999999997E-3</v>
      </c>
      <c r="X388" s="35">
        <v>2.66E-3</v>
      </c>
      <c r="Y388" s="35">
        <v>1.9599999999999999E-3</v>
      </c>
      <c r="Z388" s="3"/>
      <c r="AA388" s="3"/>
      <c r="AB388" s="35">
        <v>5.62E-3</v>
      </c>
      <c r="AC388" s="35">
        <v>4.7699999999999999E-3</v>
      </c>
      <c r="AD388" s="3"/>
      <c r="AE388" s="3"/>
      <c r="AF388" s="3"/>
      <c r="AG388" s="3"/>
      <c r="AH388" s="3"/>
      <c r="AI388" s="3"/>
      <c r="AJ388" s="3"/>
      <c r="AK388" s="3"/>
      <c r="AL388" s="3"/>
      <c r="AM388" s="3"/>
      <c r="AN388" s="3"/>
      <c r="AO388" s="35">
        <v>0</v>
      </c>
      <c r="AP388" s="14"/>
    </row>
    <row r="389" spans="1:42">
      <c r="A389" s="94" t="s">
        <v>599</v>
      </c>
      <c r="B389" s="5"/>
      <c r="C389" s="5"/>
      <c r="D389" s="5"/>
      <c r="E389" s="5"/>
      <c r="F389" s="5"/>
      <c r="G389" s="5"/>
      <c r="H389" s="5"/>
      <c r="I389" s="5"/>
      <c r="J389" s="5"/>
      <c r="K389" s="5"/>
      <c r="L389" s="5"/>
      <c r="M389" s="5"/>
      <c r="N389" s="5"/>
      <c r="O389" s="5"/>
      <c r="P389" s="5"/>
      <c r="Q389" s="5"/>
      <c r="R389" s="5"/>
      <c r="S389" s="5"/>
      <c r="T389" s="5"/>
      <c r="U389" s="5"/>
      <c r="V389" s="5"/>
      <c r="W389" s="36">
        <v>3.5999999999999999E-3</v>
      </c>
      <c r="X389" s="5"/>
      <c r="Y389" s="5"/>
      <c r="Z389" s="5"/>
      <c r="AA389" s="5"/>
      <c r="AB389" s="5"/>
      <c r="AC389" s="5"/>
      <c r="AD389" s="5"/>
      <c r="AE389" s="5"/>
      <c r="AF389" s="5"/>
      <c r="AG389" s="5"/>
      <c r="AH389" s="5"/>
      <c r="AI389" s="5"/>
      <c r="AJ389" s="5"/>
      <c r="AK389" s="5"/>
      <c r="AL389" s="5"/>
      <c r="AM389" s="5"/>
      <c r="AN389" s="5"/>
      <c r="AO389" s="36">
        <v>0</v>
      </c>
      <c r="AP389" s="16"/>
    </row>
    <row r="390" spans="1:42">
      <c r="A390" s="94" t="s">
        <v>600</v>
      </c>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5">
        <v>0</v>
      </c>
      <c r="AP390" s="14"/>
    </row>
    <row r="391" spans="1:42">
      <c r="A391" s="94" t="s">
        <v>601</v>
      </c>
      <c r="B391" s="5"/>
      <c r="C391" s="36">
        <v>6.6100000000000004E-3</v>
      </c>
      <c r="D391" s="36">
        <v>3.7399999999999998E-3</v>
      </c>
      <c r="E391" s="5"/>
      <c r="F391" s="5"/>
      <c r="G391" s="5"/>
      <c r="H391" s="36">
        <v>2.47E-3</v>
      </c>
      <c r="I391" s="5"/>
      <c r="J391" s="5"/>
      <c r="K391" s="5"/>
      <c r="L391" s="36">
        <v>2.3500000000000001E-3</v>
      </c>
      <c r="M391" s="5"/>
      <c r="N391" s="5"/>
      <c r="O391" s="5"/>
      <c r="P391" s="5"/>
      <c r="Q391" s="5"/>
      <c r="R391" s="5"/>
      <c r="S391" s="5"/>
      <c r="T391" s="5"/>
      <c r="U391" s="5"/>
      <c r="V391" s="5"/>
      <c r="W391" s="36">
        <v>3.31E-3</v>
      </c>
      <c r="X391" s="5"/>
      <c r="Y391" s="5"/>
      <c r="Z391" s="5"/>
      <c r="AA391" s="5"/>
      <c r="AB391" s="5"/>
      <c r="AC391" s="5"/>
      <c r="AD391" s="5"/>
      <c r="AE391" s="5"/>
      <c r="AF391" s="5"/>
      <c r="AG391" s="5"/>
      <c r="AH391" s="5"/>
      <c r="AI391" s="5"/>
      <c r="AJ391" s="36">
        <v>1.17E-3</v>
      </c>
      <c r="AK391" s="5"/>
      <c r="AL391" s="5"/>
      <c r="AM391" s="5"/>
      <c r="AN391" s="36">
        <v>1.17E-3</v>
      </c>
      <c r="AO391" s="5"/>
      <c r="AP391" s="46">
        <v>0</v>
      </c>
    </row>
    <row r="392" spans="1:42">
      <c r="A392" s="94" t="s">
        <v>602</v>
      </c>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5">
        <v>0</v>
      </c>
      <c r="AP392" s="14"/>
    </row>
    <row r="393" spans="1:42">
      <c r="A393" s="94" t="s">
        <v>603</v>
      </c>
      <c r="B393" s="5"/>
      <c r="C393" s="5"/>
      <c r="D393" s="5"/>
      <c r="E393" s="5"/>
      <c r="F393" s="5"/>
      <c r="G393" s="5"/>
      <c r="H393" s="5"/>
      <c r="I393" s="5"/>
      <c r="J393" s="5"/>
      <c r="K393" s="5"/>
      <c r="L393" s="5"/>
      <c r="M393" s="5"/>
      <c r="N393" s="5"/>
      <c r="O393" s="5"/>
      <c r="P393" s="5"/>
      <c r="Q393" s="5"/>
      <c r="R393" s="5"/>
      <c r="S393" s="5"/>
      <c r="T393" s="5"/>
      <c r="U393" s="5"/>
      <c r="V393" s="5"/>
      <c r="W393" s="36">
        <v>2.2599999999999999E-3</v>
      </c>
      <c r="X393" s="5"/>
      <c r="Y393" s="5"/>
      <c r="Z393" s="5"/>
      <c r="AA393" s="5"/>
      <c r="AB393" s="36">
        <v>3.16E-3</v>
      </c>
      <c r="AC393" s="5"/>
      <c r="AD393" s="5"/>
      <c r="AE393" s="5"/>
      <c r="AF393" s="5"/>
      <c r="AG393" s="5"/>
      <c r="AH393" s="5"/>
      <c r="AI393" s="5"/>
      <c r="AJ393" s="5"/>
      <c r="AK393" s="5"/>
      <c r="AL393" s="5"/>
      <c r="AM393" s="5"/>
      <c r="AN393" s="5"/>
      <c r="AO393" s="36">
        <v>0</v>
      </c>
      <c r="AP393" s="16"/>
    </row>
    <row r="394" spans="1:42">
      <c r="A394" s="94" t="s">
        <v>604</v>
      </c>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5">
        <v>0</v>
      </c>
      <c r="AP394" s="14"/>
    </row>
    <row r="395" spans="1:42">
      <c r="A395" s="94" t="s">
        <v>605</v>
      </c>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36">
        <v>0</v>
      </c>
      <c r="AP395" s="16"/>
    </row>
    <row r="396" spans="1:42">
      <c r="A396" s="94" t="s">
        <v>606</v>
      </c>
      <c r="B396" s="3"/>
      <c r="C396" s="35">
        <v>1.91E-3</v>
      </c>
      <c r="D396" s="3"/>
      <c r="E396" s="3"/>
      <c r="F396" s="3"/>
      <c r="G396" s="3"/>
      <c r="H396" s="3"/>
      <c r="I396" s="35">
        <v>8.12E-4</v>
      </c>
      <c r="J396" s="3"/>
      <c r="K396" s="3"/>
      <c r="L396" s="3"/>
      <c r="M396" s="3"/>
      <c r="N396" s="3"/>
      <c r="O396" s="3"/>
      <c r="P396" s="3"/>
      <c r="Q396" s="3"/>
      <c r="R396" s="3"/>
      <c r="S396" s="3"/>
      <c r="T396" s="3"/>
      <c r="U396" s="3"/>
      <c r="V396" s="3"/>
      <c r="W396" s="35">
        <v>1.1999999999999999E-3</v>
      </c>
      <c r="X396" s="3"/>
      <c r="Y396" s="3"/>
      <c r="Z396" s="3"/>
      <c r="AA396" s="3"/>
      <c r="AB396" s="3"/>
      <c r="AC396" s="3"/>
      <c r="AD396" s="3"/>
      <c r="AE396" s="3"/>
      <c r="AF396" s="3"/>
      <c r="AG396" s="3"/>
      <c r="AH396" s="3"/>
      <c r="AI396" s="3"/>
      <c r="AJ396" s="35">
        <v>7.7800000000000005E-4</v>
      </c>
      <c r="AK396" s="3"/>
      <c r="AL396" s="3"/>
      <c r="AM396" s="3"/>
      <c r="AN396" s="35">
        <v>7.7800000000000005E-4</v>
      </c>
      <c r="AO396" s="3"/>
      <c r="AP396" s="45">
        <v>0</v>
      </c>
    </row>
    <row r="397" spans="1:42">
      <c r="A397" s="94" t="s">
        <v>607</v>
      </c>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36">
        <v>0</v>
      </c>
      <c r="AP397" s="16"/>
    </row>
    <row r="398" spans="1:42">
      <c r="A398" s="94" t="s">
        <v>608</v>
      </c>
      <c r="B398" s="35">
        <v>1.6199999999999999E-2</v>
      </c>
      <c r="C398" s="35">
        <v>1.5900000000000001E-2</v>
      </c>
      <c r="D398" s="3"/>
      <c r="E398" s="3"/>
      <c r="F398" s="3"/>
      <c r="G398" s="3"/>
      <c r="H398" s="35">
        <v>1.8100000000000002E-2</v>
      </c>
      <c r="I398" s="35">
        <v>1.34E-2</v>
      </c>
      <c r="J398" s="35">
        <v>1.1599999999999999E-2</v>
      </c>
      <c r="K398" s="35">
        <v>2.69E-2</v>
      </c>
      <c r="L398" s="35">
        <v>2.4500000000000001E-2</v>
      </c>
      <c r="M398" s="35">
        <v>3.27E-2</v>
      </c>
      <c r="N398" s="35">
        <v>6.9499999999999996E-3</v>
      </c>
      <c r="O398" s="35">
        <v>4.3600000000000002E-3</v>
      </c>
      <c r="P398" s="35">
        <v>1.0999999999999999E-2</v>
      </c>
      <c r="Q398" s="35">
        <v>9.1500000000000001E-3</v>
      </c>
      <c r="R398" s="35">
        <v>1.9199999999999998E-2</v>
      </c>
      <c r="S398" s="35">
        <v>1.7500000000000002E-2</v>
      </c>
      <c r="T398" s="3"/>
      <c r="U398" s="35">
        <v>1.7600000000000001E-2</v>
      </c>
      <c r="V398" s="35">
        <v>1.54E-2</v>
      </c>
      <c r="W398" s="35">
        <v>2.8000000000000001E-2</v>
      </c>
      <c r="X398" s="35">
        <v>1.9E-2</v>
      </c>
      <c r="Y398" s="35">
        <v>1.5599999999999999E-2</v>
      </c>
      <c r="Z398" s="35">
        <v>2.7699999999999999E-2</v>
      </c>
      <c r="AA398" s="3"/>
      <c r="AB398" s="35">
        <v>1.34E-2</v>
      </c>
      <c r="AC398" s="35">
        <v>2.1700000000000001E-2</v>
      </c>
      <c r="AD398" s="35">
        <v>5.57E-2</v>
      </c>
      <c r="AE398" s="35">
        <v>2.76E-2</v>
      </c>
      <c r="AF398" s="3"/>
      <c r="AG398" s="3"/>
      <c r="AH398" s="3"/>
      <c r="AI398" s="35">
        <v>7.0400000000000003E-3</v>
      </c>
      <c r="AJ398" s="35">
        <v>1.41E-2</v>
      </c>
      <c r="AK398" s="35">
        <v>2.4400000000000002E-2</v>
      </c>
      <c r="AL398" s="35">
        <v>9.2800000000000001E-3</v>
      </c>
      <c r="AM398" s="3"/>
      <c r="AN398" s="35">
        <v>1.37E-2</v>
      </c>
      <c r="AO398" s="35">
        <v>7.7299999999999999E-3</v>
      </c>
      <c r="AP398" s="45">
        <v>56.3</v>
      </c>
    </row>
    <row r="399" spans="1:42">
      <c r="A399" s="94" t="s">
        <v>609</v>
      </c>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36">
        <v>5.0400000000000002E-3</v>
      </c>
      <c r="AC399" s="5"/>
      <c r="AD399" s="5"/>
      <c r="AE399" s="5"/>
      <c r="AF399" s="5"/>
      <c r="AG399" s="5"/>
      <c r="AH399" s="5"/>
      <c r="AI399" s="5"/>
      <c r="AJ399" s="5"/>
      <c r="AK399" s="5"/>
      <c r="AL399" s="5"/>
      <c r="AM399" s="5"/>
      <c r="AN399" s="5"/>
      <c r="AO399" s="36">
        <v>0</v>
      </c>
      <c r="AP399" s="16"/>
    </row>
    <row r="400" spans="1:42">
      <c r="A400" s="94" t="s">
        <v>610</v>
      </c>
      <c r="B400" s="35">
        <v>8.6699999999999999E-2</v>
      </c>
      <c r="C400" s="35">
        <v>5.3900000000000003E-2</v>
      </c>
      <c r="D400" s="35">
        <v>3.1E-2</v>
      </c>
      <c r="E400" s="35">
        <v>4.1799999999999997E-2</v>
      </c>
      <c r="F400" s="35">
        <v>0.114</v>
      </c>
      <c r="G400" s="35">
        <v>2.2499999999999999E-2</v>
      </c>
      <c r="H400" s="35">
        <v>6.4600000000000005E-2</v>
      </c>
      <c r="I400" s="35">
        <v>6.54E-2</v>
      </c>
      <c r="J400" s="35">
        <v>6.4299999999999996E-2</v>
      </c>
      <c r="K400" s="35">
        <v>0.106</v>
      </c>
      <c r="L400" s="35">
        <v>5.2999999999999999E-2</v>
      </c>
      <c r="M400" s="35">
        <v>8.0600000000000005E-2</v>
      </c>
      <c r="N400" s="35">
        <v>5.1499999999999997E-2</v>
      </c>
      <c r="O400" s="35">
        <v>3.7100000000000001E-2</v>
      </c>
      <c r="P400" s="35">
        <v>7.8100000000000003E-2</v>
      </c>
      <c r="Q400" s="35">
        <v>2.8000000000000001E-2</v>
      </c>
      <c r="R400" s="35">
        <v>5.1700000000000003E-2</v>
      </c>
      <c r="S400" s="35">
        <v>9.5899999999999999E-2</v>
      </c>
      <c r="T400" s="35">
        <v>0.13600000000000001</v>
      </c>
      <c r="U400" s="35">
        <v>7.2099999999999997E-2</v>
      </c>
      <c r="V400" s="35">
        <v>7.4899999999999994E-2</v>
      </c>
      <c r="W400" s="35">
        <v>0.111</v>
      </c>
      <c r="X400" s="35">
        <v>9.2799999999999994E-2</v>
      </c>
      <c r="Y400" s="35">
        <v>9.3700000000000006E-2</v>
      </c>
      <c r="Z400" s="35">
        <v>0.09</v>
      </c>
      <c r="AA400" s="3"/>
      <c r="AB400" s="35">
        <v>3.73E-2</v>
      </c>
      <c r="AC400" s="35">
        <v>6.9000000000000006E-2</v>
      </c>
      <c r="AD400" s="35">
        <v>6.5199999999999994E-2</v>
      </c>
      <c r="AE400" s="35">
        <v>0.14699999999999999</v>
      </c>
      <c r="AF400" s="3"/>
      <c r="AG400" s="3"/>
      <c r="AH400" s="35">
        <v>4.3400000000000001E-2</v>
      </c>
      <c r="AI400" s="35">
        <v>6.2399999999999997E-2</v>
      </c>
      <c r="AJ400" s="35">
        <v>5.7500000000000002E-2</v>
      </c>
      <c r="AK400" s="35">
        <v>8.8800000000000004E-2</v>
      </c>
      <c r="AL400" s="35">
        <v>3.2099999999999997E-2</v>
      </c>
      <c r="AM400" s="3"/>
      <c r="AN400" s="35">
        <v>5.6800000000000003E-2</v>
      </c>
      <c r="AO400" s="35">
        <v>2.1499999999999998E-2</v>
      </c>
      <c r="AP400" s="45">
        <v>37.700000000000003</v>
      </c>
    </row>
    <row r="401" spans="1:42">
      <c r="A401" s="94" t="s">
        <v>611</v>
      </c>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36">
        <v>0</v>
      </c>
      <c r="AP401" s="16"/>
    </row>
    <row r="402" spans="1:42">
      <c r="A402" s="94" t="s">
        <v>612</v>
      </c>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5">
        <v>0</v>
      </c>
      <c r="AP402" s="14"/>
    </row>
    <row r="403" spans="1:42">
      <c r="A403" s="94" t="s">
        <v>613</v>
      </c>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36">
        <v>0</v>
      </c>
      <c r="AP403" s="16"/>
    </row>
    <row r="404" spans="1:42">
      <c r="A404" s="94" t="s">
        <v>614</v>
      </c>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5">
        <v>0</v>
      </c>
      <c r="AP404" s="14"/>
    </row>
    <row r="405" spans="1:42">
      <c r="A405" s="94" t="s">
        <v>615</v>
      </c>
      <c r="B405" s="5"/>
      <c r="C405" s="36">
        <v>2.1099999999999999E-3</v>
      </c>
      <c r="D405" s="5"/>
      <c r="E405" s="5"/>
      <c r="F405" s="5"/>
      <c r="G405" s="5"/>
      <c r="H405" s="5"/>
      <c r="I405" s="5"/>
      <c r="J405" s="5"/>
      <c r="K405" s="5"/>
      <c r="L405" s="36">
        <v>3.0999999999999999E-3</v>
      </c>
      <c r="M405" s="5"/>
      <c r="N405" s="5"/>
      <c r="O405" s="5"/>
      <c r="P405" s="5"/>
      <c r="Q405" s="5"/>
      <c r="R405" s="5"/>
      <c r="S405" s="5"/>
      <c r="T405" s="5"/>
      <c r="U405" s="5"/>
      <c r="V405" s="5"/>
      <c r="W405" s="36">
        <v>2.3500000000000001E-3</v>
      </c>
      <c r="X405" s="5"/>
      <c r="Y405" s="5"/>
      <c r="Z405" s="5"/>
      <c r="AA405" s="5"/>
      <c r="AB405" s="36">
        <v>2.32E-3</v>
      </c>
      <c r="AC405" s="5"/>
      <c r="AD405" s="5"/>
      <c r="AE405" s="5"/>
      <c r="AF405" s="5"/>
      <c r="AG405" s="5"/>
      <c r="AH405" s="5"/>
      <c r="AI405" s="5"/>
      <c r="AJ405" s="36">
        <v>2.3900000000000002E-3</v>
      </c>
      <c r="AK405" s="5"/>
      <c r="AL405" s="5"/>
      <c r="AM405" s="5"/>
      <c r="AN405" s="36">
        <v>2.3900000000000002E-3</v>
      </c>
      <c r="AO405" s="5"/>
      <c r="AP405" s="46">
        <v>0</v>
      </c>
    </row>
    <row r="406" spans="1:42">
      <c r="A406" s="94" t="s">
        <v>616</v>
      </c>
      <c r="B406" s="35">
        <v>3.4500000000000003E-2</v>
      </c>
      <c r="C406" s="35">
        <v>3.3099999999999997E-2</v>
      </c>
      <c r="D406" s="35">
        <v>1.9699999999999999E-2</v>
      </c>
      <c r="E406" s="35">
        <v>7.4899999999999994E-2</v>
      </c>
      <c r="F406" s="35">
        <v>0.107</v>
      </c>
      <c r="G406" s="35">
        <v>1.7000000000000001E-2</v>
      </c>
      <c r="H406" s="35">
        <v>4.4600000000000001E-2</v>
      </c>
      <c r="I406" s="35">
        <v>3.1899999999999998E-2</v>
      </c>
      <c r="J406" s="35">
        <v>3.8899999999999997E-2</v>
      </c>
      <c r="K406" s="35">
        <v>6.8900000000000003E-2</v>
      </c>
      <c r="L406" s="35">
        <v>5.1299999999999998E-2</v>
      </c>
      <c r="M406" s="35">
        <v>8.4699999999999998E-2</v>
      </c>
      <c r="N406" s="35">
        <v>4.5900000000000003E-2</v>
      </c>
      <c r="O406" s="35">
        <v>7.2300000000000003E-2</v>
      </c>
      <c r="P406" s="35">
        <v>3.7900000000000003E-2</v>
      </c>
      <c r="Q406" s="35">
        <v>9.5699999999999993E-2</v>
      </c>
      <c r="R406" s="35">
        <v>3.1800000000000002E-2</v>
      </c>
      <c r="S406" s="35">
        <v>4.9700000000000001E-2</v>
      </c>
      <c r="T406" s="35">
        <v>1.5599999999999999E-2</v>
      </c>
      <c r="U406" s="35">
        <v>6.7000000000000004E-2</v>
      </c>
      <c r="V406" s="35">
        <v>5.96E-2</v>
      </c>
      <c r="W406" s="35">
        <v>3.9E-2</v>
      </c>
      <c r="X406" s="35">
        <v>4.0599999999999997E-2</v>
      </c>
      <c r="Y406" s="35">
        <v>3.5700000000000003E-2</v>
      </c>
      <c r="Z406" s="35">
        <v>5.8200000000000002E-2</v>
      </c>
      <c r="AA406" s="3"/>
      <c r="AB406" s="35">
        <v>3.1099999999999999E-2</v>
      </c>
      <c r="AC406" s="35">
        <v>4.7199999999999999E-2</v>
      </c>
      <c r="AD406" s="35">
        <v>3.3599999999999998E-2</v>
      </c>
      <c r="AE406" s="35">
        <v>0.11</v>
      </c>
      <c r="AF406" s="3"/>
      <c r="AG406" s="3"/>
      <c r="AH406" s="35">
        <v>6.2199999999999998E-2</v>
      </c>
      <c r="AI406" s="35">
        <v>5.7500000000000002E-2</v>
      </c>
      <c r="AJ406" s="35">
        <v>3.8399999999999997E-2</v>
      </c>
      <c r="AK406" s="35">
        <v>0.126</v>
      </c>
      <c r="AL406" s="35">
        <v>5.5399999999999998E-2</v>
      </c>
      <c r="AM406" s="3"/>
      <c r="AN406" s="35">
        <v>6.7900000000000002E-2</v>
      </c>
      <c r="AO406" s="35">
        <v>3.3799999999999997E-2</v>
      </c>
      <c r="AP406" s="45">
        <v>49.7</v>
      </c>
    </row>
    <row r="407" spans="1:42">
      <c r="A407" s="94" t="s">
        <v>617</v>
      </c>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36">
        <v>0</v>
      </c>
      <c r="AP407" s="16"/>
    </row>
    <row r="408" spans="1:42">
      <c r="A408" s="94" t="s">
        <v>618</v>
      </c>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5">
        <v>0</v>
      </c>
      <c r="AP408" s="14"/>
    </row>
    <row r="409" spans="1:42">
      <c r="A409" s="94" t="s">
        <v>619</v>
      </c>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36">
        <v>0</v>
      </c>
      <c r="AP409" s="16"/>
    </row>
    <row r="410" spans="1:42">
      <c r="A410" s="94" t="s">
        <v>620</v>
      </c>
      <c r="B410" s="3"/>
      <c r="C410" s="3"/>
      <c r="D410" s="3"/>
      <c r="E410" s="3"/>
      <c r="F410" s="3"/>
      <c r="G410" s="3"/>
      <c r="H410" s="3"/>
      <c r="I410" s="3"/>
      <c r="J410" s="3"/>
      <c r="K410" s="3"/>
      <c r="L410" s="3"/>
      <c r="M410" s="3"/>
      <c r="N410" s="3"/>
      <c r="O410" s="3"/>
      <c r="P410" s="3"/>
      <c r="Q410" s="3"/>
      <c r="R410" s="3"/>
      <c r="S410" s="3"/>
      <c r="T410" s="3"/>
      <c r="U410" s="3"/>
      <c r="V410" s="3"/>
      <c r="W410" s="3"/>
      <c r="X410" s="35">
        <v>2.4599999999999999E-3</v>
      </c>
      <c r="Y410" s="35">
        <v>2.7699999999999999E-3</v>
      </c>
      <c r="Z410" s="35">
        <v>1.83E-2</v>
      </c>
      <c r="AA410" s="3"/>
      <c r="AB410" s="3"/>
      <c r="AC410" s="3"/>
      <c r="AD410" s="3"/>
      <c r="AE410" s="3"/>
      <c r="AF410" s="3"/>
      <c r="AG410" s="3"/>
      <c r="AH410" s="3"/>
      <c r="AI410" s="3"/>
      <c r="AJ410" s="3"/>
      <c r="AK410" s="3"/>
      <c r="AL410" s="35">
        <v>2.0500000000000001E-2</v>
      </c>
      <c r="AM410" s="3"/>
      <c r="AN410" s="35">
        <v>2.0500000000000001E-2</v>
      </c>
      <c r="AO410" s="3"/>
      <c r="AP410" s="45">
        <v>0</v>
      </c>
    </row>
    <row r="411" spans="1:42">
      <c r="A411" s="94" t="s">
        <v>621</v>
      </c>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36">
        <v>0</v>
      </c>
      <c r="AP411" s="16"/>
    </row>
    <row r="412" spans="1:42">
      <c r="A412" s="94" t="s">
        <v>622</v>
      </c>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5">
        <v>0</v>
      </c>
      <c r="AP412" s="14"/>
    </row>
    <row r="413" spans="1:42">
      <c r="A413" s="94" t="s">
        <v>623</v>
      </c>
      <c r="B413" s="5"/>
      <c r="C413" s="36">
        <v>2.5399999999999999E-2</v>
      </c>
      <c r="D413" s="36">
        <v>1.6299999999999999E-2</v>
      </c>
      <c r="E413" s="5"/>
      <c r="F413" s="36">
        <v>9.0800000000000006E-2</v>
      </c>
      <c r="G413" s="36">
        <v>1.5800000000000002E-2</v>
      </c>
      <c r="H413" s="36">
        <v>2.3400000000000001E-2</v>
      </c>
      <c r="I413" s="36">
        <v>2.2100000000000002E-2</v>
      </c>
      <c r="J413" s="36">
        <v>1.66E-2</v>
      </c>
      <c r="K413" s="36">
        <v>6.2399999999999997E-2</v>
      </c>
      <c r="L413" s="36">
        <v>2.01E-2</v>
      </c>
      <c r="M413" s="5"/>
      <c r="N413" s="5"/>
      <c r="O413" s="5"/>
      <c r="P413" s="5"/>
      <c r="Q413" s="5"/>
      <c r="R413" s="36">
        <v>1.5299999999999999E-2</v>
      </c>
      <c r="S413" s="5"/>
      <c r="T413" s="36">
        <v>1.5299999999999999E-2</v>
      </c>
      <c r="U413" s="36">
        <v>2.98E-2</v>
      </c>
      <c r="V413" s="36">
        <v>2.3699999999999999E-2</v>
      </c>
      <c r="W413" s="36">
        <v>3.7199999999999997E-2</v>
      </c>
      <c r="X413" s="36">
        <v>2.6100000000000002E-2</v>
      </c>
      <c r="Y413" s="36">
        <v>2.2700000000000001E-2</v>
      </c>
      <c r="Z413" s="36">
        <v>1.9199999999999998E-2</v>
      </c>
      <c r="AA413" s="5"/>
      <c r="AB413" s="36">
        <v>2.7900000000000001E-2</v>
      </c>
      <c r="AC413" s="36">
        <v>2.9100000000000001E-2</v>
      </c>
      <c r="AD413" s="36">
        <v>3.1699999999999999E-2</v>
      </c>
      <c r="AE413" s="5"/>
      <c r="AF413" s="5"/>
      <c r="AG413" s="5"/>
      <c r="AH413" s="5"/>
      <c r="AI413" s="5"/>
      <c r="AJ413" s="36">
        <v>1.9199999999999998E-2</v>
      </c>
      <c r="AK413" s="36">
        <v>7.9899999999999999E-2</v>
      </c>
      <c r="AL413" s="36">
        <v>2.4400000000000002E-2</v>
      </c>
      <c r="AM413" s="5"/>
      <c r="AN413" s="36">
        <v>4.1200000000000001E-2</v>
      </c>
      <c r="AO413" s="36">
        <v>3.3599999999999998E-2</v>
      </c>
      <c r="AP413" s="46">
        <v>81.7</v>
      </c>
    </row>
    <row r="414" spans="1:42">
      <c r="A414" s="94" t="s">
        <v>624</v>
      </c>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5">
        <v>0</v>
      </c>
      <c r="AP414" s="14"/>
    </row>
    <row r="415" spans="1:42">
      <c r="A415" s="94" t="s">
        <v>625</v>
      </c>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36">
        <v>0</v>
      </c>
      <c r="AP415" s="16"/>
    </row>
    <row r="416" spans="1:42">
      <c r="A416" s="94" t="s">
        <v>626</v>
      </c>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5">
        <v>0</v>
      </c>
      <c r="AP416" s="14"/>
    </row>
    <row r="417" spans="1:42">
      <c r="A417" s="94" t="s">
        <v>627</v>
      </c>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36">
        <v>0</v>
      </c>
      <c r="AP417" s="16"/>
    </row>
    <row r="418" spans="1:42">
      <c r="A418" s="94" t="s">
        <v>628</v>
      </c>
      <c r="B418" s="35">
        <v>1.6400000000000001E-2</v>
      </c>
      <c r="C418" s="35">
        <v>2.5399999999999999E-2</v>
      </c>
      <c r="D418" s="35">
        <v>1.7899999999999999E-2</v>
      </c>
      <c r="E418" s="35">
        <v>0.28499999999999998</v>
      </c>
      <c r="F418" s="35">
        <v>0.23799999999999999</v>
      </c>
      <c r="G418" s="35">
        <v>4.58E-2</v>
      </c>
      <c r="H418" s="35">
        <v>2.5100000000000001E-2</v>
      </c>
      <c r="I418" s="35">
        <v>2.1100000000000001E-2</v>
      </c>
      <c r="J418" s="35">
        <v>2.7699999999999999E-2</v>
      </c>
      <c r="K418" s="35">
        <v>2.3099999999999999E-2</v>
      </c>
      <c r="L418" s="35">
        <v>3.8800000000000001E-2</v>
      </c>
      <c r="M418" s="35">
        <v>2.7400000000000001E-2</v>
      </c>
      <c r="N418" s="35">
        <v>3.09E-2</v>
      </c>
      <c r="O418" s="35">
        <v>5.7200000000000001E-2</v>
      </c>
      <c r="P418" s="35">
        <v>3.1199999999999999E-2</v>
      </c>
      <c r="Q418" s="35">
        <v>3.8600000000000002E-2</v>
      </c>
      <c r="R418" s="35">
        <v>4.7300000000000002E-2</v>
      </c>
      <c r="S418" s="35">
        <v>2.29E-2</v>
      </c>
      <c r="T418" s="35">
        <v>6.2E-2</v>
      </c>
      <c r="U418" s="35">
        <v>2.01E-2</v>
      </c>
      <c r="V418" s="35">
        <v>2.93E-2</v>
      </c>
      <c r="W418" s="35">
        <v>4.4200000000000003E-2</v>
      </c>
      <c r="X418" s="35">
        <v>2.8500000000000001E-2</v>
      </c>
      <c r="Y418" s="35">
        <v>4.0800000000000003E-2</v>
      </c>
      <c r="Z418" s="35">
        <v>1.9E-2</v>
      </c>
      <c r="AA418" s="3"/>
      <c r="AB418" s="35">
        <v>2.3300000000000001E-2</v>
      </c>
      <c r="AC418" s="35">
        <v>5.5599999999999997E-2</v>
      </c>
      <c r="AD418" s="35">
        <v>3.7100000000000001E-2</v>
      </c>
      <c r="AE418" s="35">
        <v>9.6299999999999997E-2</v>
      </c>
      <c r="AF418" s="3"/>
      <c r="AG418" s="3"/>
      <c r="AH418" s="3"/>
      <c r="AI418" s="35">
        <v>2.7099999999999999E-2</v>
      </c>
      <c r="AJ418" s="35">
        <v>3.78E-2</v>
      </c>
      <c r="AK418" s="35">
        <v>4.5100000000000001E-2</v>
      </c>
      <c r="AL418" s="35">
        <v>2.7900000000000001E-2</v>
      </c>
      <c r="AM418" s="3"/>
      <c r="AN418" s="35">
        <v>3.4500000000000003E-2</v>
      </c>
      <c r="AO418" s="35">
        <v>8.6099999999999996E-3</v>
      </c>
      <c r="AP418" s="45">
        <v>25</v>
      </c>
    </row>
    <row r="419" spans="1:42">
      <c r="A419" s="94" t="s">
        <v>629</v>
      </c>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36">
        <v>0</v>
      </c>
      <c r="AP419" s="16"/>
    </row>
    <row r="420" spans="1:42">
      <c r="A420" s="94" t="s">
        <v>630</v>
      </c>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5">
        <v>0</v>
      </c>
      <c r="AP420" s="14"/>
    </row>
    <row r="421" spans="1:42">
      <c r="A421" s="94" t="s">
        <v>631</v>
      </c>
      <c r="B421" s="5"/>
      <c r="C421" s="5"/>
      <c r="D421" s="5"/>
      <c r="E421" s="5"/>
      <c r="F421" s="5"/>
      <c r="G421" s="5"/>
      <c r="H421" s="5"/>
      <c r="I421" s="5"/>
      <c r="J421" s="5"/>
      <c r="K421" s="5"/>
      <c r="L421" s="5"/>
      <c r="M421" s="5"/>
      <c r="N421" s="5"/>
      <c r="O421" s="5"/>
      <c r="P421" s="5"/>
      <c r="Q421" s="5"/>
      <c r="R421" s="5"/>
      <c r="S421" s="5"/>
      <c r="T421" s="5"/>
      <c r="U421" s="5"/>
      <c r="V421" s="5"/>
      <c r="W421" s="36">
        <v>2.0699999999999998E-3</v>
      </c>
      <c r="X421" s="5"/>
      <c r="Y421" s="5"/>
      <c r="Z421" s="5"/>
      <c r="AA421" s="5"/>
      <c r="AB421" s="5"/>
      <c r="AC421" s="5"/>
      <c r="AD421" s="5"/>
      <c r="AE421" s="5"/>
      <c r="AF421" s="5"/>
      <c r="AG421" s="5"/>
      <c r="AH421" s="5"/>
      <c r="AI421" s="5"/>
      <c r="AJ421" s="5"/>
      <c r="AK421" s="5"/>
      <c r="AL421" s="5"/>
      <c r="AM421" s="5"/>
      <c r="AN421" s="5"/>
      <c r="AO421" s="36">
        <v>0</v>
      </c>
      <c r="AP421" s="16"/>
    </row>
    <row r="422" spans="1:42">
      <c r="A422" s="94" t="s">
        <v>632</v>
      </c>
      <c r="B422" s="3"/>
      <c r="C422" s="3"/>
      <c r="D422" s="3"/>
      <c r="E422" s="3"/>
      <c r="F422" s="3"/>
      <c r="G422" s="3"/>
      <c r="H422" s="3"/>
      <c r="I422" s="3"/>
      <c r="J422" s="3"/>
      <c r="K422" s="3"/>
      <c r="L422" s="3"/>
      <c r="M422" s="3"/>
      <c r="N422" s="3"/>
      <c r="O422" s="3"/>
      <c r="P422" s="3"/>
      <c r="Q422" s="3"/>
      <c r="R422" s="3"/>
      <c r="S422" s="3"/>
      <c r="T422" s="3"/>
      <c r="U422" s="3"/>
      <c r="V422" s="3"/>
      <c r="W422" s="35">
        <v>1.7700000000000001E-3</v>
      </c>
      <c r="X422" s="3"/>
      <c r="Y422" s="3"/>
      <c r="Z422" s="3"/>
      <c r="AA422" s="3"/>
      <c r="AB422" s="3"/>
      <c r="AC422" s="3"/>
      <c r="AD422" s="3"/>
      <c r="AE422" s="3"/>
      <c r="AF422" s="3"/>
      <c r="AG422" s="3"/>
      <c r="AH422" s="3"/>
      <c r="AI422" s="3"/>
      <c r="AJ422" s="3"/>
      <c r="AK422" s="3"/>
      <c r="AL422" s="3"/>
      <c r="AM422" s="3"/>
      <c r="AN422" s="3"/>
      <c r="AO422" s="35">
        <v>0</v>
      </c>
      <c r="AP422" s="14"/>
    </row>
    <row r="423" spans="1:42">
      <c r="A423" s="94" t="s">
        <v>633</v>
      </c>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36">
        <v>0</v>
      </c>
      <c r="AP423" s="16"/>
    </row>
    <row r="424" spans="1:42">
      <c r="A424" s="94" t="s">
        <v>634</v>
      </c>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5">
        <v>0</v>
      </c>
      <c r="AP424" s="14"/>
    </row>
    <row r="425" spans="1:42">
      <c r="A425" s="94" t="s">
        <v>635</v>
      </c>
      <c r="B425" s="5"/>
      <c r="C425" s="36">
        <v>3.98E-3</v>
      </c>
      <c r="D425" s="36">
        <v>1.34E-3</v>
      </c>
      <c r="E425" s="5"/>
      <c r="F425" s="5"/>
      <c r="G425" s="36">
        <v>6.7199999999999996E-4</v>
      </c>
      <c r="H425" s="36">
        <v>1.14E-3</v>
      </c>
      <c r="I425" s="36">
        <v>1.3500000000000001E-3</v>
      </c>
      <c r="J425" s="5"/>
      <c r="K425" s="5"/>
      <c r="L425" s="36">
        <v>1.5399999999999999E-3</v>
      </c>
      <c r="M425" s="5"/>
      <c r="N425" s="5"/>
      <c r="O425" s="5"/>
      <c r="P425" s="5"/>
      <c r="Q425" s="5"/>
      <c r="R425" s="5"/>
      <c r="S425" s="5"/>
      <c r="T425" s="5"/>
      <c r="U425" s="5"/>
      <c r="V425" s="5"/>
      <c r="W425" s="36">
        <v>2.0899999999999998E-3</v>
      </c>
      <c r="X425" s="5"/>
      <c r="Y425" s="5"/>
      <c r="Z425" s="5"/>
      <c r="AA425" s="5"/>
      <c r="AB425" s="36">
        <v>3.8700000000000002E-3</v>
      </c>
      <c r="AC425" s="36">
        <v>1.8400000000000001E-3</v>
      </c>
      <c r="AD425" s="36">
        <v>1.4400000000000001E-3</v>
      </c>
      <c r="AE425" s="5"/>
      <c r="AF425" s="5"/>
      <c r="AG425" s="5"/>
      <c r="AH425" s="5"/>
      <c r="AI425" s="5"/>
      <c r="AJ425" s="36">
        <v>8.4400000000000002E-4</v>
      </c>
      <c r="AK425" s="5"/>
      <c r="AL425" s="5"/>
      <c r="AM425" s="5"/>
      <c r="AN425" s="36">
        <v>8.4400000000000002E-4</v>
      </c>
      <c r="AO425" s="5"/>
      <c r="AP425" s="46">
        <v>0</v>
      </c>
    </row>
    <row r="426" spans="1:42">
      <c r="A426" s="94" t="s">
        <v>636</v>
      </c>
      <c r="B426" s="3"/>
      <c r="C426" s="35">
        <v>5.7400000000000003E-3</v>
      </c>
      <c r="D426" s="3"/>
      <c r="E426" s="3"/>
      <c r="F426" s="3"/>
      <c r="G426" s="3"/>
      <c r="H426" s="3"/>
      <c r="I426" s="3"/>
      <c r="J426" s="3"/>
      <c r="K426" s="3"/>
      <c r="L426" s="35">
        <v>4.3800000000000002E-3</v>
      </c>
      <c r="M426" s="3"/>
      <c r="N426" s="3"/>
      <c r="O426" s="3"/>
      <c r="P426" s="3"/>
      <c r="Q426" s="3"/>
      <c r="R426" s="3"/>
      <c r="S426" s="3"/>
      <c r="T426" s="3"/>
      <c r="U426" s="3"/>
      <c r="V426" s="3"/>
      <c r="W426" s="35">
        <v>3.5500000000000002E-3</v>
      </c>
      <c r="X426" s="3"/>
      <c r="Y426" s="3"/>
      <c r="Z426" s="3"/>
      <c r="AA426" s="3"/>
      <c r="AB426" s="35">
        <v>5.2300000000000003E-3</v>
      </c>
      <c r="AC426" s="35">
        <v>6.79E-3</v>
      </c>
      <c r="AD426" s="3"/>
      <c r="AE426" s="3"/>
      <c r="AF426" s="3"/>
      <c r="AG426" s="3"/>
      <c r="AH426" s="3"/>
      <c r="AI426" s="3"/>
      <c r="AJ426" s="35">
        <v>3.3500000000000001E-3</v>
      </c>
      <c r="AK426" s="3"/>
      <c r="AL426" s="3"/>
      <c r="AM426" s="3"/>
      <c r="AN426" s="35">
        <v>3.3500000000000001E-3</v>
      </c>
      <c r="AO426" s="3"/>
      <c r="AP426" s="45">
        <v>0</v>
      </c>
    </row>
    <row r="427" spans="1:42">
      <c r="A427" s="94" t="s">
        <v>637</v>
      </c>
      <c r="B427" s="5"/>
      <c r="C427" s="5"/>
      <c r="D427" s="5"/>
      <c r="E427" s="5"/>
      <c r="F427" s="5"/>
      <c r="G427" s="5"/>
      <c r="H427" s="5"/>
      <c r="I427" s="5"/>
      <c r="J427" s="5"/>
      <c r="K427" s="5"/>
      <c r="L427" s="5"/>
      <c r="M427" s="5"/>
      <c r="N427" s="5"/>
      <c r="O427" s="5"/>
      <c r="P427" s="5"/>
      <c r="Q427" s="5"/>
      <c r="R427" s="5"/>
      <c r="S427" s="5"/>
      <c r="T427" s="5"/>
      <c r="U427" s="5"/>
      <c r="V427" s="5"/>
      <c r="W427" s="36">
        <v>3.3400000000000001E-3</v>
      </c>
      <c r="X427" s="5"/>
      <c r="Y427" s="5"/>
      <c r="Z427" s="5"/>
      <c r="AA427" s="5"/>
      <c r="AB427" s="5"/>
      <c r="AC427" s="5"/>
      <c r="AD427" s="5"/>
      <c r="AE427" s="5"/>
      <c r="AF427" s="5"/>
      <c r="AG427" s="5"/>
      <c r="AH427" s="5"/>
      <c r="AI427" s="5"/>
      <c r="AJ427" s="5"/>
      <c r="AK427" s="5"/>
      <c r="AL427" s="5"/>
      <c r="AM427" s="5"/>
      <c r="AN427" s="5"/>
      <c r="AO427" s="36">
        <v>0</v>
      </c>
      <c r="AP427" s="16"/>
    </row>
    <row r="428" spans="1:42">
      <c r="A428" s="94" t="s">
        <v>638</v>
      </c>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5">
        <v>0</v>
      </c>
      <c r="AP428" s="14"/>
    </row>
    <row r="429" spans="1:42">
      <c r="A429" s="94" t="s">
        <v>639</v>
      </c>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36">
        <v>0</v>
      </c>
      <c r="AP429" s="16"/>
    </row>
    <row r="430" spans="1:42">
      <c r="A430" s="94" t="s">
        <v>640</v>
      </c>
      <c r="B430" s="3"/>
      <c r="C430" s="3"/>
      <c r="D430" s="3"/>
      <c r="E430" s="3"/>
      <c r="F430" s="3"/>
      <c r="G430" s="3"/>
      <c r="H430" s="3"/>
      <c r="I430" s="3"/>
      <c r="J430" s="3"/>
      <c r="K430" s="3"/>
      <c r="L430" s="35">
        <v>2.7499999999999998E-3</v>
      </c>
      <c r="M430" s="3"/>
      <c r="N430" s="3"/>
      <c r="O430" s="3"/>
      <c r="P430" s="3"/>
      <c r="Q430" s="3"/>
      <c r="R430" s="3"/>
      <c r="S430" s="3"/>
      <c r="T430" s="3"/>
      <c r="U430" s="3"/>
      <c r="V430" s="3"/>
      <c r="W430" s="3"/>
      <c r="X430" s="3"/>
      <c r="Y430" s="3"/>
      <c r="Z430" s="3"/>
      <c r="AA430" s="3"/>
      <c r="AB430" s="35">
        <v>2.5600000000000002E-3</v>
      </c>
      <c r="AC430" s="3"/>
      <c r="AD430" s="3"/>
      <c r="AE430" s="3"/>
      <c r="AF430" s="3"/>
      <c r="AG430" s="3"/>
      <c r="AH430" s="3"/>
      <c r="AI430" s="3"/>
      <c r="AJ430" s="35">
        <v>6.2100000000000002E-3</v>
      </c>
      <c r="AK430" s="3"/>
      <c r="AL430" s="3"/>
      <c r="AM430" s="3"/>
      <c r="AN430" s="35">
        <v>6.2100000000000002E-3</v>
      </c>
      <c r="AO430" s="3"/>
      <c r="AP430" s="45">
        <v>0</v>
      </c>
    </row>
    <row r="431" spans="1:42">
      <c r="A431" s="94" t="s">
        <v>641</v>
      </c>
      <c r="B431" s="5"/>
      <c r="C431" s="5"/>
      <c r="D431" s="5"/>
      <c r="E431" s="36">
        <v>1.9400000000000001E-2</v>
      </c>
      <c r="F431" s="36">
        <v>2.5700000000000001E-2</v>
      </c>
      <c r="G431" s="36">
        <v>2.4E-2</v>
      </c>
      <c r="H431" s="5"/>
      <c r="I431" s="5"/>
      <c r="J431" s="5"/>
      <c r="K431" s="36">
        <v>3.1899999999999998E-2</v>
      </c>
      <c r="L431" s="5"/>
      <c r="M431" s="5"/>
      <c r="N431" s="5"/>
      <c r="O431" s="5"/>
      <c r="P431" s="5"/>
      <c r="Q431" s="36">
        <v>2.7900000000000001E-2</v>
      </c>
      <c r="R431" s="36">
        <v>7.22E-2</v>
      </c>
      <c r="S431" s="5"/>
      <c r="T431" s="5"/>
      <c r="U431" s="5"/>
      <c r="V431" s="5"/>
      <c r="W431" s="5"/>
      <c r="X431" s="5"/>
      <c r="Y431" s="5"/>
      <c r="Z431" s="5"/>
      <c r="AA431" s="5"/>
      <c r="AB431" s="36">
        <v>4.4600000000000001E-2</v>
      </c>
      <c r="AC431" s="36">
        <v>5.0999999999999997E-2</v>
      </c>
      <c r="AD431" s="36">
        <v>5.45E-2</v>
      </c>
      <c r="AE431" s="5"/>
      <c r="AF431" s="5"/>
      <c r="AG431" s="5"/>
      <c r="AH431" s="5"/>
      <c r="AI431" s="5"/>
      <c r="AJ431" s="5"/>
      <c r="AK431" s="36">
        <v>4.5900000000000003E-2</v>
      </c>
      <c r="AL431" s="36">
        <v>5.3400000000000003E-2</v>
      </c>
      <c r="AM431" s="5"/>
      <c r="AN431" s="36">
        <v>4.9700000000000001E-2</v>
      </c>
      <c r="AO431" s="36">
        <v>5.3099999999999996E-3</v>
      </c>
      <c r="AP431" s="46">
        <v>10.7</v>
      </c>
    </row>
    <row r="432" spans="1:42">
      <c r="A432" s="94" t="s">
        <v>642</v>
      </c>
      <c r="B432" s="35">
        <v>0.10299999999999999</v>
      </c>
      <c r="C432" s="35">
        <v>5.0700000000000002E-2</v>
      </c>
      <c r="D432" s="35">
        <v>1.89E-2</v>
      </c>
      <c r="E432" s="3"/>
      <c r="F432" s="3"/>
      <c r="G432" s="3"/>
      <c r="H432" s="35">
        <v>6.5699999999999995E-2</v>
      </c>
      <c r="I432" s="35">
        <v>6.4600000000000005E-2</v>
      </c>
      <c r="J432" s="35">
        <v>6.9699999999999998E-2</v>
      </c>
      <c r="K432" s="3"/>
      <c r="L432" s="35">
        <v>6.2399999999999997E-2</v>
      </c>
      <c r="M432" s="35">
        <v>0.21099999999999999</v>
      </c>
      <c r="N432" s="35">
        <v>0.11700000000000001</v>
      </c>
      <c r="O432" s="35">
        <v>5.5399999999999998E-2</v>
      </c>
      <c r="P432" s="35">
        <v>9.3200000000000005E-2</v>
      </c>
      <c r="Q432" s="3"/>
      <c r="R432" s="3"/>
      <c r="S432" s="35">
        <v>0.13500000000000001</v>
      </c>
      <c r="T432" s="35">
        <v>3.4299999999999997E-2</v>
      </c>
      <c r="U432" s="35">
        <v>7.5200000000000003E-2</v>
      </c>
      <c r="V432" s="35">
        <v>9.6100000000000005E-2</v>
      </c>
      <c r="W432" s="35">
        <v>7.6399999999999996E-2</v>
      </c>
      <c r="X432" s="35">
        <v>5.3100000000000001E-2</v>
      </c>
      <c r="Y432" s="35">
        <v>6.7100000000000007E-2</v>
      </c>
      <c r="Z432" s="35">
        <v>0.113</v>
      </c>
      <c r="AA432" s="3"/>
      <c r="AB432" s="3"/>
      <c r="AC432" s="3"/>
      <c r="AD432" s="3"/>
      <c r="AE432" s="3"/>
      <c r="AF432" s="3"/>
      <c r="AG432" s="3"/>
      <c r="AH432" s="3"/>
      <c r="AI432" s="35">
        <v>0.105</v>
      </c>
      <c r="AJ432" s="35">
        <v>5.8099999999999999E-2</v>
      </c>
      <c r="AK432" s="3"/>
      <c r="AL432" s="3"/>
      <c r="AM432" s="3"/>
      <c r="AN432" s="35">
        <v>8.1799999999999998E-2</v>
      </c>
      <c r="AO432" s="35">
        <v>3.3500000000000002E-2</v>
      </c>
      <c r="AP432" s="45">
        <v>41</v>
      </c>
    </row>
    <row r="433" spans="1:42">
      <c r="A433" s="94" t="s">
        <v>643</v>
      </c>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36">
        <v>0</v>
      </c>
      <c r="AP433" s="16"/>
    </row>
    <row r="434" spans="1:42">
      <c r="A434" s="94" t="s">
        <v>644</v>
      </c>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5">
        <v>0</v>
      </c>
      <c r="AP434" s="14"/>
    </row>
    <row r="435" spans="1:42">
      <c r="A435" s="94" t="s">
        <v>645</v>
      </c>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36">
        <v>0</v>
      </c>
      <c r="AP435" s="16"/>
    </row>
    <row r="436" spans="1:42">
      <c r="A436" s="94" t="s">
        <v>646</v>
      </c>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5">
        <v>0</v>
      </c>
      <c r="AP436" s="14"/>
    </row>
    <row r="437" spans="1:42">
      <c r="A437" s="94" t="s">
        <v>647</v>
      </c>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36">
        <v>0</v>
      </c>
      <c r="AP437" s="16"/>
    </row>
    <row r="438" spans="1:42">
      <c r="A438" s="94" t="s">
        <v>648</v>
      </c>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5">
        <v>0</v>
      </c>
      <c r="AP438" s="14"/>
    </row>
    <row r="439" spans="1:42">
      <c r="A439" s="94" t="s">
        <v>649</v>
      </c>
      <c r="B439" s="5"/>
      <c r="C439" s="36">
        <v>4.8399999999999997E-3</v>
      </c>
      <c r="D439" s="36">
        <v>3.47E-3</v>
      </c>
      <c r="E439" s="5"/>
      <c r="F439" s="5"/>
      <c r="G439" s="5"/>
      <c r="H439" s="36">
        <v>4.5300000000000002E-3</v>
      </c>
      <c r="I439" s="5"/>
      <c r="J439" s="5"/>
      <c r="K439" s="5"/>
      <c r="L439" s="36">
        <v>3.32E-3</v>
      </c>
      <c r="M439" s="5"/>
      <c r="N439" s="5"/>
      <c r="O439" s="5"/>
      <c r="P439" s="5"/>
      <c r="Q439" s="5"/>
      <c r="R439" s="5"/>
      <c r="S439" s="5"/>
      <c r="T439" s="5"/>
      <c r="U439" s="5"/>
      <c r="V439" s="5"/>
      <c r="W439" s="36">
        <v>2.9299999999999999E-3</v>
      </c>
      <c r="X439" s="5"/>
      <c r="Y439" s="5"/>
      <c r="Z439" s="5"/>
      <c r="AA439" s="5"/>
      <c r="AB439" s="36">
        <v>2.96E-3</v>
      </c>
      <c r="AC439" s="5"/>
      <c r="AD439" s="5"/>
      <c r="AE439" s="5"/>
      <c r="AF439" s="5"/>
      <c r="AG439" s="5"/>
      <c r="AH439" s="5"/>
      <c r="AI439" s="5"/>
      <c r="AJ439" s="5"/>
      <c r="AK439" s="5"/>
      <c r="AL439" s="5"/>
      <c r="AM439" s="5"/>
      <c r="AN439" s="5"/>
      <c r="AO439" s="36">
        <v>0</v>
      </c>
      <c r="AP439" s="16"/>
    </row>
    <row r="440" spans="1:42">
      <c r="A440" s="94" t="s">
        <v>650</v>
      </c>
      <c r="B440" s="3"/>
      <c r="C440" s="35">
        <v>3.2699999999999999E-3</v>
      </c>
      <c r="D440" s="35">
        <v>1.73E-3</v>
      </c>
      <c r="E440" s="3"/>
      <c r="F440" s="3"/>
      <c r="G440" s="3"/>
      <c r="H440" s="35">
        <v>1.07E-3</v>
      </c>
      <c r="I440" s="35">
        <v>1.3799999999999999E-3</v>
      </c>
      <c r="J440" s="3"/>
      <c r="K440" s="3"/>
      <c r="L440" s="35">
        <v>2.0799999999999998E-3</v>
      </c>
      <c r="M440" s="3"/>
      <c r="N440" s="3"/>
      <c r="O440" s="3"/>
      <c r="P440" s="3"/>
      <c r="Q440" s="3"/>
      <c r="R440" s="3"/>
      <c r="S440" s="3"/>
      <c r="T440" s="3"/>
      <c r="U440" s="3"/>
      <c r="V440" s="3"/>
      <c r="W440" s="35">
        <v>2.1199999999999999E-3</v>
      </c>
      <c r="X440" s="3"/>
      <c r="Y440" s="3"/>
      <c r="Z440" s="35">
        <v>7.27E-4</v>
      </c>
      <c r="AA440" s="3"/>
      <c r="AB440" s="35">
        <v>3.0100000000000001E-3</v>
      </c>
      <c r="AC440" s="35">
        <v>1.1199999999999999E-3</v>
      </c>
      <c r="AD440" s="35">
        <v>1.09E-3</v>
      </c>
      <c r="AE440" s="3"/>
      <c r="AF440" s="3"/>
      <c r="AG440" s="3"/>
      <c r="AH440" s="3"/>
      <c r="AI440" s="3"/>
      <c r="AJ440" s="35">
        <v>1.48E-3</v>
      </c>
      <c r="AK440" s="3"/>
      <c r="AL440" s="3"/>
      <c r="AM440" s="3"/>
      <c r="AN440" s="35">
        <v>1.48E-3</v>
      </c>
      <c r="AO440" s="3"/>
      <c r="AP440" s="45">
        <v>0</v>
      </c>
    </row>
    <row r="441" spans="1:42">
      <c r="A441" s="94" t="s">
        <v>651</v>
      </c>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36">
        <v>0</v>
      </c>
      <c r="AP441" s="16"/>
    </row>
    <row r="442" spans="1:42">
      <c r="A442" s="94" t="s">
        <v>652</v>
      </c>
      <c r="B442" s="3"/>
      <c r="C442" s="35">
        <v>4.5199999999999997E-3</v>
      </c>
      <c r="D442" s="35">
        <v>2.33E-3</v>
      </c>
      <c r="E442" s="3"/>
      <c r="F442" s="3"/>
      <c r="G442" s="3"/>
      <c r="H442" s="35">
        <v>3.3800000000000002E-3</v>
      </c>
      <c r="I442" s="35">
        <v>1.81E-3</v>
      </c>
      <c r="J442" s="3"/>
      <c r="K442" s="3"/>
      <c r="L442" s="35">
        <v>2.3999999999999998E-3</v>
      </c>
      <c r="M442" s="3"/>
      <c r="N442" s="3"/>
      <c r="O442" s="3"/>
      <c r="P442" s="3"/>
      <c r="Q442" s="3"/>
      <c r="R442" s="3"/>
      <c r="S442" s="3"/>
      <c r="T442" s="3"/>
      <c r="U442" s="3"/>
      <c r="V442" s="3"/>
      <c r="W442" s="35">
        <v>2.3900000000000002E-3</v>
      </c>
      <c r="X442" s="3"/>
      <c r="Y442" s="3"/>
      <c r="Z442" s="3"/>
      <c r="AA442" s="3"/>
      <c r="AB442" s="35">
        <v>4.7299999999999998E-3</v>
      </c>
      <c r="AC442" s="35">
        <v>2.0699999999999998E-3</v>
      </c>
      <c r="AD442" s="3"/>
      <c r="AE442" s="3"/>
      <c r="AF442" s="3"/>
      <c r="AG442" s="3"/>
      <c r="AH442" s="3"/>
      <c r="AI442" s="3"/>
      <c r="AJ442" s="35">
        <v>2.2399999999999998E-3</v>
      </c>
      <c r="AK442" s="3"/>
      <c r="AL442" s="3"/>
      <c r="AM442" s="3"/>
      <c r="AN442" s="35">
        <v>2.2399999999999998E-3</v>
      </c>
      <c r="AO442" s="3"/>
      <c r="AP442" s="45">
        <v>0</v>
      </c>
    </row>
    <row r="443" spans="1:42">
      <c r="A443" s="94" t="s">
        <v>653</v>
      </c>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36">
        <v>0</v>
      </c>
      <c r="AP443" s="16"/>
    </row>
    <row r="444" spans="1:42">
      <c r="A444" s="94" t="s">
        <v>654</v>
      </c>
      <c r="B444" s="3"/>
      <c r="C444" s="35">
        <v>5.1200000000000004E-3</v>
      </c>
      <c r="D444" s="3"/>
      <c r="E444" s="3"/>
      <c r="F444" s="3"/>
      <c r="G444" s="3"/>
      <c r="H444" s="3"/>
      <c r="I444" s="3"/>
      <c r="J444" s="3"/>
      <c r="K444" s="3"/>
      <c r="L444" s="35">
        <v>4.5199999999999997E-3</v>
      </c>
      <c r="M444" s="3"/>
      <c r="N444" s="3"/>
      <c r="O444" s="3"/>
      <c r="P444" s="3"/>
      <c r="Q444" s="3"/>
      <c r="R444" s="3"/>
      <c r="S444" s="3"/>
      <c r="T444" s="3"/>
      <c r="U444" s="3"/>
      <c r="V444" s="3"/>
      <c r="W444" s="35">
        <v>4.28E-3</v>
      </c>
      <c r="X444" s="3"/>
      <c r="Y444" s="3"/>
      <c r="Z444" s="3"/>
      <c r="AA444" s="3"/>
      <c r="AB444" s="35">
        <v>3.3E-3</v>
      </c>
      <c r="AC444" s="35">
        <v>1.5299999999999999E-3</v>
      </c>
      <c r="AD444" s="3"/>
      <c r="AE444" s="3"/>
      <c r="AF444" s="3"/>
      <c r="AG444" s="3"/>
      <c r="AH444" s="3"/>
      <c r="AI444" s="3"/>
      <c r="AJ444" s="35">
        <v>2.3600000000000001E-3</v>
      </c>
      <c r="AK444" s="3"/>
      <c r="AL444" s="3"/>
      <c r="AM444" s="3"/>
      <c r="AN444" s="35">
        <v>2.3600000000000001E-3</v>
      </c>
      <c r="AO444" s="3"/>
      <c r="AP444" s="45">
        <v>0</v>
      </c>
    </row>
    <row r="445" spans="1:42">
      <c r="A445" s="94" t="s">
        <v>655</v>
      </c>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36">
        <v>0</v>
      </c>
      <c r="AP445" s="16"/>
    </row>
    <row r="446" spans="1:42">
      <c r="A446" s="94" t="s">
        <v>656</v>
      </c>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5">
        <v>0</v>
      </c>
      <c r="AP446" s="14"/>
    </row>
    <row r="447" spans="1:42">
      <c r="A447" s="94" t="s">
        <v>657</v>
      </c>
      <c r="B447" s="5"/>
      <c r="C447" s="36">
        <v>9.2300000000000004E-3</v>
      </c>
      <c r="D447" s="36">
        <v>6.6400000000000001E-3</v>
      </c>
      <c r="E447" s="36">
        <v>1.6500000000000001E-2</v>
      </c>
      <c r="F447" s="36">
        <v>2.0899999999999998E-2</v>
      </c>
      <c r="G447" s="36">
        <v>1.26E-2</v>
      </c>
      <c r="H447" s="36">
        <v>8.3800000000000003E-3</v>
      </c>
      <c r="I447" s="36">
        <v>6.5100000000000002E-3</v>
      </c>
      <c r="J447" s="36">
        <v>1.18E-2</v>
      </c>
      <c r="K447" s="5"/>
      <c r="L447" s="36">
        <v>8.9999999999999993E-3</v>
      </c>
      <c r="M447" s="5"/>
      <c r="N447" s="36">
        <v>5.5199999999999997E-3</v>
      </c>
      <c r="O447" s="36">
        <v>1.0200000000000001E-2</v>
      </c>
      <c r="P447" s="36">
        <v>8.0099999999999998E-3</v>
      </c>
      <c r="Q447" s="5"/>
      <c r="R447" s="36">
        <v>1.4999999999999999E-2</v>
      </c>
      <c r="S447" s="5"/>
      <c r="T447" s="36">
        <v>1.9699999999999999E-2</v>
      </c>
      <c r="U447" s="36">
        <v>6.7400000000000003E-3</v>
      </c>
      <c r="V447" s="36">
        <v>8.3300000000000006E-3</v>
      </c>
      <c r="W447" s="36">
        <v>1.1900000000000001E-2</v>
      </c>
      <c r="X447" s="36">
        <v>6.5199999999999998E-3</v>
      </c>
      <c r="Y447" s="36">
        <v>1.3599999999999999E-2</v>
      </c>
      <c r="Z447" s="36">
        <v>7.5900000000000004E-3</v>
      </c>
      <c r="AA447" s="5"/>
      <c r="AB447" s="36">
        <v>9.2700000000000005E-3</v>
      </c>
      <c r="AC447" s="36">
        <v>1.47E-2</v>
      </c>
      <c r="AD447" s="5"/>
      <c r="AE447" s="36">
        <v>1.52E-2</v>
      </c>
      <c r="AF447" s="5"/>
      <c r="AG447" s="5"/>
      <c r="AH447" s="5"/>
      <c r="AI447" s="5"/>
      <c r="AJ447" s="36">
        <v>9.3900000000000008E-3</v>
      </c>
      <c r="AK447" s="36">
        <v>1.21E-2</v>
      </c>
      <c r="AL447" s="5"/>
      <c r="AM447" s="5"/>
      <c r="AN447" s="36">
        <v>1.0699999999999999E-2</v>
      </c>
      <c r="AO447" s="36">
        <v>1.9E-3</v>
      </c>
      <c r="AP447" s="46">
        <v>17.7</v>
      </c>
    </row>
    <row r="448" spans="1:42">
      <c r="A448" s="94" t="s">
        <v>658</v>
      </c>
      <c r="B448" s="35">
        <v>3.04E-2</v>
      </c>
      <c r="C448" s="3"/>
      <c r="D448" s="3"/>
      <c r="E448" s="3"/>
      <c r="F448" s="3"/>
      <c r="G448" s="3"/>
      <c r="H448" s="3"/>
      <c r="I448" s="3"/>
      <c r="J448" s="35">
        <v>5.04E-2</v>
      </c>
      <c r="K448" s="3"/>
      <c r="L448" s="35">
        <v>4.9200000000000001E-2</v>
      </c>
      <c r="M448" s="3"/>
      <c r="N448" s="35">
        <v>4.36E-2</v>
      </c>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5">
        <v>0</v>
      </c>
      <c r="AP448" s="14"/>
    </row>
    <row r="449" spans="1:42">
      <c r="A449" s="94" t="s">
        <v>659</v>
      </c>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36">
        <v>0</v>
      </c>
      <c r="AP449" s="16"/>
    </row>
    <row r="450" spans="1:42">
      <c r="A450" s="94" t="s">
        <v>660</v>
      </c>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5">
        <v>0</v>
      </c>
      <c r="AP450" s="14"/>
    </row>
    <row r="451" spans="1:42">
      <c r="A451" s="94" t="s">
        <v>661</v>
      </c>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36">
        <v>0</v>
      </c>
      <c r="AP451" s="16"/>
    </row>
    <row r="452" spans="1:42">
      <c r="A452" s="94" t="s">
        <v>662</v>
      </c>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5">
        <v>0</v>
      </c>
      <c r="AP452" s="14"/>
    </row>
    <row r="453" spans="1:42">
      <c r="A453" s="94" t="s">
        <v>663</v>
      </c>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36">
        <v>0</v>
      </c>
      <c r="AP453" s="16"/>
    </row>
    <row r="454" spans="1:42">
      <c r="A454" s="94" t="s">
        <v>664</v>
      </c>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5">
        <v>0</v>
      </c>
      <c r="AP454" s="14"/>
    </row>
    <row r="455" spans="1:42">
      <c r="A455" s="94" t="s">
        <v>665</v>
      </c>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36">
        <v>0</v>
      </c>
      <c r="AP455" s="16"/>
    </row>
    <row r="456" spans="1:42">
      <c r="A456" s="94" t="s">
        <v>666</v>
      </c>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5">
        <v>0</v>
      </c>
      <c r="AP456" s="14"/>
    </row>
    <row r="457" spans="1:42">
      <c r="A457" s="94" t="s">
        <v>667</v>
      </c>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36">
        <v>0</v>
      </c>
      <c r="AP457" s="16"/>
    </row>
    <row r="458" spans="1:42">
      <c r="A458" s="94" t="s">
        <v>668</v>
      </c>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5">
        <v>0</v>
      </c>
      <c r="AP458" s="14"/>
    </row>
    <row r="459" spans="1:42">
      <c r="A459" s="94" t="s">
        <v>669</v>
      </c>
      <c r="B459" s="5"/>
      <c r="C459" s="36">
        <v>4.5699999999999998E-2</v>
      </c>
      <c r="D459" s="36">
        <v>4.2200000000000001E-2</v>
      </c>
      <c r="E459" s="5"/>
      <c r="F459" s="5"/>
      <c r="G459" s="5"/>
      <c r="H459" s="36">
        <v>3.4200000000000001E-2</v>
      </c>
      <c r="I459" s="36">
        <v>3.2399999999999998E-2</v>
      </c>
      <c r="J459" s="5"/>
      <c r="K459" s="5"/>
      <c r="L459" s="5"/>
      <c r="M459" s="5"/>
      <c r="N459" s="5"/>
      <c r="O459" s="5"/>
      <c r="P459" s="5"/>
      <c r="Q459" s="5"/>
      <c r="R459" s="5"/>
      <c r="S459" s="5"/>
      <c r="T459" s="5"/>
      <c r="U459" s="5"/>
      <c r="V459" s="5"/>
      <c r="W459" s="5"/>
      <c r="X459" s="5"/>
      <c r="Y459" s="5"/>
      <c r="Z459" s="5"/>
      <c r="AA459" s="5"/>
      <c r="AB459" s="36">
        <v>5.9200000000000003E-2</v>
      </c>
      <c r="AC459" s="36">
        <v>8.2900000000000001E-2</v>
      </c>
      <c r="AD459" s="5"/>
      <c r="AE459" s="5"/>
      <c r="AF459" s="5"/>
      <c r="AG459" s="5"/>
      <c r="AH459" s="5"/>
      <c r="AI459" s="5"/>
      <c r="AJ459" s="5"/>
      <c r="AK459" s="5"/>
      <c r="AL459" s="5"/>
      <c r="AM459" s="5"/>
      <c r="AN459" s="5"/>
      <c r="AO459" s="36">
        <v>0</v>
      </c>
      <c r="AP459" s="16"/>
    </row>
    <row r="460" spans="1:42">
      <c r="A460" s="94" t="s">
        <v>670</v>
      </c>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5">
        <v>0</v>
      </c>
      <c r="AP460" s="14"/>
    </row>
    <row r="461" spans="1:42">
      <c r="A461" s="94" t="s">
        <v>671</v>
      </c>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36">
        <v>0</v>
      </c>
      <c r="AP461" s="16"/>
    </row>
    <row r="462" spans="1:42">
      <c r="A462" s="94" t="s">
        <v>672</v>
      </c>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5">
        <v>0</v>
      </c>
      <c r="AP462" s="14"/>
    </row>
    <row r="463" spans="1:42">
      <c r="A463" s="94" t="s">
        <v>673</v>
      </c>
      <c r="B463" s="5"/>
      <c r="C463" s="36">
        <v>1.1900000000000001E-2</v>
      </c>
      <c r="D463" s="36">
        <v>5.45E-3</v>
      </c>
      <c r="E463" s="5"/>
      <c r="F463" s="5"/>
      <c r="G463" s="5"/>
      <c r="H463" s="5"/>
      <c r="I463" s="36">
        <v>3.7499999999999999E-3</v>
      </c>
      <c r="J463" s="5"/>
      <c r="K463" s="5"/>
      <c r="L463" s="36">
        <v>3.5599999999999998E-3</v>
      </c>
      <c r="M463" s="5"/>
      <c r="N463" s="5"/>
      <c r="O463" s="5"/>
      <c r="P463" s="5"/>
      <c r="Q463" s="5"/>
      <c r="R463" s="5"/>
      <c r="S463" s="5"/>
      <c r="T463" s="5"/>
      <c r="U463" s="5"/>
      <c r="V463" s="5"/>
      <c r="W463" s="5"/>
      <c r="X463" s="5"/>
      <c r="Y463" s="5"/>
      <c r="Z463" s="5"/>
      <c r="AA463" s="5"/>
      <c r="AB463" s="36">
        <v>8.8800000000000007E-3</v>
      </c>
      <c r="AC463" s="5"/>
      <c r="AD463" s="5"/>
      <c r="AE463" s="5"/>
      <c r="AF463" s="5"/>
      <c r="AG463" s="5"/>
      <c r="AH463" s="5"/>
      <c r="AI463" s="5"/>
      <c r="AJ463" s="5"/>
      <c r="AK463" s="5"/>
      <c r="AL463" s="5"/>
      <c r="AM463" s="5"/>
      <c r="AN463" s="5"/>
      <c r="AO463" s="36">
        <v>0</v>
      </c>
      <c r="AP463" s="16"/>
    </row>
    <row r="464" spans="1:42">
      <c r="A464" s="94" t="s">
        <v>674</v>
      </c>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5">
        <v>0</v>
      </c>
      <c r="AP464" s="14"/>
    </row>
    <row r="465" spans="1:42">
      <c r="A465" s="94" t="s">
        <v>675</v>
      </c>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36">
        <v>0</v>
      </c>
      <c r="AP465" s="16"/>
    </row>
    <row r="466" spans="1:42">
      <c r="A466" s="94" t="s">
        <v>676</v>
      </c>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5">
        <v>0</v>
      </c>
      <c r="AP466" s="14"/>
    </row>
    <row r="467" spans="1:42">
      <c r="A467" s="94" t="s">
        <v>677</v>
      </c>
      <c r="B467" s="36">
        <v>2.7599999999999999E-3</v>
      </c>
      <c r="C467" s="36">
        <v>4.7600000000000003E-3</v>
      </c>
      <c r="D467" s="36">
        <v>2.6700000000000001E-3</v>
      </c>
      <c r="E467" s="36">
        <v>1.33E-3</v>
      </c>
      <c r="F467" s="36">
        <v>1.89E-3</v>
      </c>
      <c r="G467" s="5"/>
      <c r="H467" s="36">
        <v>3.0899999999999999E-3</v>
      </c>
      <c r="I467" s="36">
        <v>3.1700000000000001E-3</v>
      </c>
      <c r="J467" s="36">
        <v>2.8E-3</v>
      </c>
      <c r="K467" s="36">
        <v>1.24E-3</v>
      </c>
      <c r="L467" s="36">
        <v>4.2500000000000003E-3</v>
      </c>
      <c r="M467" s="36">
        <v>3.14E-3</v>
      </c>
      <c r="N467" s="36">
        <v>2.2100000000000002E-3</v>
      </c>
      <c r="O467" s="36">
        <v>1.7799999999999999E-3</v>
      </c>
      <c r="P467" s="36">
        <v>3.13E-3</v>
      </c>
      <c r="Q467" s="36">
        <v>2.2799999999999999E-3</v>
      </c>
      <c r="R467" s="5"/>
      <c r="S467" s="36">
        <v>4.4400000000000004E-3</v>
      </c>
      <c r="T467" s="5"/>
      <c r="U467" s="5"/>
      <c r="V467" s="5"/>
      <c r="W467" s="5"/>
      <c r="X467" s="5"/>
      <c r="Y467" s="5"/>
      <c r="Z467" s="5"/>
      <c r="AA467" s="5"/>
      <c r="AB467" s="36">
        <v>3.65E-3</v>
      </c>
      <c r="AC467" s="36">
        <v>4.7699999999999999E-3</v>
      </c>
      <c r="AD467" s="36">
        <v>5.13E-3</v>
      </c>
      <c r="AE467" s="5"/>
      <c r="AF467" s="5"/>
      <c r="AG467" s="5"/>
      <c r="AH467" s="5"/>
      <c r="AI467" s="36">
        <v>2.3800000000000002E-3</v>
      </c>
      <c r="AJ467" s="36">
        <v>3.3500000000000001E-3</v>
      </c>
      <c r="AK467" s="36">
        <v>1.42E-3</v>
      </c>
      <c r="AL467" s="36">
        <v>2.4499999999999999E-3</v>
      </c>
      <c r="AM467" s="5"/>
      <c r="AN467" s="36">
        <v>2.3999999999999998E-3</v>
      </c>
      <c r="AO467" s="36">
        <v>7.8899999999999999E-4</v>
      </c>
      <c r="AP467" s="46">
        <v>32.9</v>
      </c>
    </row>
    <row r="468" spans="1:42">
      <c r="A468" s="94" t="s">
        <v>678</v>
      </c>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5">
        <v>0</v>
      </c>
      <c r="AP468" s="14"/>
    </row>
    <row r="469" spans="1:42">
      <c r="A469" s="94" t="s">
        <v>679</v>
      </c>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36">
        <v>0</v>
      </c>
      <c r="AP469" s="16"/>
    </row>
    <row r="470" spans="1:42">
      <c r="A470" s="94" t="s">
        <v>680</v>
      </c>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5">
        <v>0</v>
      </c>
      <c r="AP470" s="14"/>
    </row>
    <row r="471" spans="1:42">
      <c r="A471" s="94" t="s">
        <v>681</v>
      </c>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36">
        <v>0</v>
      </c>
      <c r="AP471" s="16"/>
    </row>
    <row r="472" spans="1:42">
      <c r="A472" s="94" t="s">
        <v>682</v>
      </c>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5">
        <v>0</v>
      </c>
      <c r="AP472" s="14"/>
    </row>
    <row r="473" spans="1:42">
      <c r="A473" s="94" t="s">
        <v>683</v>
      </c>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36">
        <v>0</v>
      </c>
      <c r="AP473" s="16"/>
    </row>
    <row r="474" spans="1:42">
      <c r="A474" s="94" t="s">
        <v>684</v>
      </c>
      <c r="B474" s="3"/>
      <c r="C474" s="35">
        <v>8.3799999999999999E-2</v>
      </c>
      <c r="D474" s="35">
        <v>8.5800000000000001E-2</v>
      </c>
      <c r="E474" s="35">
        <v>1.29</v>
      </c>
      <c r="F474" s="35">
        <v>1.1599999999999999</v>
      </c>
      <c r="G474" s="35">
        <v>0.36499999999999999</v>
      </c>
      <c r="H474" s="35">
        <v>0.112</v>
      </c>
      <c r="I474" s="35">
        <v>8.0500000000000002E-2</v>
      </c>
      <c r="J474" s="35">
        <v>0.123</v>
      </c>
      <c r="K474" s="35">
        <v>0.80900000000000005</v>
      </c>
      <c r="L474" s="35">
        <v>0.30599999999999999</v>
      </c>
      <c r="M474" s="35">
        <v>0.184</v>
      </c>
      <c r="N474" s="35">
        <v>7.6600000000000001E-2</v>
      </c>
      <c r="O474" s="3"/>
      <c r="P474" s="35">
        <v>0.10299999999999999</v>
      </c>
      <c r="Q474" s="35">
        <v>1.28</v>
      </c>
      <c r="R474" s="35">
        <v>0.379</v>
      </c>
      <c r="S474" s="3"/>
      <c r="T474" s="35">
        <v>0.128</v>
      </c>
      <c r="U474" s="35">
        <v>6.8400000000000002E-2</v>
      </c>
      <c r="V474" s="35">
        <v>4.5400000000000003E-2</v>
      </c>
      <c r="W474" s="3"/>
      <c r="X474" s="3"/>
      <c r="Y474" s="3"/>
      <c r="Z474" s="3"/>
      <c r="AA474" s="3"/>
      <c r="AB474" s="35">
        <v>0.36</v>
      </c>
      <c r="AC474" s="35">
        <v>0.47899999999999998</v>
      </c>
      <c r="AD474" s="35">
        <v>0.34799999999999998</v>
      </c>
      <c r="AE474" s="35">
        <v>1.94</v>
      </c>
      <c r="AF474" s="3"/>
      <c r="AG474" s="3"/>
      <c r="AH474" s="3"/>
      <c r="AI474" s="35">
        <v>0.14499999999999999</v>
      </c>
      <c r="AJ474" s="35">
        <v>0.28699999999999998</v>
      </c>
      <c r="AK474" s="35">
        <v>1.03</v>
      </c>
      <c r="AL474" s="35">
        <v>0.42199999999999999</v>
      </c>
      <c r="AM474" s="3"/>
      <c r="AN474" s="35">
        <v>0.47099999999999997</v>
      </c>
      <c r="AO474" s="35">
        <v>0.39</v>
      </c>
      <c r="AP474" s="45">
        <v>82.8</v>
      </c>
    </row>
    <row r="475" spans="1:42">
      <c r="A475" s="94" t="s">
        <v>685</v>
      </c>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36">
        <v>0</v>
      </c>
      <c r="AP475" s="16"/>
    </row>
    <row r="476" spans="1:42">
      <c r="A476" s="94" t="s">
        <v>686</v>
      </c>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5">
        <v>0</v>
      </c>
      <c r="AP476" s="14"/>
    </row>
    <row r="477" spans="1:42">
      <c r="A477" s="94" t="s">
        <v>687</v>
      </c>
      <c r="B477" s="5"/>
      <c r="C477" s="36">
        <v>1.6299999999999999E-2</v>
      </c>
      <c r="D477" s="36">
        <v>1.06E-2</v>
      </c>
      <c r="E477" s="5"/>
      <c r="F477" s="5"/>
      <c r="G477" s="5"/>
      <c r="H477" s="36">
        <v>1.01E-2</v>
      </c>
      <c r="I477" s="36">
        <v>9.5600000000000008E-3</v>
      </c>
      <c r="J477" s="36">
        <v>4.2100000000000002E-3</v>
      </c>
      <c r="K477" s="5"/>
      <c r="L477" s="36">
        <v>9.7999999999999997E-3</v>
      </c>
      <c r="M477" s="5"/>
      <c r="N477" s="5"/>
      <c r="O477" s="5"/>
      <c r="P477" s="36">
        <v>3.46E-3</v>
      </c>
      <c r="Q477" s="5"/>
      <c r="R477" s="5"/>
      <c r="S477" s="5"/>
      <c r="T477" s="36">
        <v>3.8600000000000001E-3</v>
      </c>
      <c r="U477" s="36">
        <v>2.7000000000000001E-3</v>
      </c>
      <c r="V477" s="36">
        <v>5.6800000000000002E-3</v>
      </c>
      <c r="W477" s="36">
        <v>4.1099999999999999E-3</v>
      </c>
      <c r="X477" s="36">
        <v>2.2399999999999998E-3</v>
      </c>
      <c r="Y477" s="36">
        <v>3.0400000000000002E-3</v>
      </c>
      <c r="Z477" s="5"/>
      <c r="AA477" s="5"/>
      <c r="AB477" s="36">
        <v>1.11E-2</v>
      </c>
      <c r="AC477" s="36">
        <v>7.7499999999999999E-3</v>
      </c>
      <c r="AD477" s="36">
        <v>7.0600000000000003E-3</v>
      </c>
      <c r="AE477" s="5"/>
      <c r="AF477" s="5"/>
      <c r="AG477" s="5"/>
      <c r="AH477" s="36">
        <v>4.13E-3</v>
      </c>
      <c r="AI477" s="5"/>
      <c r="AJ477" s="36">
        <v>8.3599999999999994E-3</v>
      </c>
      <c r="AK477" s="5"/>
      <c r="AL477" s="5"/>
      <c r="AM477" s="5"/>
      <c r="AN477" s="36">
        <v>6.2399999999999999E-3</v>
      </c>
      <c r="AO477" s="36">
        <v>2.99E-3</v>
      </c>
      <c r="AP477" s="46">
        <v>47.9</v>
      </c>
    </row>
    <row r="478" spans="1:42">
      <c r="A478" s="94" t="s">
        <v>688</v>
      </c>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5">
        <v>0</v>
      </c>
      <c r="AP478" s="14"/>
    </row>
    <row r="479" spans="1:42">
      <c r="A479" s="94" t="s">
        <v>689</v>
      </c>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36">
        <v>1.9E-3</v>
      </c>
      <c r="AC479" s="5"/>
      <c r="AD479" s="5"/>
      <c r="AE479" s="5"/>
      <c r="AF479" s="5"/>
      <c r="AG479" s="5"/>
      <c r="AH479" s="5"/>
      <c r="AI479" s="5"/>
      <c r="AJ479" s="5"/>
      <c r="AK479" s="5"/>
      <c r="AL479" s="5"/>
      <c r="AM479" s="5"/>
      <c r="AN479" s="5"/>
      <c r="AO479" s="36">
        <v>0</v>
      </c>
      <c r="AP479" s="16"/>
    </row>
    <row r="480" spans="1:42">
      <c r="A480" s="94" t="s">
        <v>690</v>
      </c>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5">
        <v>0</v>
      </c>
      <c r="AP480" s="14"/>
    </row>
    <row r="481" spans="1:42">
      <c r="A481" s="94" t="s">
        <v>691</v>
      </c>
      <c r="B481" s="36">
        <v>3.0499999999999999E-2</v>
      </c>
      <c r="C481" s="36">
        <v>1.6400000000000001E-2</v>
      </c>
      <c r="D481" s="36">
        <v>1.03E-2</v>
      </c>
      <c r="E481" s="36">
        <v>3.1800000000000002E-2</v>
      </c>
      <c r="F481" s="36">
        <v>4.6800000000000001E-2</v>
      </c>
      <c r="G481" s="36">
        <v>3.9600000000000003E-2</v>
      </c>
      <c r="H481" s="36">
        <v>2.2700000000000001E-2</v>
      </c>
      <c r="I481" s="36">
        <v>2.4799999999999999E-2</v>
      </c>
      <c r="J481" s="36">
        <v>2.76E-2</v>
      </c>
      <c r="K481" s="36">
        <v>3.8899999999999997E-2</v>
      </c>
      <c r="L481" s="36">
        <v>1.9199999999999998E-2</v>
      </c>
      <c r="M481" s="36">
        <v>3.4599999999999999E-2</v>
      </c>
      <c r="N481" s="36">
        <v>2.5600000000000001E-2</v>
      </c>
      <c r="O481" s="36">
        <v>2.0199999999999999E-2</v>
      </c>
      <c r="P481" s="36">
        <v>2.6200000000000001E-2</v>
      </c>
      <c r="Q481" s="36">
        <v>3.7100000000000001E-2</v>
      </c>
      <c r="R481" s="36">
        <v>4.2500000000000003E-2</v>
      </c>
      <c r="S481" s="36">
        <v>3.5700000000000003E-2</v>
      </c>
      <c r="T481" s="36">
        <v>5.6599999999999998E-2</v>
      </c>
      <c r="U481" s="36">
        <v>2.63E-2</v>
      </c>
      <c r="V481" s="36">
        <v>4.6100000000000002E-2</v>
      </c>
      <c r="W481" s="36">
        <v>3.4500000000000003E-2</v>
      </c>
      <c r="X481" s="36">
        <v>2.52E-2</v>
      </c>
      <c r="Y481" s="36">
        <v>3.8199999999999998E-2</v>
      </c>
      <c r="Z481" s="36">
        <v>3.7999999999999999E-2</v>
      </c>
      <c r="AA481" s="5"/>
      <c r="AB481" s="36">
        <v>3.2199999999999999E-2</v>
      </c>
      <c r="AC481" s="36">
        <v>4.53E-2</v>
      </c>
      <c r="AD481" s="36">
        <v>4.7699999999999999E-2</v>
      </c>
      <c r="AE481" s="36">
        <v>5.3100000000000001E-2</v>
      </c>
      <c r="AF481" s="5"/>
      <c r="AG481" s="5"/>
      <c r="AH481" s="5"/>
      <c r="AI481" s="36">
        <v>2.98E-2</v>
      </c>
      <c r="AJ481" s="36">
        <v>4.0300000000000002E-2</v>
      </c>
      <c r="AK481" s="36">
        <v>4.5699999999999998E-2</v>
      </c>
      <c r="AL481" s="36">
        <v>4.3400000000000001E-2</v>
      </c>
      <c r="AM481" s="5"/>
      <c r="AN481" s="36">
        <v>3.9800000000000002E-2</v>
      </c>
      <c r="AO481" s="36">
        <v>7.0200000000000002E-3</v>
      </c>
      <c r="AP481" s="46">
        <v>17.600000000000001</v>
      </c>
    </row>
    <row r="482" spans="1:42">
      <c r="A482" s="94" t="s">
        <v>692</v>
      </c>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5">
        <v>0</v>
      </c>
      <c r="AP482" s="14"/>
    </row>
    <row r="483" spans="1:42">
      <c r="A483" s="94" t="s">
        <v>693</v>
      </c>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36">
        <v>0</v>
      </c>
      <c r="AP483" s="16"/>
    </row>
    <row r="484" spans="1:42">
      <c r="A484" s="94" t="s">
        <v>694</v>
      </c>
      <c r="B484" s="3"/>
      <c r="C484" s="35">
        <v>7.45E-3</v>
      </c>
      <c r="D484" s="35">
        <v>4.2599999999999999E-3</v>
      </c>
      <c r="E484" s="3"/>
      <c r="F484" s="3"/>
      <c r="G484" s="3"/>
      <c r="H484" s="3"/>
      <c r="I484" s="35">
        <v>4.3600000000000002E-3</v>
      </c>
      <c r="J484" s="3"/>
      <c r="K484" s="3"/>
      <c r="L484" s="35">
        <v>5.8100000000000001E-3</v>
      </c>
      <c r="M484" s="3"/>
      <c r="N484" s="3"/>
      <c r="O484" s="3"/>
      <c r="P484" s="3"/>
      <c r="Q484" s="3"/>
      <c r="R484" s="3"/>
      <c r="S484" s="3"/>
      <c r="T484" s="3"/>
      <c r="U484" s="35">
        <v>1.7700000000000001E-3</v>
      </c>
      <c r="V484" s="3"/>
      <c r="W484" s="3"/>
      <c r="X484" s="3"/>
      <c r="Y484" s="3"/>
      <c r="Z484" s="3"/>
      <c r="AA484" s="3"/>
      <c r="AB484" s="35">
        <v>3.7000000000000002E-3</v>
      </c>
      <c r="AC484" s="35">
        <v>2.1900000000000001E-3</v>
      </c>
      <c r="AD484" s="3"/>
      <c r="AE484" s="3"/>
      <c r="AF484" s="3"/>
      <c r="AG484" s="3"/>
      <c r="AH484" s="3"/>
      <c r="AI484" s="3"/>
      <c r="AJ484" s="35">
        <v>3.8500000000000001E-3</v>
      </c>
      <c r="AK484" s="3"/>
      <c r="AL484" s="3"/>
      <c r="AM484" s="3"/>
      <c r="AN484" s="35">
        <v>3.8500000000000001E-3</v>
      </c>
      <c r="AO484" s="3"/>
      <c r="AP484" s="45">
        <v>0</v>
      </c>
    </row>
    <row r="485" spans="1:42">
      <c r="A485" s="94" t="s">
        <v>695</v>
      </c>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36">
        <v>0</v>
      </c>
      <c r="AP485" s="16"/>
    </row>
    <row r="486" spans="1:42">
      <c r="A486" s="94" t="s">
        <v>696</v>
      </c>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5">
        <v>0</v>
      </c>
      <c r="AP486" s="14"/>
    </row>
    <row r="487" spans="1:42">
      <c r="A487" s="94" t="s">
        <v>697</v>
      </c>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36">
        <v>0</v>
      </c>
      <c r="AP487" s="16"/>
    </row>
    <row r="488" spans="1:42">
      <c r="A488" s="94" t="s">
        <v>698</v>
      </c>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5">
        <v>0</v>
      </c>
      <c r="AP488" s="14"/>
    </row>
    <row r="489" spans="1:42">
      <c r="A489" s="94" t="s">
        <v>699</v>
      </c>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36">
        <v>0</v>
      </c>
      <c r="AP489" s="16"/>
    </row>
    <row r="490" spans="1:42">
      <c r="A490" s="94" t="s">
        <v>700</v>
      </c>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5">
        <v>0</v>
      </c>
      <c r="AP490" s="14"/>
    </row>
    <row r="491" spans="1:42">
      <c r="A491" s="94" t="s">
        <v>701</v>
      </c>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36">
        <v>0</v>
      </c>
      <c r="AP491" s="16"/>
    </row>
    <row r="492" spans="1:42">
      <c r="A492" s="94" t="s">
        <v>702</v>
      </c>
      <c r="B492" s="3"/>
      <c r="C492" s="3"/>
      <c r="D492" s="3"/>
      <c r="E492" s="3"/>
      <c r="F492" s="3"/>
      <c r="G492" s="3"/>
      <c r="H492" s="3"/>
      <c r="I492" s="3"/>
      <c r="J492" s="3"/>
      <c r="K492" s="3"/>
      <c r="L492" s="3"/>
      <c r="M492" s="3"/>
      <c r="N492" s="3"/>
      <c r="O492" s="3"/>
      <c r="P492" s="3"/>
      <c r="Q492" s="3"/>
      <c r="R492" s="3"/>
      <c r="S492" s="3"/>
      <c r="T492" s="3"/>
      <c r="U492" s="3"/>
      <c r="V492" s="3"/>
      <c r="W492" s="35">
        <v>1.2999999999999999E-3</v>
      </c>
      <c r="X492" s="3"/>
      <c r="Y492" s="3"/>
      <c r="Z492" s="3"/>
      <c r="AA492" s="3"/>
      <c r="AB492" s="35">
        <v>1.9300000000000001E-3</v>
      </c>
      <c r="AC492" s="3"/>
      <c r="AD492" s="3"/>
      <c r="AE492" s="3"/>
      <c r="AF492" s="3"/>
      <c r="AG492" s="3"/>
      <c r="AH492" s="3"/>
      <c r="AI492" s="3"/>
      <c r="AJ492" s="35">
        <v>1.8699999999999999E-3</v>
      </c>
      <c r="AK492" s="3"/>
      <c r="AL492" s="3"/>
      <c r="AM492" s="3"/>
      <c r="AN492" s="35">
        <v>1.8699999999999999E-3</v>
      </c>
      <c r="AO492" s="3"/>
      <c r="AP492" s="45">
        <v>0</v>
      </c>
    </row>
    <row r="493" spans="1:42">
      <c r="A493" s="94" t="s">
        <v>703</v>
      </c>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36">
        <v>0</v>
      </c>
      <c r="AP493" s="16"/>
    </row>
    <row r="494" spans="1:42">
      <c r="A494" s="94" t="s">
        <v>704</v>
      </c>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5">
        <v>0</v>
      </c>
      <c r="AP494" s="14"/>
    </row>
    <row r="495" spans="1:42">
      <c r="A495" s="94" t="s">
        <v>705</v>
      </c>
      <c r="B495" s="36">
        <v>4.7E-2</v>
      </c>
      <c r="C495" s="36">
        <v>7.1400000000000005E-2</v>
      </c>
      <c r="D495" s="36">
        <v>5.4800000000000001E-2</v>
      </c>
      <c r="E495" s="36">
        <v>7.6200000000000004E-2</v>
      </c>
      <c r="F495" s="36">
        <v>8.9399999999999993E-2</v>
      </c>
      <c r="G495" s="36">
        <v>5.21E-2</v>
      </c>
      <c r="H495" s="36">
        <v>8.8499999999999995E-2</v>
      </c>
      <c r="I495" s="36">
        <v>6.6799999999999998E-2</v>
      </c>
      <c r="J495" s="36">
        <v>6.3299999999999995E-2</v>
      </c>
      <c r="K495" s="36">
        <v>7.2599999999999998E-2</v>
      </c>
      <c r="L495" s="36">
        <v>4.6699999999999998E-2</v>
      </c>
      <c r="M495" s="36">
        <v>4.9299999999999997E-2</v>
      </c>
      <c r="N495" s="36">
        <v>6.0100000000000001E-2</v>
      </c>
      <c r="O495" s="36">
        <v>3.5099999999999999E-2</v>
      </c>
      <c r="P495" s="36">
        <v>7.3899999999999993E-2</v>
      </c>
      <c r="Q495" s="36">
        <v>8.0799999999999997E-2</v>
      </c>
      <c r="R495" s="36">
        <v>7.8100000000000003E-2</v>
      </c>
      <c r="S495" s="36">
        <v>6.1899999999999997E-2</v>
      </c>
      <c r="T495" s="36">
        <v>2.18E-2</v>
      </c>
      <c r="U495" s="36">
        <v>4.1700000000000001E-2</v>
      </c>
      <c r="V495" s="36">
        <v>0.10100000000000001</v>
      </c>
      <c r="W495" s="36">
        <v>4.1599999999999998E-2</v>
      </c>
      <c r="X495" s="36">
        <v>4.6899999999999997E-2</v>
      </c>
      <c r="Y495" s="36">
        <v>6.88E-2</v>
      </c>
      <c r="Z495" s="36">
        <v>4.3200000000000002E-2</v>
      </c>
      <c r="AA495" s="5"/>
      <c r="AB495" s="36">
        <v>0.11</v>
      </c>
      <c r="AC495" s="36">
        <v>8.7900000000000006E-2</v>
      </c>
      <c r="AD495" s="36">
        <v>8.8900000000000007E-2</v>
      </c>
      <c r="AE495" s="36">
        <v>8.4199999999999997E-2</v>
      </c>
      <c r="AF495" s="5"/>
      <c r="AG495" s="5"/>
      <c r="AH495" s="36">
        <v>6.2600000000000003E-2</v>
      </c>
      <c r="AI495" s="36">
        <v>6.8199999999999997E-2</v>
      </c>
      <c r="AJ495" s="36">
        <v>6.2199999999999998E-2</v>
      </c>
      <c r="AK495" s="36">
        <v>0.14000000000000001</v>
      </c>
      <c r="AL495" s="36">
        <v>8.5300000000000001E-2</v>
      </c>
      <c r="AM495" s="5"/>
      <c r="AN495" s="36">
        <v>8.3699999999999997E-2</v>
      </c>
      <c r="AO495" s="36">
        <v>3.2800000000000003E-2</v>
      </c>
      <c r="AP495" s="46">
        <v>39.299999999999997</v>
      </c>
    </row>
    <row r="496" spans="1:42">
      <c r="A496" s="94" t="s">
        <v>706</v>
      </c>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5">
        <v>0</v>
      </c>
      <c r="AP496" s="14"/>
    </row>
    <row r="497" spans="1:42">
      <c r="A497" s="94" t="s">
        <v>707</v>
      </c>
      <c r="B497" s="36">
        <v>1.83E-2</v>
      </c>
      <c r="C497" s="36">
        <v>5.1900000000000002E-2</v>
      </c>
      <c r="D497" s="36">
        <v>9.11E-2</v>
      </c>
      <c r="E497" s="36">
        <v>0.19900000000000001</v>
      </c>
      <c r="F497" s="36">
        <v>0.36799999999999999</v>
      </c>
      <c r="G497" s="36">
        <v>6.7299999999999999E-2</v>
      </c>
      <c r="H497" s="36">
        <v>1.14E-2</v>
      </c>
      <c r="I497" s="36">
        <v>2.9100000000000001E-2</v>
      </c>
      <c r="J497" s="36">
        <v>2.7900000000000001E-2</v>
      </c>
      <c r="K497" s="36">
        <v>7.2400000000000006E-2</v>
      </c>
      <c r="L497" s="36">
        <v>2.4E-2</v>
      </c>
      <c r="M497" s="36">
        <v>1.0699999999999999E-2</v>
      </c>
      <c r="N497" s="36">
        <v>2.41E-2</v>
      </c>
      <c r="O497" s="5"/>
      <c r="P497" s="36">
        <v>2.9100000000000001E-2</v>
      </c>
      <c r="Q497" s="5"/>
      <c r="R497" s="36">
        <v>3.8899999999999997E-2</v>
      </c>
      <c r="S497" s="36">
        <v>1.4999999999999999E-2</v>
      </c>
      <c r="T497" s="36">
        <v>1.29E-2</v>
      </c>
      <c r="U497" s="36">
        <v>2.6200000000000001E-2</v>
      </c>
      <c r="V497" s="36">
        <v>2.7099999999999999E-2</v>
      </c>
      <c r="W497" s="36">
        <v>2.47E-2</v>
      </c>
      <c r="X497" s="36">
        <v>3.09E-2</v>
      </c>
      <c r="Y497" s="36">
        <v>2.4899999999999999E-2</v>
      </c>
      <c r="Z497" s="36">
        <v>3.2300000000000002E-2</v>
      </c>
      <c r="AA497" s="5"/>
      <c r="AB497" s="36">
        <v>3.1800000000000002E-2</v>
      </c>
      <c r="AC497" s="36">
        <v>5.1900000000000002E-2</v>
      </c>
      <c r="AD497" s="36">
        <v>4.0599999999999997E-2</v>
      </c>
      <c r="AE497" s="36">
        <v>0.114</v>
      </c>
      <c r="AF497" s="5"/>
      <c r="AG497" s="5"/>
      <c r="AH497" s="36">
        <v>2.1899999999999999E-2</v>
      </c>
      <c r="AI497" s="36">
        <v>2.5600000000000001E-2</v>
      </c>
      <c r="AJ497" s="36">
        <v>3.1099999999999999E-2</v>
      </c>
      <c r="AK497" s="36">
        <v>5.21E-2</v>
      </c>
      <c r="AL497" s="36">
        <v>4.02E-2</v>
      </c>
      <c r="AM497" s="5"/>
      <c r="AN497" s="36">
        <v>3.4200000000000001E-2</v>
      </c>
      <c r="AO497" s="36">
        <v>1.21E-2</v>
      </c>
      <c r="AP497" s="46">
        <v>35.5</v>
      </c>
    </row>
    <row r="498" spans="1:42">
      <c r="A498" s="94" t="s">
        <v>708</v>
      </c>
      <c r="B498" s="3"/>
      <c r="C498" s="3"/>
      <c r="D498" s="3"/>
      <c r="E498" s="3"/>
      <c r="F498" s="3"/>
      <c r="G498" s="3"/>
      <c r="H498" s="3"/>
      <c r="I498" s="3"/>
      <c r="J498" s="3"/>
      <c r="K498" s="3"/>
      <c r="L498" s="35">
        <v>4.8300000000000001E-3</v>
      </c>
      <c r="M498" s="3"/>
      <c r="N498" s="3"/>
      <c r="O498" s="3"/>
      <c r="P498" s="3"/>
      <c r="Q498" s="3"/>
      <c r="R498" s="3"/>
      <c r="S498" s="3"/>
      <c r="T498" s="3"/>
      <c r="U498" s="3"/>
      <c r="V498" s="3"/>
      <c r="W498" s="35">
        <v>4.9899999999999996E-3</v>
      </c>
      <c r="X498" s="3"/>
      <c r="Y498" s="35">
        <v>2.8700000000000002E-3</v>
      </c>
      <c r="Z498" s="35">
        <v>2.7000000000000001E-3</v>
      </c>
      <c r="AA498" s="3"/>
      <c r="AB498" s="35">
        <v>5.3200000000000001E-3</v>
      </c>
      <c r="AC498" s="35">
        <v>4.0800000000000003E-3</v>
      </c>
      <c r="AD498" s="3"/>
      <c r="AE498" s="3"/>
      <c r="AF498" s="3"/>
      <c r="AG498" s="3"/>
      <c r="AH498" s="3"/>
      <c r="AI498" s="3"/>
      <c r="AJ498" s="35">
        <v>6.3400000000000001E-3</v>
      </c>
      <c r="AK498" s="3"/>
      <c r="AL498" s="3"/>
      <c r="AM498" s="3"/>
      <c r="AN498" s="35">
        <v>6.3400000000000001E-3</v>
      </c>
      <c r="AO498" s="3"/>
      <c r="AP498" s="45">
        <v>0</v>
      </c>
    </row>
    <row r="499" spans="1:42">
      <c r="A499" s="94" t="s">
        <v>709</v>
      </c>
      <c r="B499" s="5"/>
      <c r="C499" s="36">
        <v>3.32E-3</v>
      </c>
      <c r="D499" s="5"/>
      <c r="E499" s="5"/>
      <c r="F499" s="5"/>
      <c r="G499" s="5"/>
      <c r="H499" s="5"/>
      <c r="I499" s="36">
        <v>1.24E-3</v>
      </c>
      <c r="J499" s="5"/>
      <c r="K499" s="5"/>
      <c r="L499" s="5"/>
      <c r="M499" s="5"/>
      <c r="N499" s="5"/>
      <c r="O499" s="5"/>
      <c r="P499" s="5"/>
      <c r="Q499" s="5"/>
      <c r="R499" s="5"/>
      <c r="S499" s="5"/>
      <c r="T499" s="5"/>
      <c r="U499" s="5"/>
      <c r="V499" s="5"/>
      <c r="W499" s="36">
        <v>3.5799999999999998E-3</v>
      </c>
      <c r="X499" s="5"/>
      <c r="Y499" s="5"/>
      <c r="Z499" s="5"/>
      <c r="AA499" s="5"/>
      <c r="AB499" s="36">
        <v>3.5500000000000002E-3</v>
      </c>
      <c r="AC499" s="5"/>
      <c r="AD499" s="5"/>
      <c r="AE499" s="5"/>
      <c r="AF499" s="5"/>
      <c r="AG499" s="5"/>
      <c r="AH499" s="5"/>
      <c r="AI499" s="5"/>
      <c r="AJ499" s="36">
        <v>1.5499999999999999E-3</v>
      </c>
      <c r="AK499" s="5"/>
      <c r="AL499" s="5"/>
      <c r="AM499" s="5"/>
      <c r="AN499" s="36">
        <v>1.5499999999999999E-3</v>
      </c>
      <c r="AO499" s="5"/>
      <c r="AP499" s="46">
        <v>0</v>
      </c>
    </row>
    <row r="500" spans="1:42">
      <c r="A500" s="94" t="s">
        <v>710</v>
      </c>
      <c r="B500" s="35">
        <v>1.72E-2</v>
      </c>
      <c r="C500" s="35">
        <v>4.1500000000000002E-2</v>
      </c>
      <c r="D500" s="35">
        <v>5.3900000000000003E-2</v>
      </c>
      <c r="E500" s="35">
        <v>7.5600000000000001E-2</v>
      </c>
      <c r="F500" s="35">
        <v>0.13400000000000001</v>
      </c>
      <c r="G500" s="35">
        <v>5.2200000000000003E-2</v>
      </c>
      <c r="H500" s="35">
        <v>2.8500000000000001E-2</v>
      </c>
      <c r="I500" s="35">
        <v>2.63E-2</v>
      </c>
      <c r="J500" s="35">
        <v>2.3599999999999999E-2</v>
      </c>
      <c r="K500" s="35">
        <v>4.8800000000000003E-2</v>
      </c>
      <c r="L500" s="35">
        <v>2.4799999999999999E-2</v>
      </c>
      <c r="M500" s="35">
        <v>1.23E-2</v>
      </c>
      <c r="N500" s="35">
        <v>2.07E-2</v>
      </c>
      <c r="O500" s="35">
        <v>9.8200000000000006E-3</v>
      </c>
      <c r="P500" s="35">
        <v>2.8500000000000001E-2</v>
      </c>
      <c r="Q500" s="35">
        <v>2.7699999999999999E-2</v>
      </c>
      <c r="R500" s="35">
        <v>3.8300000000000001E-2</v>
      </c>
      <c r="S500" s="35">
        <v>1.8100000000000002E-2</v>
      </c>
      <c r="T500" s="35">
        <v>1.46E-2</v>
      </c>
      <c r="U500" s="35">
        <v>1.9099999999999999E-2</v>
      </c>
      <c r="V500" s="35">
        <v>2.53E-2</v>
      </c>
      <c r="W500" s="35">
        <v>2.1600000000000001E-2</v>
      </c>
      <c r="X500" s="35">
        <v>2.1899999999999999E-2</v>
      </c>
      <c r="Y500" s="35">
        <v>2.2599999999999999E-2</v>
      </c>
      <c r="Z500" s="35">
        <v>2.1600000000000001E-2</v>
      </c>
      <c r="AA500" s="3"/>
      <c r="AB500" s="35">
        <v>3.9699999999999999E-2</v>
      </c>
      <c r="AC500" s="35">
        <v>4.8899999999999999E-2</v>
      </c>
      <c r="AD500" s="35">
        <v>5.0700000000000002E-2</v>
      </c>
      <c r="AE500" s="35">
        <v>5.62E-2</v>
      </c>
      <c r="AF500" s="3"/>
      <c r="AG500" s="3"/>
      <c r="AH500" s="35">
        <v>1.9E-2</v>
      </c>
      <c r="AI500" s="35">
        <v>1.9E-2</v>
      </c>
      <c r="AJ500" s="35">
        <v>2.53E-2</v>
      </c>
      <c r="AK500" s="35">
        <v>4.7800000000000002E-2</v>
      </c>
      <c r="AL500" s="35">
        <v>3.5499999999999997E-2</v>
      </c>
      <c r="AM500" s="3"/>
      <c r="AN500" s="35">
        <v>2.93E-2</v>
      </c>
      <c r="AO500" s="35">
        <v>1.23E-2</v>
      </c>
      <c r="AP500" s="45">
        <v>42</v>
      </c>
    </row>
    <row r="501" spans="1:42">
      <c r="A501" s="94" t="s">
        <v>711</v>
      </c>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36">
        <v>0</v>
      </c>
      <c r="AP501" s="16"/>
    </row>
    <row r="502" spans="1:42">
      <c r="A502" s="94" t="s">
        <v>712</v>
      </c>
      <c r="B502" s="3"/>
      <c r="C502" s="35">
        <v>4.1000000000000003E-3</v>
      </c>
      <c r="D502" s="3"/>
      <c r="E502" s="3"/>
      <c r="F502" s="3"/>
      <c r="G502" s="3"/>
      <c r="H502" s="35">
        <v>4.7999999999999996E-3</v>
      </c>
      <c r="I502" s="35">
        <v>5.1599999999999997E-3</v>
      </c>
      <c r="J502" s="35">
        <v>4.3299999999999996E-3</v>
      </c>
      <c r="K502" s="3"/>
      <c r="L502" s="35">
        <v>6.62E-3</v>
      </c>
      <c r="M502" s="3"/>
      <c r="N502" s="3"/>
      <c r="O502" s="3"/>
      <c r="P502" s="3"/>
      <c r="Q502" s="3"/>
      <c r="R502" s="3"/>
      <c r="S502" s="3"/>
      <c r="T502" s="35">
        <v>2.8300000000000001E-3</v>
      </c>
      <c r="U502" s="35">
        <v>1.34E-2</v>
      </c>
      <c r="V502" s="35">
        <v>2.2200000000000002E-3</v>
      </c>
      <c r="W502" s="35">
        <v>5.5500000000000002E-3</v>
      </c>
      <c r="X502" s="35">
        <v>1.1900000000000001E-3</v>
      </c>
      <c r="Y502" s="35">
        <v>1.42E-3</v>
      </c>
      <c r="Z502" s="3"/>
      <c r="AA502" s="3"/>
      <c r="AB502" s="3"/>
      <c r="AC502" s="35">
        <v>1.3500000000000001E-3</v>
      </c>
      <c r="AD502" s="3"/>
      <c r="AE502" s="3"/>
      <c r="AF502" s="3"/>
      <c r="AG502" s="3"/>
      <c r="AH502" s="35">
        <v>1.3600000000000001E-3</v>
      </c>
      <c r="AI502" s="3"/>
      <c r="AJ502" s="35">
        <v>6.7099999999999998E-3</v>
      </c>
      <c r="AK502" s="3"/>
      <c r="AL502" s="3"/>
      <c r="AM502" s="3"/>
      <c r="AN502" s="35">
        <v>4.0299999999999997E-3</v>
      </c>
      <c r="AO502" s="35">
        <v>3.79E-3</v>
      </c>
      <c r="AP502" s="45">
        <v>93.9</v>
      </c>
    </row>
    <row r="503" spans="1:42">
      <c r="A503" s="94" t="s">
        <v>713</v>
      </c>
      <c r="B503" s="5"/>
      <c r="C503" s="5"/>
      <c r="D503" s="5"/>
      <c r="E503" s="5"/>
      <c r="F503" s="5"/>
      <c r="G503" s="5"/>
      <c r="H503" s="5"/>
      <c r="I503" s="5"/>
      <c r="J503" s="5"/>
      <c r="K503" s="5"/>
      <c r="L503" s="36">
        <v>2.7100000000000002E-3</v>
      </c>
      <c r="M503" s="5"/>
      <c r="N503" s="5"/>
      <c r="O503" s="5"/>
      <c r="P503" s="5"/>
      <c r="Q503" s="5"/>
      <c r="R503" s="5"/>
      <c r="S503" s="5"/>
      <c r="T503" s="5"/>
      <c r="U503" s="5"/>
      <c r="V503" s="5"/>
      <c r="W503" s="5"/>
      <c r="X503" s="5"/>
      <c r="Y503" s="5"/>
      <c r="Z503" s="5"/>
      <c r="AA503" s="5"/>
      <c r="AB503" s="5"/>
      <c r="AC503" s="5"/>
      <c r="AD503" s="5"/>
      <c r="AE503" s="5"/>
      <c r="AF503" s="5"/>
      <c r="AG503" s="5"/>
      <c r="AH503" s="5"/>
      <c r="AI503" s="5"/>
      <c r="AJ503" s="36">
        <v>1.82E-3</v>
      </c>
      <c r="AK503" s="5"/>
      <c r="AL503" s="5"/>
      <c r="AM503" s="5"/>
      <c r="AN503" s="36">
        <v>1.82E-3</v>
      </c>
      <c r="AO503" s="5"/>
      <c r="AP503" s="46">
        <v>0</v>
      </c>
    </row>
    <row r="504" spans="1:42">
      <c r="A504" s="94" t="s">
        <v>714</v>
      </c>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5">
        <v>0</v>
      </c>
      <c r="AP504" s="14"/>
    </row>
    <row r="505" spans="1:42">
      <c r="A505" s="94" t="s">
        <v>715</v>
      </c>
      <c r="B505" s="5"/>
      <c r="C505" s="36">
        <v>3.3E-3</v>
      </c>
      <c r="D505" s="36">
        <v>1.8500000000000001E-3</v>
      </c>
      <c r="E505" s="5"/>
      <c r="F505" s="5"/>
      <c r="G505" s="5"/>
      <c r="H505" s="36">
        <v>1.42E-3</v>
      </c>
      <c r="I505" s="36">
        <v>1.41E-3</v>
      </c>
      <c r="J505" s="5"/>
      <c r="K505" s="5"/>
      <c r="L505" s="36">
        <v>2.3999999999999998E-3</v>
      </c>
      <c r="M505" s="5"/>
      <c r="N505" s="5"/>
      <c r="O505" s="5"/>
      <c r="P505" s="5"/>
      <c r="Q505" s="5"/>
      <c r="R505" s="5"/>
      <c r="S505" s="5"/>
      <c r="T505" s="5"/>
      <c r="U505" s="5"/>
      <c r="V505" s="5"/>
      <c r="W505" s="5"/>
      <c r="X505" s="5"/>
      <c r="Y505" s="5"/>
      <c r="Z505" s="5"/>
      <c r="AA505" s="5"/>
      <c r="AB505" s="36">
        <v>3.0799999999999998E-3</v>
      </c>
      <c r="AC505" s="36">
        <v>1.4400000000000001E-3</v>
      </c>
      <c r="AD505" s="5"/>
      <c r="AE505" s="5"/>
      <c r="AF505" s="5"/>
      <c r="AG505" s="5"/>
      <c r="AH505" s="5"/>
      <c r="AI505" s="5"/>
      <c r="AJ505" s="36">
        <v>1.39E-3</v>
      </c>
      <c r="AK505" s="5"/>
      <c r="AL505" s="5"/>
      <c r="AM505" s="5"/>
      <c r="AN505" s="36">
        <v>1.39E-3</v>
      </c>
      <c r="AO505" s="5"/>
      <c r="AP505" s="46">
        <v>0</v>
      </c>
    </row>
    <row r="506" spans="1:42">
      <c r="A506" s="94" t="s">
        <v>716</v>
      </c>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5">
        <v>0</v>
      </c>
      <c r="AP506" s="14"/>
    </row>
    <row r="507" spans="1:42">
      <c r="A507" s="94" t="s">
        <v>717</v>
      </c>
      <c r="B507" s="36">
        <v>12.8</v>
      </c>
      <c r="C507" s="36">
        <v>2.19</v>
      </c>
      <c r="D507" s="36">
        <v>0.159</v>
      </c>
      <c r="E507" s="36">
        <v>4.54</v>
      </c>
      <c r="F507" s="36">
        <v>3.12</v>
      </c>
      <c r="G507" s="36">
        <v>4.33</v>
      </c>
      <c r="H507" s="36">
        <v>2.3199999999999998</v>
      </c>
      <c r="I507" s="36">
        <v>6.53</v>
      </c>
      <c r="J507" s="36">
        <v>2.25</v>
      </c>
      <c r="K507" s="36">
        <v>10.9</v>
      </c>
      <c r="L507" s="36">
        <v>7.3099999999999998E-2</v>
      </c>
      <c r="M507" s="36">
        <v>22.1</v>
      </c>
      <c r="N507" s="36">
        <v>9.4700000000000006</v>
      </c>
      <c r="O507" s="36">
        <v>6.31</v>
      </c>
      <c r="P507" s="36">
        <v>10.7</v>
      </c>
      <c r="Q507" s="36">
        <v>0.22800000000000001</v>
      </c>
      <c r="R507" s="36">
        <v>8.15</v>
      </c>
      <c r="S507" s="36">
        <v>18.5</v>
      </c>
      <c r="T507" s="36">
        <v>10.5</v>
      </c>
      <c r="U507" s="36">
        <v>2.72</v>
      </c>
      <c r="V507" s="36">
        <v>10.9</v>
      </c>
      <c r="W507" s="36">
        <v>15</v>
      </c>
      <c r="X507" s="36">
        <v>11.7</v>
      </c>
      <c r="Y507" s="36">
        <v>10.9</v>
      </c>
      <c r="Z507" s="36">
        <v>13.5</v>
      </c>
      <c r="AA507" s="5"/>
      <c r="AB507" s="36">
        <v>15.5</v>
      </c>
      <c r="AC507" s="36">
        <v>10.5</v>
      </c>
      <c r="AD507" s="36">
        <v>9.1999999999999993</v>
      </c>
      <c r="AE507" s="36">
        <v>1.31</v>
      </c>
      <c r="AF507" s="5"/>
      <c r="AG507" s="5"/>
      <c r="AH507" s="36">
        <v>6.11</v>
      </c>
      <c r="AI507" s="36">
        <v>12.2</v>
      </c>
      <c r="AJ507" s="36">
        <v>5.0599999999999999E-2</v>
      </c>
      <c r="AK507" s="36">
        <v>8.76</v>
      </c>
      <c r="AL507" s="36">
        <v>12.4</v>
      </c>
      <c r="AM507" s="5"/>
      <c r="AN507" s="36">
        <v>7.91</v>
      </c>
      <c r="AO507" s="36">
        <v>5.1100000000000003</v>
      </c>
      <c r="AP507" s="46">
        <v>64.599999999999994</v>
      </c>
    </row>
    <row r="508" spans="1:42">
      <c r="A508" s="94" t="s">
        <v>718</v>
      </c>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5">
        <v>0</v>
      </c>
      <c r="AP508" s="14"/>
    </row>
    <row r="509" spans="1:42">
      <c r="A509" s="94" t="s">
        <v>719</v>
      </c>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36">
        <v>0</v>
      </c>
      <c r="AP509" s="16"/>
    </row>
    <row r="510" spans="1:42">
      <c r="A510" s="94" t="s">
        <v>720</v>
      </c>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5">
        <v>0.17499999999999999</v>
      </c>
      <c r="AF510" s="3"/>
      <c r="AG510" s="3"/>
      <c r="AH510" s="3"/>
      <c r="AI510" s="3"/>
      <c r="AJ510" s="3"/>
      <c r="AK510" s="35">
        <v>9.64E-2</v>
      </c>
      <c r="AL510" s="3"/>
      <c r="AM510" s="3"/>
      <c r="AN510" s="35">
        <v>9.64E-2</v>
      </c>
      <c r="AO510" s="3"/>
      <c r="AP510" s="45">
        <v>0</v>
      </c>
    </row>
    <row r="511" spans="1:42">
      <c r="A511" s="94" t="s">
        <v>721</v>
      </c>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36">
        <v>0</v>
      </c>
      <c r="AP511" s="16"/>
    </row>
    <row r="512" spans="1:42">
      <c r="A512" s="94" t="s">
        <v>722</v>
      </c>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5">
        <v>0</v>
      </c>
      <c r="AP512" s="14"/>
    </row>
    <row r="513" spans="1:42">
      <c r="A513" s="94" t="s">
        <v>723</v>
      </c>
      <c r="B513" s="36">
        <v>1.9199999999999998E-2</v>
      </c>
      <c r="C513" s="5"/>
      <c r="D513" s="5"/>
      <c r="E513" s="5"/>
      <c r="F513" s="36">
        <v>1.24E-2</v>
      </c>
      <c r="G513" s="5"/>
      <c r="H513" s="5"/>
      <c r="I513" s="5"/>
      <c r="J513" s="5"/>
      <c r="K513" s="5"/>
      <c r="L513" s="5"/>
      <c r="M513" s="36">
        <v>3.1600000000000003E-2</v>
      </c>
      <c r="N513" s="36">
        <v>9.1000000000000004E-3</v>
      </c>
      <c r="O513" s="36">
        <v>1.2200000000000001E-2</v>
      </c>
      <c r="P513" s="36">
        <v>3.4000000000000002E-2</v>
      </c>
      <c r="Q513" s="36">
        <v>1.7999999999999999E-2</v>
      </c>
      <c r="R513" s="5"/>
      <c r="S513" s="36">
        <v>1.49E-2</v>
      </c>
      <c r="T513" s="36">
        <v>2.24E-2</v>
      </c>
      <c r="U513" s="36">
        <v>2.0799999999999999E-2</v>
      </c>
      <c r="V513" s="36">
        <v>9.0600000000000003E-3</v>
      </c>
      <c r="W513" s="36">
        <v>1.6199999999999999E-2</v>
      </c>
      <c r="X513" s="36">
        <v>7.4200000000000004E-3</v>
      </c>
      <c r="Y513" s="36">
        <v>9.0299999999999998E-3</v>
      </c>
      <c r="Z513" s="36">
        <v>9.0799999999999995E-3</v>
      </c>
      <c r="AA513" s="5"/>
      <c r="AB513" s="36">
        <v>4.4200000000000003E-2</v>
      </c>
      <c r="AC513" s="5"/>
      <c r="AD513" s="5"/>
      <c r="AE513" s="5"/>
      <c r="AF513" s="5"/>
      <c r="AG513" s="5"/>
      <c r="AH513" s="36">
        <v>8.6899999999999998E-3</v>
      </c>
      <c r="AI513" s="36">
        <v>1.8200000000000001E-2</v>
      </c>
      <c r="AJ513" s="5"/>
      <c r="AK513" s="36">
        <v>1.11E-2</v>
      </c>
      <c r="AL513" s="36">
        <v>2.8899999999999999E-2</v>
      </c>
      <c r="AM513" s="5"/>
      <c r="AN513" s="36">
        <v>1.67E-2</v>
      </c>
      <c r="AO513" s="36">
        <v>9.0600000000000003E-3</v>
      </c>
      <c r="AP513" s="46">
        <v>54.1</v>
      </c>
    </row>
    <row r="514" spans="1:42">
      <c r="A514" s="94" t="s">
        <v>724</v>
      </c>
      <c r="B514" s="3"/>
      <c r="C514" s="3"/>
      <c r="D514" s="3"/>
      <c r="E514" s="3"/>
      <c r="F514" s="3"/>
      <c r="G514" s="3"/>
      <c r="H514" s="3"/>
      <c r="I514" s="3"/>
      <c r="J514" s="3"/>
      <c r="K514" s="3"/>
      <c r="L514" s="3"/>
      <c r="M514" s="3"/>
      <c r="N514" s="3"/>
      <c r="O514" s="3"/>
      <c r="P514" s="3"/>
      <c r="Q514" s="3"/>
      <c r="R514" s="3"/>
      <c r="S514" s="3"/>
      <c r="T514" s="3"/>
      <c r="U514" s="35">
        <v>1.5299999999999999E-2</v>
      </c>
      <c r="V514" s="3"/>
      <c r="W514" s="3"/>
      <c r="X514" s="3"/>
      <c r="Y514" s="3"/>
      <c r="Z514" s="3"/>
      <c r="AA514" s="3"/>
      <c r="AB514" s="3"/>
      <c r="AC514" s="3"/>
      <c r="AD514" s="3"/>
      <c r="AE514" s="3"/>
      <c r="AF514" s="3"/>
      <c r="AG514" s="3"/>
      <c r="AH514" s="3"/>
      <c r="AI514" s="3"/>
      <c r="AJ514" s="3"/>
      <c r="AK514" s="3"/>
      <c r="AL514" s="3"/>
      <c r="AM514" s="3"/>
      <c r="AN514" s="3"/>
      <c r="AO514" s="35">
        <v>0</v>
      </c>
      <c r="AP514" s="14"/>
    </row>
    <row r="515" spans="1:42">
      <c r="A515" s="94" t="s">
        <v>725</v>
      </c>
      <c r="B515" s="36">
        <v>0.127</v>
      </c>
      <c r="C515" s="36">
        <v>7.5499999999999998E-2</v>
      </c>
      <c r="D515" s="36">
        <v>4.0899999999999999E-2</v>
      </c>
      <c r="E515" s="36">
        <v>8.8800000000000004E-2</v>
      </c>
      <c r="F515" s="36">
        <v>0.223</v>
      </c>
      <c r="G515" s="36">
        <v>7.9500000000000001E-2</v>
      </c>
      <c r="H515" s="36">
        <v>6.7599999999999993E-2</v>
      </c>
      <c r="I515" s="36">
        <v>8.0500000000000002E-2</v>
      </c>
      <c r="J515" s="36">
        <v>6.9199999999999998E-2</v>
      </c>
      <c r="K515" s="36">
        <v>0.14599999999999999</v>
      </c>
      <c r="L515" s="36">
        <v>3.9699999999999999E-2</v>
      </c>
      <c r="M515" s="36">
        <v>0.14499999999999999</v>
      </c>
      <c r="N515" s="36">
        <v>0.14699999999999999</v>
      </c>
      <c r="O515" s="36">
        <v>8.4000000000000005E-2</v>
      </c>
      <c r="P515" s="36">
        <v>0.104</v>
      </c>
      <c r="Q515" s="36">
        <v>0.157</v>
      </c>
      <c r="R515" s="36">
        <v>7.9600000000000004E-2</v>
      </c>
      <c r="S515" s="36">
        <v>0.13100000000000001</v>
      </c>
      <c r="T515" s="36">
        <v>0.11700000000000001</v>
      </c>
      <c r="U515" s="36">
        <v>2.8799999999999999E-2</v>
      </c>
      <c r="V515" s="36">
        <v>8.9800000000000005E-2</v>
      </c>
      <c r="W515" s="36">
        <v>7.0199999999999999E-2</v>
      </c>
      <c r="X515" s="36">
        <v>6.9800000000000001E-2</v>
      </c>
      <c r="Y515" s="36">
        <v>5.7099999999999998E-2</v>
      </c>
      <c r="Z515" s="36">
        <v>9.5699999999999993E-2</v>
      </c>
      <c r="AA515" s="5"/>
      <c r="AB515" s="36">
        <v>7.8299999999999995E-2</v>
      </c>
      <c r="AC515" s="36">
        <v>0.122</v>
      </c>
      <c r="AD515" s="36">
        <v>0.1</v>
      </c>
      <c r="AE515" s="36">
        <v>0.29299999999999998</v>
      </c>
      <c r="AF515" s="5"/>
      <c r="AG515" s="5"/>
      <c r="AH515" s="5"/>
      <c r="AI515" s="36">
        <v>0.16600000000000001</v>
      </c>
      <c r="AJ515" s="36">
        <v>4.4200000000000003E-2</v>
      </c>
      <c r="AK515" s="36">
        <v>0.20300000000000001</v>
      </c>
      <c r="AL515" s="36">
        <v>0.108</v>
      </c>
      <c r="AM515" s="5"/>
      <c r="AN515" s="36">
        <v>0.13</v>
      </c>
      <c r="AO515" s="36">
        <v>6.9599999999999995E-2</v>
      </c>
      <c r="AP515" s="46">
        <v>53.4</v>
      </c>
    </row>
    <row r="516" spans="1:42">
      <c r="A516" s="94" t="s">
        <v>726</v>
      </c>
      <c r="B516" s="3"/>
      <c r="C516" s="35">
        <v>3.2799999999999999E-3</v>
      </c>
      <c r="D516" s="35">
        <v>1.58E-3</v>
      </c>
      <c r="E516" s="3"/>
      <c r="F516" s="3"/>
      <c r="G516" s="3"/>
      <c r="H516" s="3"/>
      <c r="I516" s="35">
        <v>1.2800000000000001E-3</v>
      </c>
      <c r="J516" s="3"/>
      <c r="K516" s="3"/>
      <c r="L516" s="35">
        <v>1.82E-3</v>
      </c>
      <c r="M516" s="3"/>
      <c r="N516" s="3"/>
      <c r="O516" s="3"/>
      <c r="P516" s="3"/>
      <c r="Q516" s="3"/>
      <c r="R516" s="3"/>
      <c r="S516" s="3"/>
      <c r="T516" s="3"/>
      <c r="U516" s="3"/>
      <c r="V516" s="3"/>
      <c r="W516" s="35">
        <v>1.7899999999999999E-3</v>
      </c>
      <c r="X516" s="3"/>
      <c r="Y516" s="3"/>
      <c r="Z516" s="3"/>
      <c r="AA516" s="3"/>
      <c r="AB516" s="35">
        <v>2.8700000000000002E-3</v>
      </c>
      <c r="AC516" s="35">
        <v>9.8299999999999993E-4</v>
      </c>
      <c r="AD516" s="3"/>
      <c r="AE516" s="3"/>
      <c r="AF516" s="3"/>
      <c r="AG516" s="3"/>
      <c r="AH516" s="3"/>
      <c r="AI516" s="3"/>
      <c r="AJ516" s="35">
        <v>1.56E-3</v>
      </c>
      <c r="AK516" s="3"/>
      <c r="AL516" s="3"/>
      <c r="AM516" s="3"/>
      <c r="AN516" s="35">
        <v>1.56E-3</v>
      </c>
      <c r="AO516" s="3"/>
      <c r="AP516" s="45">
        <v>0</v>
      </c>
    </row>
    <row r="517" spans="1:42">
      <c r="A517" s="94" t="s">
        <v>727</v>
      </c>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36">
        <v>0</v>
      </c>
      <c r="AP517" s="16"/>
    </row>
    <row r="518" spans="1:42">
      <c r="A518" s="94" t="s">
        <v>728</v>
      </c>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5">
        <v>0</v>
      </c>
      <c r="AP518" s="14"/>
    </row>
    <row r="519" spans="1:42">
      <c r="A519" s="94" t="s">
        <v>729</v>
      </c>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36">
        <v>0</v>
      </c>
      <c r="AP519" s="16"/>
    </row>
    <row r="520" spans="1:42">
      <c r="A520" s="94" t="s">
        <v>730</v>
      </c>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5">
        <v>0</v>
      </c>
      <c r="AP520" s="14"/>
    </row>
    <row r="521" spans="1:42">
      <c r="A521" s="94" t="s">
        <v>731</v>
      </c>
      <c r="B521" s="36">
        <v>0.20799999999999999</v>
      </c>
      <c r="C521" s="36">
        <v>0.54900000000000004</v>
      </c>
      <c r="D521" s="36">
        <v>0.22900000000000001</v>
      </c>
      <c r="E521" s="36">
        <v>0.17799999999999999</v>
      </c>
      <c r="F521" s="36">
        <v>0.66100000000000003</v>
      </c>
      <c r="G521" s="36">
        <v>3.4299999999999997E-2</v>
      </c>
      <c r="H521" s="36">
        <v>2.57</v>
      </c>
      <c r="I521" s="36">
        <v>1.53</v>
      </c>
      <c r="J521" s="36">
        <v>3.46</v>
      </c>
      <c r="K521" s="36">
        <v>0.60799999999999998</v>
      </c>
      <c r="L521" s="36">
        <v>2.9</v>
      </c>
      <c r="M521" s="36">
        <v>0.16900000000000001</v>
      </c>
      <c r="N521" s="36">
        <v>3.2099999999999997E-2</v>
      </c>
      <c r="O521" s="36">
        <v>0.17199999999999999</v>
      </c>
      <c r="P521" s="36">
        <v>0.28999999999999998</v>
      </c>
      <c r="Q521" s="36">
        <v>1.86</v>
      </c>
      <c r="R521" s="36">
        <v>0.39</v>
      </c>
      <c r="S521" s="36">
        <v>1.1299999999999999</v>
      </c>
      <c r="T521" s="36">
        <v>1.91</v>
      </c>
      <c r="U521" s="36">
        <v>2.58</v>
      </c>
      <c r="V521" s="36">
        <v>0.72099999999999997</v>
      </c>
      <c r="W521" s="36">
        <v>0.66400000000000003</v>
      </c>
      <c r="X521" s="36">
        <v>0.182</v>
      </c>
      <c r="Y521" s="36">
        <v>0.59399999999999997</v>
      </c>
      <c r="Z521" s="36">
        <v>0.42099999999999999</v>
      </c>
      <c r="AA521" s="5"/>
      <c r="AB521" s="36">
        <v>0.252</v>
      </c>
      <c r="AC521" s="36">
        <v>0.29099999999999998</v>
      </c>
      <c r="AD521" s="36">
        <v>0.33400000000000002</v>
      </c>
      <c r="AE521" s="36">
        <v>1.47</v>
      </c>
      <c r="AF521" s="5"/>
      <c r="AG521" s="5"/>
      <c r="AH521" s="5"/>
      <c r="AI521" s="36">
        <v>0.126</v>
      </c>
      <c r="AJ521" s="36">
        <v>3.67</v>
      </c>
      <c r="AK521" s="36">
        <v>1.4</v>
      </c>
      <c r="AL521" s="36">
        <v>8.3000000000000004E-2</v>
      </c>
      <c r="AM521" s="5"/>
      <c r="AN521" s="36">
        <v>1.32</v>
      </c>
      <c r="AO521" s="36">
        <v>1.68</v>
      </c>
      <c r="AP521" s="46">
        <v>128</v>
      </c>
    </row>
    <row r="522" spans="1:42">
      <c r="A522" s="94" t="s">
        <v>732</v>
      </c>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5">
        <v>0</v>
      </c>
      <c r="AP522" s="14"/>
    </row>
    <row r="523" spans="1:42">
      <c r="A523" s="95" t="s">
        <v>343</v>
      </c>
      <c r="B523" s="5"/>
      <c r="C523" s="36">
        <v>2.4799999999999999E-2</v>
      </c>
      <c r="D523" s="36">
        <v>3.9199999999999999E-2</v>
      </c>
      <c r="E523" s="36">
        <v>1.6199999999999999E-3</v>
      </c>
      <c r="F523" s="36">
        <v>5.9300000000000004E-3</v>
      </c>
      <c r="G523" s="36">
        <v>2.3099999999999999E-2</v>
      </c>
      <c r="H523" s="36">
        <v>4.6600000000000003E-2</v>
      </c>
      <c r="I523" s="36">
        <v>3.1800000000000002E-2</v>
      </c>
      <c r="J523" s="36">
        <v>5.1799999999999999E-2</v>
      </c>
      <c r="K523" s="5"/>
      <c r="L523" s="5"/>
      <c r="M523" s="5"/>
      <c r="N523" s="5"/>
      <c r="O523" s="5"/>
      <c r="P523" s="5"/>
      <c r="Q523" s="5"/>
      <c r="R523" s="5"/>
      <c r="S523" s="5"/>
      <c r="T523" s="36">
        <v>9.2200000000000004E-2</v>
      </c>
      <c r="U523" s="36">
        <v>4.1300000000000003E-2</v>
      </c>
      <c r="V523" s="36">
        <v>3.4299999999999997E-2</v>
      </c>
      <c r="W523" s="5"/>
      <c r="X523" s="5"/>
      <c r="Y523" s="5"/>
      <c r="Z523" s="36">
        <v>2.93E-2</v>
      </c>
      <c r="AA523" s="5"/>
      <c r="AB523" s="5"/>
      <c r="AC523" s="5"/>
      <c r="AD523" s="5"/>
      <c r="AE523" s="5"/>
      <c r="AF523" s="5"/>
      <c r="AG523" s="5"/>
      <c r="AH523" s="5"/>
      <c r="AI523" s="5"/>
      <c r="AJ523" s="5"/>
      <c r="AK523" s="5"/>
      <c r="AL523" s="5"/>
      <c r="AM523" s="5"/>
      <c r="AN523" s="5"/>
      <c r="AO523" s="36">
        <v>0</v>
      </c>
      <c r="AP523" s="16"/>
    </row>
    <row r="524" spans="1:42">
      <c r="A524" s="95" t="s">
        <v>733</v>
      </c>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5">
        <v>0</v>
      </c>
      <c r="AP524" s="14"/>
    </row>
    <row r="525" spans="1:42">
      <c r="A525" s="95" t="s">
        <v>734</v>
      </c>
      <c r="B525" s="5"/>
      <c r="C525" s="36">
        <v>5.2600000000000001E-2</v>
      </c>
      <c r="D525" s="36">
        <v>0.32400000000000001</v>
      </c>
      <c r="E525" s="5"/>
      <c r="F525" s="36">
        <v>0.124</v>
      </c>
      <c r="G525" s="36">
        <v>0.13100000000000001</v>
      </c>
      <c r="H525" s="36">
        <v>0.13800000000000001</v>
      </c>
      <c r="I525" s="36">
        <v>0.17599999999999999</v>
      </c>
      <c r="J525" s="36">
        <v>0.20799999999999999</v>
      </c>
      <c r="K525" s="36">
        <v>6.8099999999999994E-2</v>
      </c>
      <c r="L525" s="36">
        <v>0.16</v>
      </c>
      <c r="M525" s="36">
        <v>0.104</v>
      </c>
      <c r="N525" s="36">
        <v>6.1899999999999997E-2</v>
      </c>
      <c r="O525" s="5"/>
      <c r="P525" s="36">
        <v>0.13400000000000001</v>
      </c>
      <c r="Q525" s="5"/>
      <c r="R525" s="36">
        <v>8.1100000000000005E-2</v>
      </c>
      <c r="S525" s="5"/>
      <c r="T525" s="5"/>
      <c r="U525" s="36">
        <v>0.23100000000000001</v>
      </c>
      <c r="V525" s="36">
        <v>0.15</v>
      </c>
      <c r="W525" s="36">
        <v>0.18</v>
      </c>
      <c r="X525" s="5"/>
      <c r="Y525" s="36">
        <v>0.18099999999999999</v>
      </c>
      <c r="Z525" s="36">
        <v>0.23300000000000001</v>
      </c>
      <c r="AA525" s="5"/>
      <c r="AB525" s="36">
        <v>0.127</v>
      </c>
      <c r="AC525" s="36">
        <v>9.35E-2</v>
      </c>
      <c r="AD525" s="36">
        <v>0.16800000000000001</v>
      </c>
      <c r="AE525" s="36">
        <v>0.107</v>
      </c>
      <c r="AF525" s="5"/>
      <c r="AG525" s="5"/>
      <c r="AH525" s="5"/>
      <c r="AI525" s="5"/>
      <c r="AJ525" s="36">
        <v>0.13700000000000001</v>
      </c>
      <c r="AK525" s="36">
        <v>0.151</v>
      </c>
      <c r="AL525" s="36">
        <v>6.6199999999999995E-2</v>
      </c>
      <c r="AM525" s="5"/>
      <c r="AN525" s="36">
        <v>0.11799999999999999</v>
      </c>
      <c r="AO525" s="36">
        <v>4.5400000000000003E-2</v>
      </c>
      <c r="AP525" s="46">
        <v>38.5</v>
      </c>
    </row>
    <row r="526" spans="1:42">
      <c r="A526" s="95" t="s">
        <v>735</v>
      </c>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5">
        <v>0</v>
      </c>
      <c r="AP526" s="14"/>
    </row>
    <row r="527" spans="1:42">
      <c r="A527" s="95" t="s">
        <v>736</v>
      </c>
      <c r="B527" s="36">
        <v>0.26100000000000001</v>
      </c>
      <c r="C527" s="36">
        <v>0.28399999999999997</v>
      </c>
      <c r="D527" s="5"/>
      <c r="E527" s="36">
        <v>2.1399999999999999E-2</v>
      </c>
      <c r="F527" s="36">
        <v>0.70099999999999996</v>
      </c>
      <c r="G527" s="36">
        <v>7.6999999999999999E-2</v>
      </c>
      <c r="H527" s="36">
        <v>0.79200000000000004</v>
      </c>
      <c r="I527" s="36">
        <v>0.76800000000000002</v>
      </c>
      <c r="J527" s="36">
        <v>0.97499999999999998</v>
      </c>
      <c r="K527" s="36">
        <v>0.41799999999999998</v>
      </c>
      <c r="L527" s="36">
        <v>0.63900000000000001</v>
      </c>
      <c r="M527" s="36">
        <v>0.20200000000000001</v>
      </c>
      <c r="N527" s="36">
        <v>4.3200000000000002E-2</v>
      </c>
      <c r="O527" s="36">
        <v>8.0699999999999994E-2</v>
      </c>
      <c r="P527" s="36">
        <v>0.33100000000000002</v>
      </c>
      <c r="Q527" s="36">
        <v>0.108</v>
      </c>
      <c r="R527" s="36">
        <v>4.8500000000000001E-2</v>
      </c>
      <c r="S527" s="36">
        <v>0.77900000000000003</v>
      </c>
      <c r="T527" s="36">
        <v>0.36699999999999999</v>
      </c>
      <c r="U527" s="36">
        <v>1.05</v>
      </c>
      <c r="V527" s="36">
        <v>0.85299999999999998</v>
      </c>
      <c r="W527" s="36">
        <v>0.66100000000000003</v>
      </c>
      <c r="X527" s="36">
        <v>0.48599999999999999</v>
      </c>
      <c r="Y527" s="36">
        <v>0.90400000000000003</v>
      </c>
      <c r="Z527" s="36">
        <v>0.69299999999999995</v>
      </c>
      <c r="AA527" s="5"/>
      <c r="AB527" s="36">
        <v>0.255</v>
      </c>
      <c r="AC527" s="36">
        <v>0.129</v>
      </c>
      <c r="AD527" s="36">
        <v>0.19400000000000001</v>
      </c>
      <c r="AE527" s="36">
        <v>0.81799999999999995</v>
      </c>
      <c r="AF527" s="5"/>
      <c r="AG527" s="5"/>
      <c r="AH527" s="36">
        <v>0.69899999999999995</v>
      </c>
      <c r="AI527" s="36">
        <v>0.24299999999999999</v>
      </c>
      <c r="AJ527" s="36">
        <v>0.67400000000000004</v>
      </c>
      <c r="AK527" s="36">
        <v>0.51100000000000001</v>
      </c>
      <c r="AL527" s="36">
        <v>6.2700000000000006E-2</v>
      </c>
      <c r="AM527" s="5"/>
      <c r="AN527" s="36">
        <v>0.438</v>
      </c>
      <c r="AO527" s="36">
        <v>0.27800000000000002</v>
      </c>
      <c r="AP527" s="46">
        <v>63.3</v>
      </c>
    </row>
    <row r="528" spans="1:42">
      <c r="A528" s="95" t="s">
        <v>737</v>
      </c>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5">
        <v>0</v>
      </c>
      <c r="AP528" s="14"/>
    </row>
    <row r="529" spans="1:42">
      <c r="A529" s="95" t="s">
        <v>738</v>
      </c>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36">
        <v>0</v>
      </c>
      <c r="AP529" s="16"/>
    </row>
    <row r="530" spans="1:42">
      <c r="A530" s="95" t="s">
        <v>739</v>
      </c>
      <c r="B530" s="3"/>
      <c r="C530" s="3"/>
      <c r="D530" s="3"/>
      <c r="E530" s="3"/>
      <c r="F530" s="3"/>
      <c r="G530" s="3"/>
      <c r="H530" s="35">
        <v>6.3699999999999998E-3</v>
      </c>
      <c r="I530" s="3"/>
      <c r="J530" s="3"/>
      <c r="K530" s="3"/>
      <c r="L530" s="3"/>
      <c r="M530" s="3"/>
      <c r="N530" s="3"/>
      <c r="O530" s="3"/>
      <c r="P530" s="3"/>
      <c r="Q530" s="3"/>
      <c r="R530" s="3"/>
      <c r="S530" s="3"/>
      <c r="T530" s="3"/>
      <c r="U530" s="3"/>
      <c r="V530" s="3"/>
      <c r="W530" s="3"/>
      <c r="X530" s="3"/>
      <c r="Y530" s="3"/>
      <c r="Z530" s="3"/>
      <c r="AA530" s="3"/>
      <c r="AB530" s="3"/>
      <c r="AC530" s="3"/>
      <c r="AD530" s="3"/>
      <c r="AE530" s="35">
        <v>1.8100000000000002E-2</v>
      </c>
      <c r="AF530" s="3"/>
      <c r="AG530" s="3"/>
      <c r="AH530" s="35">
        <v>6.9499999999999996E-3</v>
      </c>
      <c r="AI530" s="3"/>
      <c r="AJ530" s="3"/>
      <c r="AK530" s="3"/>
      <c r="AL530" s="3"/>
      <c r="AM530" s="3"/>
      <c r="AN530" s="35">
        <v>6.9499999999999996E-3</v>
      </c>
      <c r="AO530" s="3"/>
      <c r="AP530" s="45">
        <v>0</v>
      </c>
    </row>
    <row r="531" spans="1:42">
      <c r="A531" s="95" t="s">
        <v>740</v>
      </c>
      <c r="B531" s="36">
        <v>0.109</v>
      </c>
      <c r="C531" s="36">
        <v>2.1399999999999999E-2</v>
      </c>
      <c r="D531" s="36">
        <v>1.37E-2</v>
      </c>
      <c r="E531" s="36">
        <v>0.34599999999999997</v>
      </c>
      <c r="F531" s="36">
        <v>0.104</v>
      </c>
      <c r="G531" s="36">
        <v>8.4699999999999998E-2</v>
      </c>
      <c r="H531" s="36">
        <v>3.8100000000000002E-2</v>
      </c>
      <c r="I531" s="36">
        <v>3.3099999999999997E-2</v>
      </c>
      <c r="J531" s="36">
        <v>2.9399999999999999E-2</v>
      </c>
      <c r="K531" s="36">
        <v>6.2E-2</v>
      </c>
      <c r="L531" s="36">
        <v>3.4799999999999998E-2</v>
      </c>
      <c r="M531" s="36">
        <v>0.216</v>
      </c>
      <c r="N531" s="36">
        <v>7.4300000000000005E-2</v>
      </c>
      <c r="O531" s="36">
        <v>6.7599999999999993E-2</v>
      </c>
      <c r="P531" s="36">
        <v>0.14199999999999999</v>
      </c>
      <c r="Q531" s="36">
        <v>0.11600000000000001</v>
      </c>
      <c r="R531" s="36">
        <v>7.6499999999999999E-2</v>
      </c>
      <c r="S531" s="36">
        <v>3.2099999999999997E-2</v>
      </c>
      <c r="T531" s="5"/>
      <c r="U531" s="36">
        <v>0.64600000000000002</v>
      </c>
      <c r="V531" s="36">
        <v>3.0300000000000001E-2</v>
      </c>
      <c r="W531" s="36">
        <v>1.83E-2</v>
      </c>
      <c r="X531" s="36">
        <v>1.7299999999999999E-2</v>
      </c>
      <c r="Y531" s="36">
        <v>3.5999999999999997E-2</v>
      </c>
      <c r="Z531" s="36">
        <v>3.4099999999999998E-2</v>
      </c>
      <c r="AA531" s="5"/>
      <c r="AB531" s="36">
        <v>4.1200000000000001E-2</v>
      </c>
      <c r="AC531" s="36">
        <v>3.6200000000000003E-2</v>
      </c>
      <c r="AD531" s="36">
        <v>6.3200000000000006E-2</v>
      </c>
      <c r="AE531" s="36">
        <v>4.2799999999999998E-2</v>
      </c>
      <c r="AF531" s="5"/>
      <c r="AG531" s="5"/>
      <c r="AH531" s="36">
        <v>5.0700000000000002E-2</v>
      </c>
      <c r="AI531" s="36">
        <v>0.315</v>
      </c>
      <c r="AJ531" s="36">
        <v>2.4799999999999999E-2</v>
      </c>
      <c r="AK531" s="36">
        <v>7.51E-2</v>
      </c>
      <c r="AL531" s="36">
        <v>3.2199999999999999E-2</v>
      </c>
      <c r="AM531" s="5"/>
      <c r="AN531" s="36">
        <v>9.9500000000000005E-2</v>
      </c>
      <c r="AO531" s="36">
        <v>0.122</v>
      </c>
      <c r="AP531" s="46">
        <v>122</v>
      </c>
    </row>
    <row r="532" spans="1:42">
      <c r="A532" s="95" t="s">
        <v>741</v>
      </c>
      <c r="B532" s="35">
        <v>0.114</v>
      </c>
      <c r="C532" s="35">
        <v>9.5500000000000002E-2</v>
      </c>
      <c r="D532" s="35">
        <v>8.6199999999999999E-2</v>
      </c>
      <c r="E532" s="35">
        <v>0.13400000000000001</v>
      </c>
      <c r="F532" s="35">
        <v>0.214</v>
      </c>
      <c r="G532" s="35">
        <v>0.39800000000000002</v>
      </c>
      <c r="H532" s="35">
        <v>0.16700000000000001</v>
      </c>
      <c r="I532" s="35">
        <v>0.14299999999999999</v>
      </c>
      <c r="J532" s="35">
        <v>0.17699999999999999</v>
      </c>
      <c r="K532" s="35">
        <v>0.105</v>
      </c>
      <c r="L532" s="35">
        <v>0.11</v>
      </c>
      <c r="M532" s="35">
        <v>0.13100000000000001</v>
      </c>
      <c r="N532" s="35">
        <v>7.6899999999999996E-2</v>
      </c>
      <c r="O532" s="35">
        <v>7.5999999999999998E-2</v>
      </c>
      <c r="P532" s="35">
        <v>0.161</v>
      </c>
      <c r="Q532" s="35">
        <v>9.9599999999999994E-2</v>
      </c>
      <c r="R532" s="35">
        <v>0.27100000000000002</v>
      </c>
      <c r="S532" s="35">
        <v>0.1</v>
      </c>
      <c r="T532" s="35">
        <v>0.50800000000000001</v>
      </c>
      <c r="U532" s="35">
        <v>0.247</v>
      </c>
      <c r="V532" s="35">
        <v>0.17199999999999999</v>
      </c>
      <c r="W532" s="35">
        <v>0.14199999999999999</v>
      </c>
      <c r="X532" s="35">
        <v>0.104</v>
      </c>
      <c r="Y532" s="35">
        <v>0.13200000000000001</v>
      </c>
      <c r="Z532" s="35">
        <v>0.126</v>
      </c>
      <c r="AA532" s="3"/>
      <c r="AB532" s="3"/>
      <c r="AC532" s="3"/>
      <c r="AD532" s="3"/>
      <c r="AE532" s="3"/>
      <c r="AF532" s="3"/>
      <c r="AG532" s="3"/>
      <c r="AH532" s="3"/>
      <c r="AI532" s="35">
        <v>0.186</v>
      </c>
      <c r="AJ532" s="35">
        <v>0.13800000000000001</v>
      </c>
      <c r="AK532" s="35">
        <v>0.122</v>
      </c>
      <c r="AL532" s="3"/>
      <c r="AM532" s="3"/>
      <c r="AN532" s="35">
        <v>0.14899999999999999</v>
      </c>
      <c r="AO532" s="35">
        <v>3.3700000000000001E-2</v>
      </c>
      <c r="AP532" s="45">
        <v>22.7</v>
      </c>
    </row>
    <row r="533" spans="1:42">
      <c r="A533" s="95" t="s">
        <v>742</v>
      </c>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36">
        <v>6.4899999999999999E-2</v>
      </c>
      <c r="AC533" s="36">
        <v>6.4899999999999999E-2</v>
      </c>
      <c r="AD533" s="36">
        <v>6.4899999999999999E-2</v>
      </c>
      <c r="AE533" s="36">
        <v>6.4899999999999999E-2</v>
      </c>
      <c r="AF533" s="5"/>
      <c r="AG533" s="5"/>
      <c r="AH533" s="5"/>
      <c r="AI533" s="5"/>
      <c r="AJ533" s="5"/>
      <c r="AK533" s="5"/>
      <c r="AL533" s="36">
        <v>6.4899999999999999E-2</v>
      </c>
      <c r="AM533" s="5"/>
      <c r="AN533" s="36">
        <v>6.4899999999999999E-2</v>
      </c>
      <c r="AO533" s="5"/>
      <c r="AP533" s="46">
        <v>0</v>
      </c>
    </row>
    <row r="534" spans="1:42">
      <c r="A534" s="95" t="s">
        <v>743</v>
      </c>
      <c r="B534" s="35">
        <v>0.19600000000000001</v>
      </c>
      <c r="C534" s="35">
        <v>8.9099999999999999E-2</v>
      </c>
      <c r="D534" s="35">
        <v>0.108</v>
      </c>
      <c r="E534" s="35">
        <v>0.27100000000000002</v>
      </c>
      <c r="F534" s="35">
        <v>0.218</v>
      </c>
      <c r="G534" s="35">
        <v>0.161</v>
      </c>
      <c r="H534" s="35">
        <v>0.155</v>
      </c>
      <c r="I534" s="35">
        <v>0.123</v>
      </c>
      <c r="J534" s="35">
        <v>0.13400000000000001</v>
      </c>
      <c r="K534" s="35">
        <v>0.13600000000000001</v>
      </c>
      <c r="L534" s="35">
        <v>0.123</v>
      </c>
      <c r="M534" s="35">
        <v>0.35399999999999998</v>
      </c>
      <c r="N534" s="35">
        <v>0.13300000000000001</v>
      </c>
      <c r="O534" s="35">
        <v>0.14399999999999999</v>
      </c>
      <c r="P534" s="35">
        <v>0.28899999999999998</v>
      </c>
      <c r="Q534" s="35">
        <v>0.32400000000000001</v>
      </c>
      <c r="R534" s="35">
        <v>0.14799999999999999</v>
      </c>
      <c r="S534" s="35">
        <v>0.123</v>
      </c>
      <c r="T534" s="35">
        <v>0.12</v>
      </c>
      <c r="U534" s="35">
        <v>0.504</v>
      </c>
      <c r="V534" s="35">
        <v>0.14599999999999999</v>
      </c>
      <c r="W534" s="35">
        <v>9.5699999999999993E-2</v>
      </c>
      <c r="X534" s="35">
        <v>9.3899999999999997E-2</v>
      </c>
      <c r="Y534" s="35">
        <v>0.108</v>
      </c>
      <c r="Z534" s="35">
        <v>0.11</v>
      </c>
      <c r="AA534" s="3"/>
      <c r="AB534" s="35">
        <v>0.10299999999999999</v>
      </c>
      <c r="AC534" s="35">
        <v>0.115</v>
      </c>
      <c r="AD534" s="35">
        <v>0.22800000000000001</v>
      </c>
      <c r="AE534" s="35">
        <v>0.32500000000000001</v>
      </c>
      <c r="AF534" s="3"/>
      <c r="AG534" s="3"/>
      <c r="AH534" s="35">
        <v>0.124</v>
      </c>
      <c r="AI534" s="35">
        <v>0.45500000000000002</v>
      </c>
      <c r="AJ534" s="35">
        <v>0.129</v>
      </c>
      <c r="AK534" s="35">
        <v>0.153</v>
      </c>
      <c r="AL534" s="35">
        <v>7.46E-2</v>
      </c>
      <c r="AM534" s="3"/>
      <c r="AN534" s="35">
        <v>0.187</v>
      </c>
      <c r="AO534" s="35">
        <v>0.152</v>
      </c>
      <c r="AP534" s="45">
        <v>81.5</v>
      </c>
    </row>
    <row r="535" spans="1:42">
      <c r="A535" s="95" t="s">
        <v>744</v>
      </c>
      <c r="B535" s="36">
        <v>8.2100000000000003E-3</v>
      </c>
      <c r="C535" s="36">
        <v>7.7400000000000004E-3</v>
      </c>
      <c r="D535" s="36">
        <v>9.0500000000000008E-3</v>
      </c>
      <c r="E535" s="36">
        <v>1.9300000000000001E-3</v>
      </c>
      <c r="F535" s="36">
        <v>3.5400000000000002E-3</v>
      </c>
      <c r="G535" s="36">
        <v>2.2399999999999998E-3</v>
      </c>
      <c r="H535" s="36">
        <v>9.2099999999999994E-3</v>
      </c>
      <c r="I535" s="36">
        <v>8.3000000000000001E-3</v>
      </c>
      <c r="J535" s="36">
        <v>1.09E-2</v>
      </c>
      <c r="K535" s="36">
        <v>7.2300000000000003E-3</v>
      </c>
      <c r="L535" s="36">
        <v>1.11E-2</v>
      </c>
      <c r="M535" s="36">
        <v>7.9900000000000006E-3</v>
      </c>
      <c r="N535" s="36">
        <v>4.8999999999999998E-3</v>
      </c>
      <c r="O535" s="5"/>
      <c r="P535" s="36">
        <v>4.4600000000000004E-3</v>
      </c>
      <c r="Q535" s="36">
        <v>3.9500000000000004E-3</v>
      </c>
      <c r="R535" s="36">
        <v>3.5400000000000002E-3</v>
      </c>
      <c r="S535" s="36">
        <v>8.3999999999999995E-3</v>
      </c>
      <c r="T535" s="36">
        <v>1.2999999999999999E-2</v>
      </c>
      <c r="U535" s="36">
        <v>5.7499999999999999E-3</v>
      </c>
      <c r="V535" s="36">
        <v>9.2399999999999999E-3</v>
      </c>
      <c r="W535" s="36">
        <v>7.7099999999999998E-3</v>
      </c>
      <c r="X535" s="36">
        <v>6.43E-3</v>
      </c>
      <c r="Y535" s="36">
        <v>7.7499999999999999E-3</v>
      </c>
      <c r="Z535" s="36">
        <v>7.5300000000000002E-3</v>
      </c>
      <c r="AA535" s="5"/>
      <c r="AB535" s="36">
        <v>1.65E-3</v>
      </c>
      <c r="AC535" s="36">
        <v>4.0299999999999997E-3</v>
      </c>
      <c r="AD535" s="36">
        <v>5.8100000000000001E-3</v>
      </c>
      <c r="AE535" s="36">
        <v>1.9199999999999998E-2</v>
      </c>
      <c r="AF535" s="5"/>
      <c r="AG535" s="5"/>
      <c r="AH535" s="36">
        <v>5.5900000000000004E-3</v>
      </c>
      <c r="AI535" s="36">
        <v>7.8499999999999993E-3</v>
      </c>
      <c r="AJ535" s="36">
        <v>8.5000000000000006E-3</v>
      </c>
      <c r="AK535" s="36">
        <v>5.5199999999999997E-3</v>
      </c>
      <c r="AL535" s="36">
        <v>2.2300000000000002E-3</v>
      </c>
      <c r="AM535" s="5"/>
      <c r="AN535" s="36">
        <v>5.94E-3</v>
      </c>
      <c r="AO535" s="36">
        <v>2.4599999999999999E-3</v>
      </c>
      <c r="AP535" s="46">
        <v>41.5</v>
      </c>
    </row>
    <row r="536" spans="1:42">
      <c r="A536" s="95" t="s">
        <v>745</v>
      </c>
      <c r="B536" s="3"/>
      <c r="C536" s="35">
        <v>1.17E-2</v>
      </c>
      <c r="D536" s="35">
        <v>1.4500000000000001E-2</v>
      </c>
      <c r="E536" s="3"/>
      <c r="F536" s="35">
        <v>1.6199999999999999E-2</v>
      </c>
      <c r="G536" s="3"/>
      <c r="H536" s="35">
        <v>1.66E-2</v>
      </c>
      <c r="I536" s="35">
        <v>1.26E-2</v>
      </c>
      <c r="J536" s="35">
        <v>1.1599999999999999E-2</v>
      </c>
      <c r="K536" s="35">
        <v>3.7299999999999998E-3</v>
      </c>
      <c r="L536" s="35">
        <v>1.03E-2</v>
      </c>
      <c r="M536" s="3"/>
      <c r="N536" s="3"/>
      <c r="O536" s="3"/>
      <c r="P536" s="3"/>
      <c r="Q536" s="3"/>
      <c r="R536" s="3"/>
      <c r="S536" s="35">
        <v>1.5100000000000001E-2</v>
      </c>
      <c r="T536" s="3"/>
      <c r="U536" s="35">
        <v>9.7800000000000005E-3</v>
      </c>
      <c r="V536" s="35">
        <v>1.0200000000000001E-2</v>
      </c>
      <c r="W536" s="35">
        <v>6.1999999999999998E-3</v>
      </c>
      <c r="X536" s="35">
        <v>7.77E-3</v>
      </c>
      <c r="Y536" s="35">
        <v>1.38E-2</v>
      </c>
      <c r="Z536" s="35">
        <v>7.6600000000000001E-3</v>
      </c>
      <c r="AA536" s="3"/>
      <c r="AB536" s="35">
        <v>5.1500000000000001E-3</v>
      </c>
      <c r="AC536" s="35">
        <v>2.8900000000000002E-3</v>
      </c>
      <c r="AD536" s="35">
        <v>5.0299999999999997E-3</v>
      </c>
      <c r="AE536" s="35">
        <v>3.0800000000000001E-2</v>
      </c>
      <c r="AF536" s="3"/>
      <c r="AG536" s="3"/>
      <c r="AH536" s="35">
        <v>1.2200000000000001E-2</v>
      </c>
      <c r="AI536" s="3"/>
      <c r="AJ536" s="35">
        <v>1.4500000000000001E-2</v>
      </c>
      <c r="AK536" s="35">
        <v>4.7400000000000003E-3</v>
      </c>
      <c r="AL536" s="35">
        <v>1.15E-3</v>
      </c>
      <c r="AM536" s="3"/>
      <c r="AN536" s="35">
        <v>8.1499999999999993E-3</v>
      </c>
      <c r="AO536" s="35">
        <v>6.2599999999999999E-3</v>
      </c>
      <c r="AP536" s="45">
        <v>76.8</v>
      </c>
    </row>
    <row r="537" spans="1:42">
      <c r="A537" s="95" t="s">
        <v>746</v>
      </c>
      <c r="B537" s="5"/>
      <c r="C537" s="5"/>
      <c r="D537" s="5"/>
      <c r="E537" s="36">
        <v>1.43E-2</v>
      </c>
      <c r="F537" s="36">
        <v>1.43E-2</v>
      </c>
      <c r="G537" s="36">
        <v>1.7500000000000002E-2</v>
      </c>
      <c r="H537" s="5"/>
      <c r="I537" s="36">
        <v>5.2900000000000003E-2</v>
      </c>
      <c r="J537" s="5"/>
      <c r="K537" s="36">
        <v>3.1099999999999999E-2</v>
      </c>
      <c r="L537" s="5"/>
      <c r="M537" s="5"/>
      <c r="N537" s="5"/>
      <c r="O537" s="5"/>
      <c r="P537" s="5"/>
      <c r="Q537" s="5"/>
      <c r="R537" s="36">
        <v>1.8700000000000001E-2</v>
      </c>
      <c r="S537" s="5"/>
      <c r="T537" s="5"/>
      <c r="U537" s="5"/>
      <c r="V537" s="5"/>
      <c r="W537" s="5"/>
      <c r="X537" s="5"/>
      <c r="Y537" s="5"/>
      <c r="Z537" s="5"/>
      <c r="AA537" s="5"/>
      <c r="AB537" s="36">
        <v>3.0700000000000002E-2</v>
      </c>
      <c r="AC537" s="36">
        <v>1.9099999999999999E-2</v>
      </c>
      <c r="AD537" s="36">
        <v>2.46E-2</v>
      </c>
      <c r="AE537" s="5"/>
      <c r="AF537" s="5"/>
      <c r="AG537" s="5"/>
      <c r="AH537" s="5"/>
      <c r="AI537" s="5"/>
      <c r="AJ537" s="5"/>
      <c r="AK537" s="36">
        <v>2.7E-2</v>
      </c>
      <c r="AL537" s="36">
        <v>1.7000000000000001E-2</v>
      </c>
      <c r="AM537" s="5"/>
      <c r="AN537" s="36">
        <v>2.1999999999999999E-2</v>
      </c>
      <c r="AO537" s="36">
        <v>7.0899999999999999E-3</v>
      </c>
      <c r="AP537" s="46">
        <v>32.200000000000003</v>
      </c>
    </row>
    <row r="538" spans="1:42">
      <c r="A538" s="95" t="s">
        <v>747</v>
      </c>
      <c r="B538" s="35">
        <v>0.55100000000000005</v>
      </c>
      <c r="C538" s="35">
        <v>0.61199999999999999</v>
      </c>
      <c r="D538" s="35">
        <v>0.70899999999999996</v>
      </c>
      <c r="E538" s="35">
        <v>0.41799999999999998</v>
      </c>
      <c r="F538" s="35">
        <v>0.998</v>
      </c>
      <c r="G538" s="35">
        <v>0.51200000000000001</v>
      </c>
      <c r="H538" s="35">
        <v>1.06</v>
      </c>
      <c r="I538" s="35">
        <v>0.71599999999999997</v>
      </c>
      <c r="J538" s="35">
        <v>0.76200000000000001</v>
      </c>
      <c r="K538" s="35">
        <v>0.38</v>
      </c>
      <c r="L538" s="35">
        <v>0.54300000000000004</v>
      </c>
      <c r="M538" s="35">
        <v>0.65200000000000002</v>
      </c>
      <c r="N538" s="35">
        <v>0.36699999999999999</v>
      </c>
      <c r="O538" s="35">
        <v>0.33400000000000002</v>
      </c>
      <c r="P538" s="35">
        <v>0.74099999999999999</v>
      </c>
      <c r="Q538" s="35">
        <v>0.39200000000000002</v>
      </c>
      <c r="R538" s="35">
        <v>0.40100000000000002</v>
      </c>
      <c r="S538" s="35">
        <v>0.64100000000000001</v>
      </c>
      <c r="T538" s="35">
        <v>0.22</v>
      </c>
      <c r="U538" s="35">
        <v>0.51800000000000002</v>
      </c>
      <c r="V538" s="35">
        <v>0.78400000000000003</v>
      </c>
      <c r="W538" s="35">
        <v>0.39300000000000002</v>
      </c>
      <c r="X538" s="35">
        <v>0.52100000000000002</v>
      </c>
      <c r="Y538" s="35">
        <v>0.67</v>
      </c>
      <c r="Z538" s="35">
        <v>0.67400000000000004</v>
      </c>
      <c r="AA538" s="3"/>
      <c r="AB538" s="35">
        <v>0.53500000000000003</v>
      </c>
      <c r="AC538" s="35">
        <v>0.432</v>
      </c>
      <c r="AD538" s="35">
        <v>0.65300000000000002</v>
      </c>
      <c r="AE538" s="35">
        <v>1.46</v>
      </c>
      <c r="AF538" s="3"/>
      <c r="AG538" s="3"/>
      <c r="AH538" s="35">
        <v>0.65300000000000002</v>
      </c>
      <c r="AI538" s="35">
        <v>0.70399999999999996</v>
      </c>
      <c r="AJ538" s="35">
        <v>0.7</v>
      </c>
      <c r="AK538" s="35">
        <v>0.54300000000000004</v>
      </c>
      <c r="AL538" s="35">
        <v>0.253</v>
      </c>
      <c r="AM538" s="3"/>
      <c r="AN538" s="35">
        <v>0.57099999999999995</v>
      </c>
      <c r="AO538" s="35">
        <v>0.189</v>
      </c>
      <c r="AP538" s="45">
        <v>33.1</v>
      </c>
    </row>
    <row r="539" spans="1:42">
      <c r="A539" s="95" t="s">
        <v>748</v>
      </c>
      <c r="B539" s="36">
        <v>8.2699999999999996E-2</v>
      </c>
      <c r="C539" s="36">
        <v>9.64E-2</v>
      </c>
      <c r="D539" s="36">
        <v>0.11700000000000001</v>
      </c>
      <c r="E539" s="36">
        <v>6.6400000000000001E-2</v>
      </c>
      <c r="F539" s="36">
        <v>0.17599999999999999</v>
      </c>
      <c r="G539" s="36">
        <v>9.9400000000000002E-2</v>
      </c>
      <c r="H539" s="36">
        <v>0.158</v>
      </c>
      <c r="I539" s="36">
        <v>0.104</v>
      </c>
      <c r="J539" s="36">
        <v>0.128</v>
      </c>
      <c r="K539" s="36">
        <v>6.6699999999999995E-2</v>
      </c>
      <c r="L539" s="36">
        <v>8.6900000000000005E-2</v>
      </c>
      <c r="M539" s="36">
        <v>0.11700000000000001</v>
      </c>
      <c r="N539" s="36">
        <v>5.8700000000000002E-2</v>
      </c>
      <c r="O539" s="36">
        <v>5.6399999999999999E-2</v>
      </c>
      <c r="P539" s="36">
        <v>0.127</v>
      </c>
      <c r="Q539" s="36">
        <v>6.3100000000000003E-2</v>
      </c>
      <c r="R539" s="36">
        <v>6.9599999999999995E-2</v>
      </c>
      <c r="S539" s="36">
        <v>9.8299999999999998E-2</v>
      </c>
      <c r="T539" s="36">
        <v>5.1400000000000001E-2</v>
      </c>
      <c r="U539" s="36">
        <v>8.2799999999999999E-2</v>
      </c>
      <c r="V539" s="36">
        <v>0.121</v>
      </c>
      <c r="W539" s="36">
        <v>6.4000000000000001E-2</v>
      </c>
      <c r="X539" s="36">
        <v>7.1800000000000003E-2</v>
      </c>
      <c r="Y539" s="36">
        <v>9.7199999999999995E-2</v>
      </c>
      <c r="Z539" s="36">
        <v>8.3599999999999994E-2</v>
      </c>
      <c r="AA539" s="5"/>
      <c r="AB539" s="36">
        <v>9.8100000000000007E-2</v>
      </c>
      <c r="AC539" s="36">
        <v>7.6799999999999993E-2</v>
      </c>
      <c r="AD539" s="36">
        <v>0.121</v>
      </c>
      <c r="AE539" s="36">
        <v>0.32500000000000001</v>
      </c>
      <c r="AF539" s="5"/>
      <c r="AG539" s="5"/>
      <c r="AH539" s="36">
        <v>0.13300000000000001</v>
      </c>
      <c r="AI539" s="36">
        <v>0.11600000000000001</v>
      </c>
      <c r="AJ539" s="36">
        <v>0.113</v>
      </c>
      <c r="AK539" s="36">
        <v>8.4699999999999998E-2</v>
      </c>
      <c r="AL539" s="36">
        <v>4.7699999999999999E-2</v>
      </c>
      <c r="AM539" s="5"/>
      <c r="AN539" s="36">
        <v>9.8900000000000002E-2</v>
      </c>
      <c r="AO539" s="36">
        <v>3.3399999999999999E-2</v>
      </c>
      <c r="AP539" s="46">
        <v>33.799999999999997</v>
      </c>
    </row>
    <row r="540" spans="1:42">
      <c r="A540" s="95" t="s">
        <v>749</v>
      </c>
      <c r="B540" s="35">
        <v>4.2000000000000003E-2</v>
      </c>
      <c r="C540" s="35">
        <v>5.9400000000000001E-2</v>
      </c>
      <c r="D540" s="35">
        <v>6.2600000000000003E-2</v>
      </c>
      <c r="E540" s="35">
        <v>5.5399999999999998E-2</v>
      </c>
      <c r="F540" s="35">
        <v>0.15</v>
      </c>
      <c r="G540" s="35">
        <v>6.8199999999999997E-2</v>
      </c>
      <c r="H540" s="35">
        <v>9.8799999999999999E-2</v>
      </c>
      <c r="I540" s="35">
        <v>7.3400000000000007E-2</v>
      </c>
      <c r="J540" s="35">
        <v>7.0499999999999993E-2</v>
      </c>
      <c r="K540" s="35">
        <v>3.6900000000000002E-2</v>
      </c>
      <c r="L540" s="35">
        <v>5.3400000000000003E-2</v>
      </c>
      <c r="M540" s="35">
        <v>4.6699999999999998E-2</v>
      </c>
      <c r="N540" s="35">
        <v>5.57E-2</v>
      </c>
      <c r="O540" s="35">
        <v>3.7199999999999997E-2</v>
      </c>
      <c r="P540" s="35">
        <v>6.9500000000000006E-2</v>
      </c>
      <c r="Q540" s="35">
        <v>4.5900000000000003E-2</v>
      </c>
      <c r="R540" s="35">
        <v>4.2700000000000002E-2</v>
      </c>
      <c r="S540" s="35">
        <v>7.6100000000000001E-2</v>
      </c>
      <c r="T540" s="35">
        <v>2.01E-2</v>
      </c>
      <c r="U540" s="35">
        <v>5.8999999999999997E-2</v>
      </c>
      <c r="V540" s="35">
        <v>6.4199999999999993E-2</v>
      </c>
      <c r="W540" s="35">
        <v>2.9700000000000001E-2</v>
      </c>
      <c r="X540" s="35">
        <v>3.8899999999999997E-2</v>
      </c>
      <c r="Y540" s="35">
        <v>5.1799999999999999E-2</v>
      </c>
      <c r="Z540" s="35">
        <v>5.11E-2</v>
      </c>
      <c r="AA540" s="3"/>
      <c r="AB540" s="35">
        <v>5.91E-2</v>
      </c>
      <c r="AC540" s="35">
        <v>5.0799999999999998E-2</v>
      </c>
      <c r="AD540" s="35">
        <v>6.2E-2</v>
      </c>
      <c r="AE540" s="35">
        <v>0.23300000000000001</v>
      </c>
      <c r="AF540" s="3"/>
      <c r="AG540" s="3"/>
      <c r="AH540" s="35">
        <v>7.22E-2</v>
      </c>
      <c r="AI540" s="35">
        <v>7.9100000000000004E-2</v>
      </c>
      <c r="AJ540" s="35">
        <v>7.0199999999999999E-2</v>
      </c>
      <c r="AK540" s="35">
        <v>5.5899999999999998E-2</v>
      </c>
      <c r="AL540" s="35">
        <v>3.2300000000000002E-2</v>
      </c>
      <c r="AM540" s="3"/>
      <c r="AN540" s="35">
        <v>6.1899999999999997E-2</v>
      </c>
      <c r="AO540" s="35">
        <v>1.8599999999999998E-2</v>
      </c>
      <c r="AP540" s="45">
        <v>30</v>
      </c>
    </row>
    <row r="541" spans="1:42">
      <c r="A541" s="95" t="s">
        <v>750</v>
      </c>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36">
        <v>0</v>
      </c>
      <c r="AP541" s="16"/>
    </row>
    <row r="542" spans="1:42">
      <c r="A542" s="95" t="s">
        <v>751</v>
      </c>
      <c r="B542" s="3"/>
      <c r="C542" s="35">
        <v>7.6700000000000004E-2</v>
      </c>
      <c r="D542" s="3"/>
      <c r="E542" s="3"/>
      <c r="F542" s="3"/>
      <c r="G542" s="3"/>
      <c r="H542" s="35">
        <v>0.13500000000000001</v>
      </c>
      <c r="I542" s="35">
        <v>7.4300000000000005E-2</v>
      </c>
      <c r="J542" s="35">
        <v>0.109</v>
      </c>
      <c r="K542" s="3"/>
      <c r="L542" s="35">
        <v>7.0099999999999996E-2</v>
      </c>
      <c r="M542" s="3"/>
      <c r="N542" s="3"/>
      <c r="O542" s="3"/>
      <c r="P542" s="3"/>
      <c r="Q542" s="3"/>
      <c r="R542" s="3"/>
      <c r="S542" s="3"/>
      <c r="T542" s="35">
        <v>6.4100000000000004E-2</v>
      </c>
      <c r="U542" s="35">
        <v>9.7100000000000006E-2</v>
      </c>
      <c r="V542" s="35">
        <v>0.11799999999999999</v>
      </c>
      <c r="W542" s="3"/>
      <c r="X542" s="3"/>
      <c r="Y542" s="3"/>
      <c r="Z542" s="3"/>
      <c r="AA542" s="3"/>
      <c r="AB542" s="35">
        <v>0.36199999999999999</v>
      </c>
      <c r="AC542" s="35">
        <v>6.3600000000000004E-2</v>
      </c>
      <c r="AD542" s="3"/>
      <c r="AE542" s="3"/>
      <c r="AF542" s="3"/>
      <c r="AG542" s="3"/>
      <c r="AH542" s="3"/>
      <c r="AI542" s="3"/>
      <c r="AJ542" s="35">
        <v>0.26700000000000002</v>
      </c>
      <c r="AK542" s="3"/>
      <c r="AL542" s="3"/>
      <c r="AM542" s="3"/>
      <c r="AN542" s="35">
        <v>0.26700000000000002</v>
      </c>
      <c r="AO542" s="3"/>
      <c r="AP542" s="45">
        <v>0</v>
      </c>
    </row>
    <row r="543" spans="1:42">
      <c r="A543" s="95" t="s">
        <v>752</v>
      </c>
      <c r="B543" s="36">
        <v>0.23699999999999999</v>
      </c>
      <c r="C543" s="36">
        <v>4.9700000000000001E-2</v>
      </c>
      <c r="D543" s="36">
        <v>1.2E-2</v>
      </c>
      <c r="E543" s="36">
        <v>5.9900000000000002E-2</v>
      </c>
      <c r="F543" s="36">
        <v>3.3399999999999999E-2</v>
      </c>
      <c r="G543" s="36">
        <v>8.8200000000000001E-2</v>
      </c>
      <c r="H543" s="36">
        <v>6.6400000000000001E-2</v>
      </c>
      <c r="I543" s="36">
        <v>0.23</v>
      </c>
      <c r="J543" s="36">
        <v>8.43E-3</v>
      </c>
      <c r="K543" s="36">
        <v>0.14899999999999999</v>
      </c>
      <c r="L543" s="36">
        <v>6.0200000000000002E-3</v>
      </c>
      <c r="M543" s="36">
        <v>0.83699999999999997</v>
      </c>
      <c r="N543" s="36">
        <v>0.13200000000000001</v>
      </c>
      <c r="O543" s="36">
        <v>0.14899999999999999</v>
      </c>
      <c r="P543" s="36">
        <v>0.59399999999999997</v>
      </c>
      <c r="Q543" s="5"/>
      <c r="R543" s="36">
        <v>1.61E-2</v>
      </c>
      <c r="S543" s="36">
        <v>0.41</v>
      </c>
      <c r="T543" s="36">
        <v>0.254</v>
      </c>
      <c r="U543" s="36">
        <v>0.36299999999999999</v>
      </c>
      <c r="V543" s="36">
        <v>0.58499999999999996</v>
      </c>
      <c r="W543" s="36">
        <v>0.245</v>
      </c>
      <c r="X543" s="36">
        <v>0.23499999999999999</v>
      </c>
      <c r="Y543" s="36">
        <v>0.55000000000000004</v>
      </c>
      <c r="Z543" s="36">
        <v>0.46300000000000002</v>
      </c>
      <c r="AA543" s="5"/>
      <c r="AB543" s="36">
        <v>7.2999999999999995E-2</v>
      </c>
      <c r="AC543" s="36">
        <v>3.1600000000000003E-2</v>
      </c>
      <c r="AD543" s="36">
        <v>1.5599999999999999E-2</v>
      </c>
      <c r="AE543" s="36">
        <v>6.8500000000000005E-2</v>
      </c>
      <c r="AF543" s="5"/>
      <c r="AG543" s="5"/>
      <c r="AH543" s="36">
        <v>0.23400000000000001</v>
      </c>
      <c r="AI543" s="36">
        <v>0.93400000000000005</v>
      </c>
      <c r="AJ543" s="36">
        <v>1.2200000000000001E-2</v>
      </c>
      <c r="AK543" s="36">
        <v>8.9300000000000004E-2</v>
      </c>
      <c r="AL543" s="36">
        <v>5.5399999999999998E-2</v>
      </c>
      <c r="AM543" s="5"/>
      <c r="AN543" s="36">
        <v>0.26500000000000001</v>
      </c>
      <c r="AO543" s="36">
        <v>0.38300000000000001</v>
      </c>
      <c r="AP543" s="46">
        <v>145</v>
      </c>
    </row>
    <row r="544" spans="1:42">
      <c r="A544" s="95" t="s">
        <v>753</v>
      </c>
      <c r="B544" s="35">
        <v>2.2599999999999999E-2</v>
      </c>
      <c r="C544" s="35">
        <v>2.3E-2</v>
      </c>
      <c r="D544" s="35">
        <v>2.4799999999999999E-2</v>
      </c>
      <c r="E544" s="35">
        <v>1.5800000000000002E-2</v>
      </c>
      <c r="F544" s="35">
        <v>4.99E-2</v>
      </c>
      <c r="G544" s="35">
        <v>2.9899999999999999E-2</v>
      </c>
      <c r="H544" s="35">
        <v>4.48E-2</v>
      </c>
      <c r="I544" s="35">
        <v>3.7400000000000003E-2</v>
      </c>
      <c r="J544" s="35">
        <v>4.2999999999999997E-2</v>
      </c>
      <c r="K544" s="35">
        <v>2.4299999999999999E-2</v>
      </c>
      <c r="L544" s="35">
        <v>2.9899999999999999E-2</v>
      </c>
      <c r="M544" s="35">
        <v>2.1000000000000001E-2</v>
      </c>
      <c r="N544" s="35">
        <v>1.18E-2</v>
      </c>
      <c r="O544" s="35">
        <v>1.21E-2</v>
      </c>
      <c r="P544" s="35">
        <v>3.04E-2</v>
      </c>
      <c r="Q544" s="35">
        <v>2.1100000000000001E-2</v>
      </c>
      <c r="R544" s="35">
        <v>1.7999999999999999E-2</v>
      </c>
      <c r="S544" s="35">
        <v>2.9600000000000001E-2</v>
      </c>
      <c r="T544" s="35">
        <v>1.5699999999999999E-2</v>
      </c>
      <c r="U544" s="35">
        <v>4.82E-2</v>
      </c>
      <c r="V544" s="35">
        <v>4.4900000000000002E-2</v>
      </c>
      <c r="W544" s="35">
        <v>2.93E-2</v>
      </c>
      <c r="X544" s="35">
        <v>3.1099999999999999E-2</v>
      </c>
      <c r="Y544" s="35">
        <v>4.0599999999999997E-2</v>
      </c>
      <c r="Z544" s="35">
        <v>3.8600000000000002E-2</v>
      </c>
      <c r="AA544" s="3"/>
      <c r="AB544" s="35">
        <v>2.81E-2</v>
      </c>
      <c r="AC544" s="35">
        <v>2.6700000000000002E-2</v>
      </c>
      <c r="AD544" s="35">
        <v>4.3299999999999998E-2</v>
      </c>
      <c r="AE544" s="35">
        <v>8.9099999999999999E-2</v>
      </c>
      <c r="AF544" s="3"/>
      <c r="AG544" s="3"/>
      <c r="AH544" s="35">
        <v>3.73E-2</v>
      </c>
      <c r="AI544" s="35">
        <v>2.9000000000000001E-2</v>
      </c>
      <c r="AJ544" s="35">
        <v>3.5999999999999997E-2</v>
      </c>
      <c r="AK544" s="35">
        <v>2.9700000000000001E-2</v>
      </c>
      <c r="AL544" s="35">
        <v>1.29E-2</v>
      </c>
      <c r="AM544" s="3"/>
      <c r="AN544" s="35">
        <v>2.9000000000000001E-2</v>
      </c>
      <c r="AO544" s="35">
        <v>9.7300000000000008E-3</v>
      </c>
      <c r="AP544" s="45">
        <v>33.6</v>
      </c>
    </row>
    <row r="545" spans="1:42">
      <c r="A545" s="95" t="s">
        <v>754</v>
      </c>
      <c r="B545" s="36">
        <v>1.1100000000000001</v>
      </c>
      <c r="C545" s="36">
        <v>2.8400000000000002E-2</v>
      </c>
      <c r="D545" s="36">
        <v>4.0800000000000003E-2</v>
      </c>
      <c r="E545" s="36">
        <v>0.60599999999999998</v>
      </c>
      <c r="F545" s="36">
        <v>1.34</v>
      </c>
      <c r="G545" s="36">
        <v>0.68100000000000005</v>
      </c>
      <c r="H545" s="36">
        <v>6.4299999999999996E-2</v>
      </c>
      <c r="I545" s="36">
        <v>5.9299999999999999E-2</v>
      </c>
      <c r="J545" s="36">
        <v>6.7199999999999996E-2</v>
      </c>
      <c r="K545" s="36">
        <v>0.88400000000000001</v>
      </c>
      <c r="L545" s="36">
        <v>4.41E-2</v>
      </c>
      <c r="M545" s="36">
        <v>1.18</v>
      </c>
      <c r="N545" s="36">
        <v>0.42299999999999999</v>
      </c>
      <c r="O545" s="36">
        <v>0.67800000000000005</v>
      </c>
      <c r="P545" s="36">
        <v>1.43</v>
      </c>
      <c r="Q545" s="36">
        <v>0.52400000000000002</v>
      </c>
      <c r="R545" s="36">
        <v>0.371</v>
      </c>
      <c r="S545" s="36">
        <v>0.09</v>
      </c>
      <c r="T545" s="36">
        <v>3.0099999999999998E-2</v>
      </c>
      <c r="U545" s="36">
        <v>0.13800000000000001</v>
      </c>
      <c r="V545" s="36">
        <v>0.13500000000000001</v>
      </c>
      <c r="W545" s="36">
        <v>6.2100000000000002E-2</v>
      </c>
      <c r="X545" s="36">
        <v>0.11700000000000001</v>
      </c>
      <c r="Y545" s="36">
        <v>0.127</v>
      </c>
      <c r="Z545" s="36">
        <v>0.14000000000000001</v>
      </c>
      <c r="AA545" s="5"/>
      <c r="AB545" s="36">
        <v>0.434</v>
      </c>
      <c r="AC545" s="36">
        <v>0.34699999999999998</v>
      </c>
      <c r="AD545" s="36">
        <v>0.44400000000000001</v>
      </c>
      <c r="AE545" s="36">
        <v>0.11899999999999999</v>
      </c>
      <c r="AF545" s="5"/>
      <c r="AG545" s="5"/>
      <c r="AH545" s="36">
        <v>7.8E-2</v>
      </c>
      <c r="AI545" s="36">
        <v>1.54</v>
      </c>
      <c r="AJ545" s="36">
        <v>5.45E-2</v>
      </c>
      <c r="AK545" s="36">
        <v>0.98099999999999998</v>
      </c>
      <c r="AL545" s="36">
        <v>0.27300000000000002</v>
      </c>
      <c r="AM545" s="5"/>
      <c r="AN545" s="36">
        <v>0.58499999999999996</v>
      </c>
      <c r="AO545" s="36">
        <v>0.65200000000000002</v>
      </c>
      <c r="AP545" s="46">
        <v>112</v>
      </c>
    </row>
    <row r="546" spans="1:42">
      <c r="A546" s="95" t="s">
        <v>755</v>
      </c>
      <c r="B546" s="35">
        <v>0.24</v>
      </c>
      <c r="C546" s="35">
        <v>9.5000000000000001E-2</v>
      </c>
      <c r="D546" s="35">
        <v>7.4399999999999994E-2</v>
      </c>
      <c r="E546" s="35">
        <v>0.14299999999999999</v>
      </c>
      <c r="F546" s="35">
        <v>0.34</v>
      </c>
      <c r="G546" s="35">
        <v>0.24</v>
      </c>
      <c r="H546" s="35">
        <v>0.17899999999999999</v>
      </c>
      <c r="I546" s="35">
        <v>0.17</v>
      </c>
      <c r="J546" s="35">
        <v>0.216</v>
      </c>
      <c r="K546" s="35">
        <v>0.20799999999999999</v>
      </c>
      <c r="L546" s="35">
        <v>0.10100000000000001</v>
      </c>
      <c r="M546" s="35">
        <v>0.249</v>
      </c>
      <c r="N546" s="35">
        <v>9.7900000000000001E-2</v>
      </c>
      <c r="O546" s="35">
        <v>0.14399999999999999</v>
      </c>
      <c r="P546" s="35">
        <v>0.34100000000000003</v>
      </c>
      <c r="Q546" s="35">
        <v>0.18099999999999999</v>
      </c>
      <c r="R546" s="35">
        <v>0.13500000000000001</v>
      </c>
      <c r="S546" s="35">
        <v>0.122</v>
      </c>
      <c r="T546" s="35">
        <v>9.8400000000000001E-2</v>
      </c>
      <c r="U546" s="35">
        <v>0.20100000000000001</v>
      </c>
      <c r="V546" s="35">
        <v>0.16300000000000001</v>
      </c>
      <c r="W546" s="35">
        <v>0.13</v>
      </c>
      <c r="X546" s="35">
        <v>9.1499999999999998E-2</v>
      </c>
      <c r="Y546" s="35">
        <v>0.13800000000000001</v>
      </c>
      <c r="Z546" s="35">
        <v>0.13300000000000001</v>
      </c>
      <c r="AA546" s="3"/>
      <c r="AB546" s="35">
        <v>0.16300000000000001</v>
      </c>
      <c r="AC546" s="35">
        <v>0.13400000000000001</v>
      </c>
      <c r="AD546" s="35">
        <v>0.21099999999999999</v>
      </c>
      <c r="AE546" s="35">
        <v>0.20799999999999999</v>
      </c>
      <c r="AF546" s="3"/>
      <c r="AG546" s="3"/>
      <c r="AH546" s="35">
        <v>0.115</v>
      </c>
      <c r="AI546" s="35">
        <v>0.34</v>
      </c>
      <c r="AJ546" s="35">
        <v>0.14399999999999999</v>
      </c>
      <c r="AK546" s="35">
        <v>0.25</v>
      </c>
      <c r="AL546" s="35">
        <v>8.72E-2</v>
      </c>
      <c r="AM546" s="3"/>
      <c r="AN546" s="35">
        <v>0.187</v>
      </c>
      <c r="AO546" s="35">
        <v>0.105</v>
      </c>
      <c r="AP546" s="45">
        <v>56.3</v>
      </c>
    </row>
    <row r="547" spans="1:42">
      <c r="A547" s="95" t="s">
        <v>756</v>
      </c>
      <c r="B547" s="36">
        <v>1.69</v>
      </c>
      <c r="C547" s="36">
        <v>0.23</v>
      </c>
      <c r="D547" s="36">
        <v>0.224</v>
      </c>
      <c r="E547" s="36">
        <v>0.78700000000000003</v>
      </c>
      <c r="F547" s="36">
        <v>0.95299999999999996</v>
      </c>
      <c r="G547" s="36">
        <v>1.42</v>
      </c>
      <c r="H547" s="36">
        <v>0.51800000000000002</v>
      </c>
      <c r="I547" s="36">
        <v>0.497</v>
      </c>
      <c r="J547" s="36">
        <v>0.61499999999999999</v>
      </c>
      <c r="K547" s="36">
        <v>0.84399999999999997</v>
      </c>
      <c r="L547" s="36">
        <v>0.27700000000000002</v>
      </c>
      <c r="M547" s="36">
        <v>2.11</v>
      </c>
      <c r="N547" s="36">
        <v>0.77200000000000002</v>
      </c>
      <c r="O547" s="36">
        <v>1</v>
      </c>
      <c r="P547" s="36">
        <v>2.14</v>
      </c>
      <c r="Q547" s="36">
        <v>1.38</v>
      </c>
      <c r="R547" s="36">
        <v>0.98699999999999999</v>
      </c>
      <c r="S547" s="36">
        <v>0.41299999999999998</v>
      </c>
      <c r="T547" s="36">
        <v>0.26</v>
      </c>
      <c r="U547" s="36">
        <v>0.70299999999999996</v>
      </c>
      <c r="V547" s="36">
        <v>0.64400000000000002</v>
      </c>
      <c r="W547" s="36">
        <v>0.40600000000000003</v>
      </c>
      <c r="X547" s="36">
        <v>0.34399999999999997</v>
      </c>
      <c r="Y547" s="36">
        <v>0.54300000000000004</v>
      </c>
      <c r="Z547" s="36">
        <v>0.47599999999999998</v>
      </c>
      <c r="AA547" s="5"/>
      <c r="AB547" s="36">
        <v>0.70799999999999996</v>
      </c>
      <c r="AC547" s="36">
        <v>0.89400000000000002</v>
      </c>
      <c r="AD547" s="36">
        <v>1.51</v>
      </c>
      <c r="AE547" s="36">
        <v>0.51500000000000001</v>
      </c>
      <c r="AF547" s="5"/>
      <c r="AG547" s="5"/>
      <c r="AH547" s="36">
        <v>0.44400000000000001</v>
      </c>
      <c r="AI547" s="36">
        <v>2.4900000000000002</v>
      </c>
      <c r="AJ547" s="36">
        <v>0.38600000000000001</v>
      </c>
      <c r="AK547" s="36">
        <v>0.88700000000000001</v>
      </c>
      <c r="AL547" s="36">
        <v>0.56100000000000005</v>
      </c>
      <c r="AM547" s="5"/>
      <c r="AN547" s="36">
        <v>0.95299999999999996</v>
      </c>
      <c r="AO547" s="36">
        <v>0.88</v>
      </c>
      <c r="AP547" s="46">
        <v>92.3</v>
      </c>
    </row>
    <row r="548" spans="1:42">
      <c r="A548" s="95" t="s">
        <v>757</v>
      </c>
      <c r="B548" s="35">
        <v>0.185</v>
      </c>
      <c r="C548" s="35">
        <v>2.7900000000000001E-2</v>
      </c>
      <c r="D548" s="35">
        <v>2.87E-2</v>
      </c>
      <c r="E548" s="35">
        <v>0.56999999999999995</v>
      </c>
      <c r="F548" s="35">
        <v>1.1399999999999999</v>
      </c>
      <c r="G548" s="35">
        <v>6.9000000000000006E-2</v>
      </c>
      <c r="H548" s="35">
        <v>0.127</v>
      </c>
      <c r="I548" s="35">
        <v>0.16</v>
      </c>
      <c r="J548" s="35">
        <v>0.123</v>
      </c>
      <c r="K548" s="35">
        <v>0.16200000000000001</v>
      </c>
      <c r="L548" s="35">
        <v>8.3799999999999999E-2</v>
      </c>
      <c r="M548" s="35">
        <v>0.49299999999999999</v>
      </c>
      <c r="N548" s="35">
        <v>3.4799999999999998E-2</v>
      </c>
      <c r="O548" s="35">
        <v>6.2700000000000006E-2</v>
      </c>
      <c r="P548" s="35">
        <v>0.24199999999999999</v>
      </c>
      <c r="Q548" s="35">
        <v>7.0999999999999994E-2</v>
      </c>
      <c r="R548" s="35">
        <v>5.4300000000000001E-2</v>
      </c>
      <c r="S548" s="35">
        <v>0.54300000000000004</v>
      </c>
      <c r="T548" s="35">
        <v>0.245</v>
      </c>
      <c r="U548" s="35">
        <v>0.11899999999999999</v>
      </c>
      <c r="V548" s="35">
        <v>0.23200000000000001</v>
      </c>
      <c r="W548" s="35">
        <v>0.28899999999999998</v>
      </c>
      <c r="X548" s="35">
        <v>0.224</v>
      </c>
      <c r="Y548" s="35">
        <v>0.56100000000000005</v>
      </c>
      <c r="Z548" s="35">
        <v>0.371</v>
      </c>
      <c r="AA548" s="3"/>
      <c r="AB548" s="35">
        <v>0.247</v>
      </c>
      <c r="AC548" s="35">
        <v>6.4699999999999994E-2</v>
      </c>
      <c r="AD548" s="35">
        <v>0.153</v>
      </c>
      <c r="AE548" s="35">
        <v>0.38400000000000001</v>
      </c>
      <c r="AF548" s="3"/>
      <c r="AG548" s="3"/>
      <c r="AH548" s="35">
        <v>0.252</v>
      </c>
      <c r="AI548" s="35">
        <v>0.26300000000000001</v>
      </c>
      <c r="AJ548" s="35">
        <v>0.23</v>
      </c>
      <c r="AK548" s="35">
        <v>0.182</v>
      </c>
      <c r="AL548" s="35">
        <v>3.6400000000000002E-2</v>
      </c>
      <c r="AM548" s="3"/>
      <c r="AN548" s="35">
        <v>0.193</v>
      </c>
      <c r="AO548" s="35">
        <v>9.2799999999999994E-2</v>
      </c>
      <c r="AP548" s="45">
        <v>48.1</v>
      </c>
    </row>
    <row r="549" spans="1:42">
      <c r="A549" s="95" t="s">
        <v>758</v>
      </c>
      <c r="B549" s="5"/>
      <c r="C549" s="5"/>
      <c r="D549" s="5"/>
      <c r="E549" s="5"/>
      <c r="F549" s="5"/>
      <c r="G549" s="5"/>
      <c r="H549" s="36">
        <v>4.9699999999999996E-3</v>
      </c>
      <c r="I549" s="36">
        <v>8.3400000000000002E-3</v>
      </c>
      <c r="J549" s="36">
        <v>1.03E-2</v>
      </c>
      <c r="K549" s="5"/>
      <c r="L549" s="36">
        <v>6.5100000000000002E-3</v>
      </c>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36">
        <v>0</v>
      </c>
      <c r="AP549" s="16"/>
    </row>
    <row r="550" spans="1:42">
      <c r="A550" s="95" t="s">
        <v>759</v>
      </c>
      <c r="B550" s="3"/>
      <c r="C550" s="35">
        <v>3.6799999999999999E-2</v>
      </c>
      <c r="D550" s="35">
        <v>4.0099999999999997E-2</v>
      </c>
      <c r="E550" s="3"/>
      <c r="F550" s="35">
        <v>5.5500000000000001E-2</v>
      </c>
      <c r="G550" s="3"/>
      <c r="H550" s="35">
        <v>7.0999999999999994E-2</v>
      </c>
      <c r="I550" s="35">
        <v>6.5699999999999995E-2</v>
      </c>
      <c r="J550" s="35">
        <v>5.5599999999999997E-2</v>
      </c>
      <c r="K550" s="35">
        <v>1.72E-2</v>
      </c>
      <c r="L550" s="35">
        <v>5.1999999999999998E-2</v>
      </c>
      <c r="M550" s="3"/>
      <c r="N550" s="3"/>
      <c r="O550" s="3"/>
      <c r="P550" s="35">
        <v>7.4099999999999999E-3</v>
      </c>
      <c r="Q550" s="3"/>
      <c r="R550" s="3"/>
      <c r="S550" s="35">
        <v>5.91E-2</v>
      </c>
      <c r="T550" s="3"/>
      <c r="U550" s="35">
        <v>8.1699999999999995E-2</v>
      </c>
      <c r="V550" s="35">
        <v>7.0099999999999996E-2</v>
      </c>
      <c r="W550" s="35">
        <v>3.78E-2</v>
      </c>
      <c r="X550" s="35">
        <v>3.5999999999999997E-2</v>
      </c>
      <c r="Y550" s="35">
        <v>4.9599999999999998E-2</v>
      </c>
      <c r="Z550" s="35">
        <v>4.36E-2</v>
      </c>
      <c r="AA550" s="3"/>
      <c r="AB550" s="35">
        <v>1.3899999999999999E-2</v>
      </c>
      <c r="AC550" s="35">
        <v>5.9199999999999999E-3</v>
      </c>
      <c r="AD550" s="35">
        <v>1.0200000000000001E-2</v>
      </c>
      <c r="AE550" s="35">
        <v>0.12</v>
      </c>
      <c r="AF550" s="3"/>
      <c r="AG550" s="3"/>
      <c r="AH550" s="35">
        <v>5.0299999999999997E-2</v>
      </c>
      <c r="AI550" s="35">
        <v>9.1900000000000003E-3</v>
      </c>
      <c r="AJ550" s="35">
        <v>5.2699999999999997E-2</v>
      </c>
      <c r="AK550" s="35">
        <v>2.8500000000000001E-2</v>
      </c>
      <c r="AL550" s="3"/>
      <c r="AM550" s="3"/>
      <c r="AN550" s="35">
        <v>3.5200000000000002E-2</v>
      </c>
      <c r="AO550" s="35">
        <v>2.0500000000000001E-2</v>
      </c>
      <c r="AP550" s="45">
        <v>58.2</v>
      </c>
    </row>
    <row r="551" spans="1:42">
      <c r="A551" s="95" t="s">
        <v>760</v>
      </c>
      <c r="B551" s="36">
        <v>1.6299999999999999E-2</v>
      </c>
      <c r="C551" s="36">
        <v>5.8399999999999997E-3</v>
      </c>
      <c r="D551" s="36">
        <v>1.8400000000000001E-3</v>
      </c>
      <c r="E551" s="36">
        <v>1.17E-2</v>
      </c>
      <c r="F551" s="36">
        <v>7.8600000000000003E-2</v>
      </c>
      <c r="G551" s="36">
        <v>3.4099999999999998E-3</v>
      </c>
      <c r="H551" s="36">
        <v>9.3200000000000002E-3</v>
      </c>
      <c r="I551" s="36">
        <v>1.66E-2</v>
      </c>
      <c r="J551" s="36">
        <v>1.0800000000000001E-2</v>
      </c>
      <c r="K551" s="36">
        <v>2.0299999999999999E-2</v>
      </c>
      <c r="L551" s="36">
        <v>6.62E-3</v>
      </c>
      <c r="M551" s="36">
        <v>2.7099999999999999E-2</v>
      </c>
      <c r="N551" s="36">
        <v>3.0100000000000001E-3</v>
      </c>
      <c r="O551" s="36">
        <v>4.79E-3</v>
      </c>
      <c r="P551" s="36">
        <v>1.17E-2</v>
      </c>
      <c r="Q551" s="36">
        <v>3.2299999999999998E-3</v>
      </c>
      <c r="R551" s="36">
        <v>8.6199999999999992E-3</v>
      </c>
      <c r="S551" s="36">
        <v>2.6700000000000002E-2</v>
      </c>
      <c r="T551" s="36">
        <v>1.44E-2</v>
      </c>
      <c r="U551" s="36">
        <v>1.06E-2</v>
      </c>
      <c r="V551" s="36">
        <v>1.61E-2</v>
      </c>
      <c r="W551" s="36">
        <v>9.4999999999999998E-3</v>
      </c>
      <c r="X551" s="36">
        <v>1.0500000000000001E-2</v>
      </c>
      <c r="Y551" s="36">
        <v>3.3700000000000001E-2</v>
      </c>
      <c r="Z551" s="36">
        <v>1.54E-2</v>
      </c>
      <c r="AA551" s="5"/>
      <c r="AB551" s="36">
        <v>6.6800000000000002E-3</v>
      </c>
      <c r="AC551" s="36">
        <v>1.67E-2</v>
      </c>
      <c r="AD551" s="36">
        <v>2.2100000000000002E-2</v>
      </c>
      <c r="AE551" s="36">
        <v>9.8500000000000004E-2</v>
      </c>
      <c r="AF551" s="5"/>
      <c r="AG551" s="5"/>
      <c r="AH551" s="5"/>
      <c r="AI551" s="36">
        <v>2.6800000000000001E-2</v>
      </c>
      <c r="AJ551" s="36">
        <v>1.32E-2</v>
      </c>
      <c r="AK551" s="36">
        <v>1.0699999999999999E-2</v>
      </c>
      <c r="AL551" s="36">
        <v>1.8799999999999999E-3</v>
      </c>
      <c r="AM551" s="5"/>
      <c r="AN551" s="36">
        <v>1.32E-2</v>
      </c>
      <c r="AO551" s="36">
        <v>1.03E-2</v>
      </c>
      <c r="AP551" s="46">
        <v>78.599999999999994</v>
      </c>
    </row>
    <row r="552" spans="1:42">
      <c r="A552" s="95" t="s">
        <v>761</v>
      </c>
      <c r="B552" s="35">
        <v>7.4000000000000003E-3</v>
      </c>
      <c r="C552" s="35">
        <v>3.82E-3</v>
      </c>
      <c r="D552" s="3"/>
      <c r="E552" s="35">
        <v>1.75E-3</v>
      </c>
      <c r="F552" s="35">
        <v>4.1999999999999997E-3</v>
      </c>
      <c r="G552" s="3"/>
      <c r="H552" s="35">
        <v>7.9900000000000006E-3</v>
      </c>
      <c r="I552" s="35">
        <v>7.6899999999999998E-3</v>
      </c>
      <c r="J552" s="35">
        <v>6.9199999999999999E-3</v>
      </c>
      <c r="K552" s="35">
        <v>5.4299999999999999E-3</v>
      </c>
      <c r="L552" s="35">
        <v>1.1299999999999999E-2</v>
      </c>
      <c r="M552" s="35">
        <v>1.17E-2</v>
      </c>
      <c r="N552" s="35">
        <v>2.2599999999999999E-3</v>
      </c>
      <c r="O552" s="35">
        <v>4.6100000000000004E-3</v>
      </c>
      <c r="P552" s="35">
        <v>7.7099999999999998E-3</v>
      </c>
      <c r="Q552" s="35">
        <v>1.9E-3</v>
      </c>
      <c r="R552" s="35">
        <v>1.7600000000000001E-3</v>
      </c>
      <c r="S552" s="35">
        <v>1.14E-2</v>
      </c>
      <c r="T552" s="35">
        <v>7.3800000000000003E-3</v>
      </c>
      <c r="U552" s="35">
        <v>2.2100000000000002E-2</v>
      </c>
      <c r="V552" s="35">
        <v>1.2E-2</v>
      </c>
      <c r="W552" s="35">
        <v>1.1299999999999999E-2</v>
      </c>
      <c r="X552" s="35">
        <v>5.8599999999999998E-3</v>
      </c>
      <c r="Y552" s="35">
        <v>1.14E-2</v>
      </c>
      <c r="Z552" s="35">
        <v>9.9900000000000006E-3</v>
      </c>
      <c r="AA552" s="3"/>
      <c r="AB552" s="35">
        <v>3.1800000000000001E-3</v>
      </c>
      <c r="AC552" s="35">
        <v>5.22E-4</v>
      </c>
      <c r="AD552" s="35">
        <v>2.3900000000000002E-3</v>
      </c>
      <c r="AE552" s="35">
        <v>8.2699999999999996E-3</v>
      </c>
      <c r="AF552" s="3"/>
      <c r="AG552" s="3"/>
      <c r="AH552" s="35">
        <v>9.41E-3</v>
      </c>
      <c r="AI552" s="35">
        <v>8.8900000000000003E-3</v>
      </c>
      <c r="AJ552" s="35">
        <v>9.5899999999999996E-3</v>
      </c>
      <c r="AK552" s="35">
        <v>6.62E-3</v>
      </c>
      <c r="AL552" s="35">
        <v>1.89E-3</v>
      </c>
      <c r="AM552" s="3"/>
      <c r="AN552" s="35">
        <v>7.28E-3</v>
      </c>
      <c r="AO552" s="35">
        <v>3.2399999999999998E-3</v>
      </c>
      <c r="AP552" s="45">
        <v>44.5</v>
      </c>
    </row>
    <row r="553" spans="1:42">
      <c r="A553" s="95" t="s">
        <v>762</v>
      </c>
      <c r="B553" s="36">
        <v>9.0299999999999998E-3</v>
      </c>
      <c r="C553" s="36">
        <v>3.8700000000000002E-3</v>
      </c>
      <c r="D553" s="5"/>
      <c r="E553" s="36">
        <v>5.6600000000000001E-3</v>
      </c>
      <c r="F553" s="36">
        <v>1.15E-2</v>
      </c>
      <c r="G553" s="36">
        <v>4.1399999999999996E-3</v>
      </c>
      <c r="H553" s="36">
        <v>8.2199999999999999E-3</v>
      </c>
      <c r="I553" s="36">
        <v>1.1599999999999999E-2</v>
      </c>
      <c r="J553" s="36">
        <v>9.0500000000000008E-3</v>
      </c>
      <c r="K553" s="36">
        <v>5.0600000000000003E-3</v>
      </c>
      <c r="L553" s="36">
        <v>8.5299999999999994E-3</v>
      </c>
      <c r="M553" s="36">
        <v>1.4200000000000001E-2</v>
      </c>
      <c r="N553" s="36">
        <v>3.0899999999999999E-3</v>
      </c>
      <c r="O553" s="36">
        <v>4.4999999999999997E-3</v>
      </c>
      <c r="P553" s="36">
        <v>1.5100000000000001E-2</v>
      </c>
      <c r="Q553" s="36">
        <v>3.14E-3</v>
      </c>
      <c r="R553" s="36">
        <v>2.2100000000000002E-3</v>
      </c>
      <c r="S553" s="36">
        <v>1.1299999999999999E-2</v>
      </c>
      <c r="T553" s="36">
        <v>8.8800000000000007E-3</v>
      </c>
      <c r="U553" s="36">
        <v>1.5900000000000001E-2</v>
      </c>
      <c r="V553" s="36">
        <v>1.2999999999999999E-2</v>
      </c>
      <c r="W553" s="36">
        <v>7.7400000000000004E-3</v>
      </c>
      <c r="X553" s="36">
        <v>4.8500000000000001E-3</v>
      </c>
      <c r="Y553" s="36">
        <v>1.55E-2</v>
      </c>
      <c r="Z553" s="36">
        <v>1.18E-2</v>
      </c>
      <c r="AA553" s="5"/>
      <c r="AB553" s="36">
        <v>5.8900000000000003E-3</v>
      </c>
      <c r="AC553" s="36">
        <v>2.9499999999999999E-3</v>
      </c>
      <c r="AD553" s="36">
        <v>3.5899999999999999E-3</v>
      </c>
      <c r="AE553" s="5"/>
      <c r="AF553" s="5"/>
      <c r="AG553" s="5"/>
      <c r="AH553" s="36">
        <v>8.2400000000000008E-3</v>
      </c>
      <c r="AI553" s="36">
        <v>2.1700000000000001E-2</v>
      </c>
      <c r="AJ553" s="36">
        <v>8.1700000000000002E-3</v>
      </c>
      <c r="AK553" s="36">
        <v>7.6899999999999998E-3</v>
      </c>
      <c r="AL553" s="36">
        <v>1.8500000000000001E-3</v>
      </c>
      <c r="AM553" s="5"/>
      <c r="AN553" s="36">
        <v>9.5200000000000007E-3</v>
      </c>
      <c r="AO553" s="36">
        <v>7.3000000000000001E-3</v>
      </c>
      <c r="AP553" s="46">
        <v>76.599999999999994</v>
      </c>
    </row>
    <row r="554" spans="1:42">
      <c r="A554" s="95" t="s">
        <v>763</v>
      </c>
      <c r="B554" s="35">
        <v>0.59299999999999997</v>
      </c>
      <c r="C554" s="35">
        <v>0.32800000000000001</v>
      </c>
      <c r="D554" s="35">
        <v>0.374</v>
      </c>
      <c r="E554" s="35">
        <v>0.23699999999999999</v>
      </c>
      <c r="F554" s="35">
        <v>0.56100000000000005</v>
      </c>
      <c r="G554" s="35">
        <v>0.31900000000000001</v>
      </c>
      <c r="H554" s="35">
        <v>0.67</v>
      </c>
      <c r="I554" s="35">
        <v>0.67400000000000004</v>
      </c>
      <c r="J554" s="35">
        <v>0.70399999999999996</v>
      </c>
      <c r="K554" s="35">
        <v>0.433</v>
      </c>
      <c r="L554" s="35">
        <v>0.55300000000000005</v>
      </c>
      <c r="M554" s="35">
        <v>0.66600000000000004</v>
      </c>
      <c r="N554" s="35">
        <v>0.308</v>
      </c>
      <c r="O554" s="35">
        <v>0.376</v>
      </c>
      <c r="P554" s="35">
        <v>0.71899999999999997</v>
      </c>
      <c r="Q554" s="35">
        <v>0.32100000000000001</v>
      </c>
      <c r="R554" s="35">
        <v>0.246</v>
      </c>
      <c r="S554" s="35">
        <v>0.624</v>
      </c>
      <c r="T554" s="35">
        <v>0.27300000000000002</v>
      </c>
      <c r="U554" s="35">
        <v>1.21</v>
      </c>
      <c r="V554" s="35">
        <v>0.92200000000000004</v>
      </c>
      <c r="W554" s="35">
        <v>0.58199999999999996</v>
      </c>
      <c r="X554" s="35">
        <v>0.36899999999999999</v>
      </c>
      <c r="Y554" s="35">
        <v>0.53700000000000003</v>
      </c>
      <c r="Z554" s="35">
        <v>0.51300000000000001</v>
      </c>
      <c r="AA554" s="3"/>
      <c r="AB554" s="35">
        <v>0.31900000000000001</v>
      </c>
      <c r="AC554" s="35">
        <v>0.23400000000000001</v>
      </c>
      <c r="AD554" s="35">
        <v>0.39100000000000001</v>
      </c>
      <c r="AE554" s="35">
        <v>0.96499999999999997</v>
      </c>
      <c r="AF554" s="3"/>
      <c r="AG554" s="3"/>
      <c r="AH554" s="35">
        <v>0.60499999999999998</v>
      </c>
      <c r="AI554" s="35">
        <v>0.89</v>
      </c>
      <c r="AJ554" s="35">
        <v>0.56399999999999995</v>
      </c>
      <c r="AK554" s="35">
        <v>0.57999999999999996</v>
      </c>
      <c r="AL554" s="35">
        <v>0.17299999999999999</v>
      </c>
      <c r="AM554" s="3"/>
      <c r="AN554" s="35">
        <v>0.56200000000000006</v>
      </c>
      <c r="AO554" s="35">
        <v>0.255</v>
      </c>
      <c r="AP554" s="45">
        <v>45.4</v>
      </c>
    </row>
    <row r="555" spans="1:42">
      <c r="A555" s="95" t="s">
        <v>764</v>
      </c>
      <c r="B555" s="36">
        <v>0.14199999999999999</v>
      </c>
      <c r="C555" s="36">
        <v>0.113</v>
      </c>
      <c r="D555" s="36">
        <v>6.2600000000000003E-2</v>
      </c>
      <c r="E555" s="36">
        <v>2.1999999999999999E-2</v>
      </c>
      <c r="F555" s="36">
        <v>4.82E-2</v>
      </c>
      <c r="G555" s="36">
        <v>3.8899999999999997E-2</v>
      </c>
      <c r="H555" s="36">
        <v>0.26700000000000002</v>
      </c>
      <c r="I555" s="36">
        <v>0.317</v>
      </c>
      <c r="J555" s="36">
        <v>0.28199999999999997</v>
      </c>
      <c r="K555" s="36">
        <v>0.127</v>
      </c>
      <c r="L555" s="36">
        <v>0.314</v>
      </c>
      <c r="M555" s="36">
        <v>0.151</v>
      </c>
      <c r="N555" s="36">
        <v>5.1999999999999998E-2</v>
      </c>
      <c r="O555" s="36">
        <v>7.3599999999999999E-2</v>
      </c>
      <c r="P555" s="36">
        <v>0.152</v>
      </c>
      <c r="Q555" s="36">
        <v>4.3299999999999998E-2</v>
      </c>
      <c r="R555" s="36">
        <v>4.82E-2</v>
      </c>
      <c r="S555" s="36">
        <v>0.151</v>
      </c>
      <c r="T555" s="36">
        <v>0.245</v>
      </c>
      <c r="U555" s="36">
        <v>0.84899999999999998</v>
      </c>
      <c r="V555" s="36">
        <v>0.59199999999999997</v>
      </c>
      <c r="W555" s="36">
        <v>0.36299999999999999</v>
      </c>
      <c r="X555" s="36">
        <v>0.192</v>
      </c>
      <c r="Y555" s="36">
        <v>0.23699999999999999</v>
      </c>
      <c r="Z555" s="36">
        <v>0.26300000000000001</v>
      </c>
      <c r="AA555" s="5"/>
      <c r="AB555" s="36">
        <v>4.9799999999999997E-2</v>
      </c>
      <c r="AC555" s="36">
        <v>3.7400000000000003E-2</v>
      </c>
      <c r="AD555" s="36">
        <v>4.9500000000000002E-2</v>
      </c>
      <c r="AE555" s="36">
        <v>8.6400000000000005E-2</v>
      </c>
      <c r="AF555" s="5"/>
      <c r="AG555" s="5"/>
      <c r="AH555" s="5"/>
      <c r="AI555" s="36">
        <v>0.182</v>
      </c>
      <c r="AJ555" s="36">
        <v>0.23699999999999999</v>
      </c>
      <c r="AK555" s="36">
        <v>0.17299999999999999</v>
      </c>
      <c r="AL555" s="36">
        <v>4.2700000000000002E-2</v>
      </c>
      <c r="AM555" s="5"/>
      <c r="AN555" s="36">
        <v>0.159</v>
      </c>
      <c r="AO555" s="36">
        <v>8.2500000000000004E-2</v>
      </c>
      <c r="AP555" s="46">
        <v>52</v>
      </c>
    </row>
    <row r="556" spans="1:42">
      <c r="A556" s="95" t="s">
        <v>765</v>
      </c>
      <c r="B556" s="35">
        <v>8.0199999999999994E-2</v>
      </c>
      <c r="C556" s="35">
        <v>4.82E-2</v>
      </c>
      <c r="D556" s="35">
        <v>5.8500000000000003E-2</v>
      </c>
      <c r="E556" s="35">
        <v>3.1E-2</v>
      </c>
      <c r="F556" s="35">
        <v>7.3200000000000001E-2</v>
      </c>
      <c r="G556" s="35">
        <v>4.8500000000000001E-2</v>
      </c>
      <c r="H556" s="35">
        <v>9.3399999999999997E-2</v>
      </c>
      <c r="I556" s="35">
        <v>9.3200000000000005E-2</v>
      </c>
      <c r="J556" s="35">
        <v>9.64E-2</v>
      </c>
      <c r="K556" s="35">
        <v>5.8400000000000001E-2</v>
      </c>
      <c r="L556" s="35">
        <v>7.7499999999999999E-2</v>
      </c>
      <c r="M556" s="35">
        <v>9.6500000000000002E-2</v>
      </c>
      <c r="N556" s="35">
        <v>4.0599999999999997E-2</v>
      </c>
      <c r="O556" s="35">
        <v>4.8500000000000001E-2</v>
      </c>
      <c r="P556" s="35">
        <v>0.10199999999999999</v>
      </c>
      <c r="Q556" s="35">
        <v>4.2200000000000001E-2</v>
      </c>
      <c r="R556" s="35">
        <v>3.9199999999999999E-2</v>
      </c>
      <c r="S556" s="35">
        <v>8.3000000000000004E-2</v>
      </c>
      <c r="T556" s="35">
        <v>3.4500000000000003E-2</v>
      </c>
      <c r="U556" s="35">
        <v>0.13500000000000001</v>
      </c>
      <c r="V556" s="35">
        <v>0.109</v>
      </c>
      <c r="W556" s="35">
        <v>9.2700000000000005E-2</v>
      </c>
      <c r="X556" s="35">
        <v>5.91E-2</v>
      </c>
      <c r="Y556" s="35">
        <v>8.3900000000000002E-2</v>
      </c>
      <c r="Z556" s="35">
        <v>7.4200000000000002E-2</v>
      </c>
      <c r="AA556" s="3"/>
      <c r="AB556" s="35">
        <v>4.87E-2</v>
      </c>
      <c r="AC556" s="35">
        <v>3.4799999999999998E-2</v>
      </c>
      <c r="AD556" s="35">
        <v>5.67E-2</v>
      </c>
      <c r="AE556" s="35">
        <v>0.126</v>
      </c>
      <c r="AF556" s="3"/>
      <c r="AG556" s="3"/>
      <c r="AH556" s="35">
        <v>9.7299999999999998E-2</v>
      </c>
      <c r="AI556" s="35">
        <v>0.11700000000000001</v>
      </c>
      <c r="AJ556" s="35">
        <v>7.4700000000000003E-2</v>
      </c>
      <c r="AK556" s="35">
        <v>7.7499999999999999E-2</v>
      </c>
      <c r="AL556" s="35">
        <v>2.4899999999999999E-2</v>
      </c>
      <c r="AM556" s="3"/>
      <c r="AN556" s="35">
        <v>7.8200000000000006E-2</v>
      </c>
      <c r="AO556" s="35">
        <v>3.4299999999999997E-2</v>
      </c>
      <c r="AP556" s="45">
        <v>43.8</v>
      </c>
    </row>
    <row r="557" spans="1:42">
      <c r="A557" s="95" t="s">
        <v>766</v>
      </c>
      <c r="B557" s="5"/>
      <c r="C557" s="5"/>
      <c r="D557" s="5"/>
      <c r="E557" s="36">
        <v>1.1299999999999999E-2</v>
      </c>
      <c r="F557" s="36">
        <v>1.9599999999999999E-2</v>
      </c>
      <c r="G557" s="36">
        <v>5.9199999999999999E-3</v>
      </c>
      <c r="H557" s="5"/>
      <c r="I557" s="5"/>
      <c r="J557" s="5"/>
      <c r="K557" s="36">
        <v>7.7400000000000004E-3</v>
      </c>
      <c r="L557" s="5"/>
      <c r="M557" s="5"/>
      <c r="N557" s="5"/>
      <c r="O557" s="5"/>
      <c r="P557" s="5"/>
      <c r="Q557" s="36">
        <v>8.2199999999999999E-3</v>
      </c>
      <c r="R557" s="36">
        <v>4.8799999999999998E-3</v>
      </c>
      <c r="S557" s="5"/>
      <c r="T557" s="5"/>
      <c r="U557" s="5"/>
      <c r="V557" s="36">
        <v>1.06E-2</v>
      </c>
      <c r="W557" s="5"/>
      <c r="X557" s="36">
        <v>1.03E-2</v>
      </c>
      <c r="Y557" s="36">
        <v>1.78E-2</v>
      </c>
      <c r="Z557" s="36">
        <v>2.5399999999999999E-2</v>
      </c>
      <c r="AA557" s="5"/>
      <c r="AB557" s="36">
        <v>7.8100000000000001E-3</v>
      </c>
      <c r="AC557" s="36">
        <v>6.28E-3</v>
      </c>
      <c r="AD557" s="36">
        <v>6.62E-3</v>
      </c>
      <c r="AE557" s="36">
        <v>2.23E-2</v>
      </c>
      <c r="AF557" s="5"/>
      <c r="AG557" s="5"/>
      <c r="AH557" s="5"/>
      <c r="AI557" s="5"/>
      <c r="AJ557" s="5"/>
      <c r="AK557" s="36">
        <v>1.49E-2</v>
      </c>
      <c r="AL557" s="36">
        <v>3.8600000000000001E-3</v>
      </c>
      <c r="AM557" s="5"/>
      <c r="AN557" s="36">
        <v>9.3600000000000003E-3</v>
      </c>
      <c r="AO557" s="36">
        <v>7.7799999999999996E-3</v>
      </c>
      <c r="AP557" s="46">
        <v>83.2</v>
      </c>
    </row>
    <row r="558" spans="1:42">
      <c r="A558" s="95" t="s">
        <v>767</v>
      </c>
      <c r="B558" s="35">
        <v>0.17899999999999999</v>
      </c>
      <c r="C558" s="35">
        <v>0.14399999999999999</v>
      </c>
      <c r="D558" s="35">
        <v>0.13900000000000001</v>
      </c>
      <c r="E558" s="35">
        <v>0.184</v>
      </c>
      <c r="F558" s="35">
        <v>0.53200000000000003</v>
      </c>
      <c r="G558" s="35">
        <v>0.13600000000000001</v>
      </c>
      <c r="H558" s="35">
        <v>0.248</v>
      </c>
      <c r="I558" s="35">
        <v>0.25</v>
      </c>
      <c r="J558" s="35">
        <v>0.23699999999999999</v>
      </c>
      <c r="K558" s="35">
        <v>0.23</v>
      </c>
      <c r="L558" s="35">
        <v>0.20399999999999999</v>
      </c>
      <c r="M558" s="35">
        <v>0.2</v>
      </c>
      <c r="N558" s="35">
        <v>0.127</v>
      </c>
      <c r="O558" s="35">
        <v>0.11899999999999999</v>
      </c>
      <c r="P558" s="35">
        <v>0.2</v>
      </c>
      <c r="Q558" s="35">
        <v>0.16</v>
      </c>
      <c r="R558" s="35">
        <v>9.4100000000000003E-2</v>
      </c>
      <c r="S558" s="35">
        <v>0.214</v>
      </c>
      <c r="T558" s="35">
        <v>0.155</v>
      </c>
      <c r="U558" s="35">
        <v>0.35299999999999998</v>
      </c>
      <c r="V558" s="35">
        <v>0.27400000000000002</v>
      </c>
      <c r="W558" s="35">
        <v>0.21199999999999999</v>
      </c>
      <c r="X558" s="35">
        <v>0.14399999999999999</v>
      </c>
      <c r="Y558" s="35">
        <v>0.19500000000000001</v>
      </c>
      <c r="Z558" s="35">
        <v>0.19400000000000001</v>
      </c>
      <c r="AA558" s="3"/>
      <c r="AB558" s="35">
        <v>0.11899999999999999</v>
      </c>
      <c r="AC558" s="35">
        <v>0.108</v>
      </c>
      <c r="AD558" s="35">
        <v>0.156</v>
      </c>
      <c r="AE558" s="3"/>
      <c r="AF558" s="3"/>
      <c r="AG558" s="3"/>
      <c r="AH558" s="35">
        <v>0.224</v>
      </c>
      <c r="AI558" s="35">
        <v>0.34</v>
      </c>
      <c r="AJ558" s="35">
        <v>0.18</v>
      </c>
      <c r="AK558" s="35">
        <v>0.33500000000000002</v>
      </c>
      <c r="AL558" s="35">
        <v>6.5199999999999994E-2</v>
      </c>
      <c r="AM558" s="3"/>
      <c r="AN558" s="35">
        <v>0.22900000000000001</v>
      </c>
      <c r="AO558" s="35">
        <v>0.115</v>
      </c>
      <c r="AP558" s="45">
        <v>50.1</v>
      </c>
    </row>
    <row r="559" spans="1:42">
      <c r="A559" s="95" t="s">
        <v>768</v>
      </c>
      <c r="B559" s="36">
        <v>3.1399999999999997E-2</v>
      </c>
      <c r="C559" s="36">
        <v>1.38E-2</v>
      </c>
      <c r="D559" s="36">
        <v>1.6899999999999998E-2</v>
      </c>
      <c r="E559" s="36">
        <v>1.49E-2</v>
      </c>
      <c r="F559" s="36">
        <v>3.1E-2</v>
      </c>
      <c r="G559" s="36">
        <v>2.2800000000000001E-2</v>
      </c>
      <c r="H559" s="36">
        <v>1.7100000000000001E-2</v>
      </c>
      <c r="I559" s="36">
        <v>9.4000000000000004E-3</v>
      </c>
      <c r="J559" s="36">
        <v>7.7000000000000002E-3</v>
      </c>
      <c r="K559" s="36">
        <v>1.5299999999999999E-2</v>
      </c>
      <c r="L559" s="36">
        <v>1.47E-2</v>
      </c>
      <c r="M559" s="36">
        <v>3.7600000000000001E-2</v>
      </c>
      <c r="N559" s="36">
        <v>8.77E-3</v>
      </c>
      <c r="O559" s="36">
        <v>1.0800000000000001E-2</v>
      </c>
      <c r="P559" s="36">
        <v>2.0299999999999999E-2</v>
      </c>
      <c r="Q559" s="36">
        <v>2.0500000000000001E-2</v>
      </c>
      <c r="R559" s="36">
        <v>1.34E-2</v>
      </c>
      <c r="S559" s="36">
        <v>2.1700000000000001E-2</v>
      </c>
      <c r="T559" s="36">
        <v>2.0799999999999999E-2</v>
      </c>
      <c r="U559" s="36">
        <v>3.0099999999999998E-2</v>
      </c>
      <c r="V559" s="36">
        <v>1.7600000000000001E-2</v>
      </c>
      <c r="W559" s="36">
        <v>2.5899999999999999E-2</v>
      </c>
      <c r="X559" s="36">
        <v>1.0699999999999999E-2</v>
      </c>
      <c r="Y559" s="36">
        <v>1.4200000000000001E-2</v>
      </c>
      <c r="Z559" s="5"/>
      <c r="AA559" s="5"/>
      <c r="AB559" s="36">
        <v>1.24E-2</v>
      </c>
      <c r="AC559" s="36">
        <v>9.2700000000000005E-3</v>
      </c>
      <c r="AD559" s="36">
        <v>1.34E-2</v>
      </c>
      <c r="AE559" s="36">
        <v>1.5599999999999999E-2</v>
      </c>
      <c r="AF559" s="5"/>
      <c r="AG559" s="5"/>
      <c r="AH559" s="36">
        <v>2.1100000000000001E-2</v>
      </c>
      <c r="AI559" s="36">
        <v>3.4000000000000002E-2</v>
      </c>
      <c r="AJ559" s="5"/>
      <c r="AK559" s="36">
        <v>1.84E-2</v>
      </c>
      <c r="AL559" s="36">
        <v>6.1799999999999997E-3</v>
      </c>
      <c r="AM559" s="5"/>
      <c r="AN559" s="36">
        <v>1.9900000000000001E-2</v>
      </c>
      <c r="AO559" s="36">
        <v>1.14E-2</v>
      </c>
      <c r="AP559" s="46">
        <v>57.2</v>
      </c>
    </row>
    <row r="560" spans="1:42">
      <c r="A560" s="95" t="s">
        <v>769</v>
      </c>
      <c r="B560" s="35">
        <v>3.5299999999999998E-2</v>
      </c>
      <c r="C560" s="35">
        <v>8.1300000000000001E-3</v>
      </c>
      <c r="D560" s="35">
        <v>6.2300000000000003E-3</v>
      </c>
      <c r="E560" s="35">
        <v>5.6699999999999997E-3</v>
      </c>
      <c r="F560" s="35">
        <v>1.7399999999999999E-2</v>
      </c>
      <c r="G560" s="35">
        <v>7.7299999999999999E-3</v>
      </c>
      <c r="H560" s="35">
        <v>2.2100000000000002E-2</v>
      </c>
      <c r="I560" s="35">
        <v>2.5000000000000001E-2</v>
      </c>
      <c r="J560" s="35">
        <v>2.6599999999999999E-2</v>
      </c>
      <c r="K560" s="35">
        <v>2.9499999999999998E-2</v>
      </c>
      <c r="L560" s="35">
        <v>2.3199999999999998E-2</v>
      </c>
      <c r="M560" s="35">
        <v>3.6299999999999999E-2</v>
      </c>
      <c r="N560" s="35">
        <v>1.2200000000000001E-2</v>
      </c>
      <c r="O560" s="35">
        <v>1.7299999999999999E-2</v>
      </c>
      <c r="P560" s="35">
        <v>3.2800000000000003E-2</v>
      </c>
      <c r="Q560" s="35">
        <v>1.32E-2</v>
      </c>
      <c r="R560" s="35">
        <v>6.9499999999999996E-3</v>
      </c>
      <c r="S560" s="35">
        <v>3.2300000000000002E-2</v>
      </c>
      <c r="T560" s="35">
        <v>3.5999999999999997E-2</v>
      </c>
      <c r="U560" s="35">
        <v>6.0199999999999997E-2</v>
      </c>
      <c r="V560" s="35">
        <v>4.7500000000000001E-2</v>
      </c>
      <c r="W560" s="35">
        <v>6.6699999999999995E-2</v>
      </c>
      <c r="X560" s="35">
        <v>3.56E-2</v>
      </c>
      <c r="Y560" s="35">
        <v>4.53E-2</v>
      </c>
      <c r="Z560" s="35">
        <v>5.0700000000000002E-2</v>
      </c>
      <c r="AA560" s="3"/>
      <c r="AB560" s="35">
        <v>9.8899999999999995E-3</v>
      </c>
      <c r="AC560" s="35">
        <v>1.1299999999999999E-2</v>
      </c>
      <c r="AD560" s="35">
        <v>1.7399999999999999E-2</v>
      </c>
      <c r="AE560" s="35">
        <v>3.09E-2</v>
      </c>
      <c r="AF560" s="3"/>
      <c r="AG560" s="3"/>
      <c r="AH560" s="35">
        <v>3.5900000000000001E-2</v>
      </c>
      <c r="AI560" s="35">
        <v>3.5400000000000001E-2</v>
      </c>
      <c r="AJ560" s="35">
        <v>1.7000000000000001E-2</v>
      </c>
      <c r="AK560" s="35">
        <v>3.0499999999999999E-2</v>
      </c>
      <c r="AL560" s="35">
        <v>8.0400000000000003E-3</v>
      </c>
      <c r="AM560" s="3"/>
      <c r="AN560" s="35">
        <v>2.5399999999999999E-2</v>
      </c>
      <c r="AO560" s="35">
        <v>1.23E-2</v>
      </c>
      <c r="AP560" s="45">
        <v>48.6</v>
      </c>
    </row>
    <row r="561" spans="1:45">
      <c r="A561" s="95" t="s">
        <v>770</v>
      </c>
      <c r="B561" s="5"/>
      <c r="C561" s="5"/>
      <c r="D561" s="5"/>
      <c r="E561" s="5"/>
      <c r="F561" s="5"/>
      <c r="G561" s="5"/>
      <c r="H561" s="5"/>
      <c r="I561" s="36">
        <v>9.0300000000000005E-4</v>
      </c>
      <c r="J561" s="36">
        <v>5.2800000000000004E-4</v>
      </c>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36">
        <v>0</v>
      </c>
      <c r="AP561" s="16"/>
    </row>
    <row r="562" spans="1:45">
      <c r="A562" s="95" t="s">
        <v>771</v>
      </c>
      <c r="B562" s="35">
        <v>0.12</v>
      </c>
      <c r="C562" s="35">
        <v>5.0999999999999997E-2</v>
      </c>
      <c r="D562" s="35">
        <v>4.5999999999999999E-2</v>
      </c>
      <c r="E562" s="35">
        <v>2.07E-2</v>
      </c>
      <c r="F562" s="35">
        <v>4.8599999999999997E-2</v>
      </c>
      <c r="G562" s="35">
        <v>2.5999999999999999E-2</v>
      </c>
      <c r="H562" s="35">
        <v>0.13300000000000001</v>
      </c>
      <c r="I562" s="35">
        <v>0.159</v>
      </c>
      <c r="J562" s="35">
        <v>0.17899999999999999</v>
      </c>
      <c r="K562" s="35">
        <v>0.11600000000000001</v>
      </c>
      <c r="L562" s="35">
        <v>0.127</v>
      </c>
      <c r="M562" s="35">
        <v>0.114</v>
      </c>
      <c r="N562" s="35">
        <v>3.6900000000000002E-2</v>
      </c>
      <c r="O562" s="35">
        <v>5.1299999999999998E-2</v>
      </c>
      <c r="P562" s="35">
        <v>0.127</v>
      </c>
      <c r="Q562" s="35">
        <v>4.5699999999999998E-2</v>
      </c>
      <c r="R562" s="35">
        <v>2.23E-2</v>
      </c>
      <c r="S562" s="35">
        <v>0.13200000000000001</v>
      </c>
      <c r="T562" s="35">
        <v>7.46E-2</v>
      </c>
      <c r="U562" s="35">
        <v>0.21099999999999999</v>
      </c>
      <c r="V562" s="35">
        <v>0.156</v>
      </c>
      <c r="W562" s="35">
        <v>0.19</v>
      </c>
      <c r="X562" s="35">
        <v>0.11</v>
      </c>
      <c r="Y562" s="35">
        <v>0.14899999999999999</v>
      </c>
      <c r="Z562" s="35">
        <v>0.14499999999999999</v>
      </c>
      <c r="AA562" s="3"/>
      <c r="AB562" s="35">
        <v>3.4000000000000002E-2</v>
      </c>
      <c r="AC562" s="35">
        <v>3.1399999999999997E-2</v>
      </c>
      <c r="AD562" s="35">
        <v>3.5099999999999999E-2</v>
      </c>
      <c r="AE562" s="35">
        <v>6.8000000000000005E-2</v>
      </c>
      <c r="AF562" s="3"/>
      <c r="AG562" s="3"/>
      <c r="AH562" s="35">
        <v>0.11799999999999999</v>
      </c>
      <c r="AI562" s="35">
        <v>0.14399999999999999</v>
      </c>
      <c r="AJ562" s="35">
        <v>0.11700000000000001</v>
      </c>
      <c r="AK562" s="35">
        <v>0.13600000000000001</v>
      </c>
      <c r="AL562" s="35">
        <v>1.8800000000000001E-2</v>
      </c>
      <c r="AM562" s="3"/>
      <c r="AN562" s="35">
        <v>0.107</v>
      </c>
      <c r="AO562" s="35">
        <v>5.0599999999999999E-2</v>
      </c>
      <c r="AP562" s="45">
        <v>47.3</v>
      </c>
    </row>
    <row r="563" spans="1:45">
      <c r="A563" s="95" t="s">
        <v>772</v>
      </c>
      <c r="B563" s="36">
        <v>0.32700000000000001</v>
      </c>
      <c r="C563" s="36">
        <v>0.14000000000000001</v>
      </c>
      <c r="D563" s="36">
        <v>7.0199999999999999E-2</v>
      </c>
      <c r="E563" s="36">
        <v>4.0300000000000002E-2</v>
      </c>
      <c r="F563" s="36">
        <v>0.11899999999999999</v>
      </c>
      <c r="G563" s="36">
        <v>0.104</v>
      </c>
      <c r="H563" s="36">
        <v>0.32</v>
      </c>
      <c r="I563" s="36">
        <v>0.40200000000000002</v>
      </c>
      <c r="J563" s="36">
        <v>0.46600000000000003</v>
      </c>
      <c r="K563" s="36">
        <v>0.22800000000000001</v>
      </c>
      <c r="L563" s="36">
        <v>0.29399999999999998</v>
      </c>
      <c r="M563" s="36">
        <v>0.309</v>
      </c>
      <c r="N563" s="36">
        <v>9.5699999999999993E-2</v>
      </c>
      <c r="O563" s="36">
        <v>0.157</v>
      </c>
      <c r="P563" s="36">
        <v>0.32100000000000001</v>
      </c>
      <c r="Q563" s="36">
        <v>0.11799999999999999</v>
      </c>
      <c r="R563" s="36">
        <v>7.4099999999999999E-2</v>
      </c>
      <c r="S563" s="36">
        <v>0.316</v>
      </c>
      <c r="T563" s="36">
        <v>0.35399999999999998</v>
      </c>
      <c r="U563" s="36">
        <v>0.504</v>
      </c>
      <c r="V563" s="36">
        <v>0.4</v>
      </c>
      <c r="W563" s="36">
        <v>0.61499999999999999</v>
      </c>
      <c r="X563" s="36">
        <v>0.32100000000000001</v>
      </c>
      <c r="Y563" s="36">
        <v>0.40799999999999997</v>
      </c>
      <c r="Z563" s="36">
        <v>0.44500000000000001</v>
      </c>
      <c r="AA563" s="5"/>
      <c r="AB563" s="36">
        <v>0.104</v>
      </c>
      <c r="AC563" s="36">
        <v>6.8199999999999997E-2</v>
      </c>
      <c r="AD563" s="36">
        <v>0.108</v>
      </c>
      <c r="AE563" s="36">
        <v>0.14000000000000001</v>
      </c>
      <c r="AF563" s="5"/>
      <c r="AG563" s="5"/>
      <c r="AH563" s="36">
        <v>0.32</v>
      </c>
      <c r="AI563" s="36">
        <v>0.371</v>
      </c>
      <c r="AJ563" s="36">
        <v>0.28199999999999997</v>
      </c>
      <c r="AK563" s="36">
        <v>0.26</v>
      </c>
      <c r="AL563" s="36">
        <v>6.3700000000000007E-2</v>
      </c>
      <c r="AM563" s="5"/>
      <c r="AN563" s="36">
        <v>0.25900000000000001</v>
      </c>
      <c r="AO563" s="36">
        <v>0.11700000000000001</v>
      </c>
      <c r="AP563" s="46">
        <v>45.2</v>
      </c>
    </row>
    <row r="564" spans="1:45">
      <c r="A564" s="95" t="s">
        <v>773</v>
      </c>
      <c r="B564" s="35">
        <v>0.82</v>
      </c>
      <c r="C564" s="35">
        <v>0.3</v>
      </c>
      <c r="D564" s="35">
        <v>0.17499999999999999</v>
      </c>
      <c r="E564" s="35">
        <v>0.113</v>
      </c>
      <c r="F564" s="35">
        <v>0.28599999999999998</v>
      </c>
      <c r="G564" s="35">
        <v>0.247</v>
      </c>
      <c r="H564" s="35">
        <v>0.748</v>
      </c>
      <c r="I564" s="35">
        <v>0.98299999999999998</v>
      </c>
      <c r="J564" s="35">
        <v>1.19</v>
      </c>
      <c r="K564" s="35">
        <v>0.52300000000000002</v>
      </c>
      <c r="L564" s="35">
        <v>0.68300000000000005</v>
      </c>
      <c r="M564" s="35">
        <v>0.69199999999999995</v>
      </c>
      <c r="N564" s="35">
        <v>0.214</v>
      </c>
      <c r="O564" s="35">
        <v>0.35699999999999998</v>
      </c>
      <c r="P564" s="35">
        <v>0.86</v>
      </c>
      <c r="Q564" s="35">
        <v>0.32700000000000001</v>
      </c>
      <c r="R564" s="35">
        <v>0.129</v>
      </c>
      <c r="S564" s="35">
        <v>0.872</v>
      </c>
      <c r="T564" s="35">
        <v>0.69799999999999995</v>
      </c>
      <c r="U564" s="35">
        <v>1.28</v>
      </c>
      <c r="V564" s="35">
        <v>1.0900000000000001</v>
      </c>
      <c r="W564" s="35">
        <v>1.81</v>
      </c>
      <c r="X564" s="35">
        <v>0.85199999999999998</v>
      </c>
      <c r="Y564" s="35">
        <v>1.18</v>
      </c>
      <c r="Z564" s="35">
        <v>1.17</v>
      </c>
      <c r="AA564" s="3"/>
      <c r="AB564" s="35">
        <v>0.22800000000000001</v>
      </c>
      <c r="AC564" s="35">
        <v>0.16500000000000001</v>
      </c>
      <c r="AD564" s="35">
        <v>0.20799999999999999</v>
      </c>
      <c r="AE564" s="35">
        <v>0.30499999999999999</v>
      </c>
      <c r="AF564" s="3"/>
      <c r="AG564" s="3"/>
      <c r="AH564" s="35">
        <v>0.84599999999999997</v>
      </c>
      <c r="AI564" s="35">
        <v>0.88800000000000001</v>
      </c>
      <c r="AJ564" s="35">
        <v>0.66300000000000003</v>
      </c>
      <c r="AK564" s="35">
        <v>0.64800000000000002</v>
      </c>
      <c r="AL564" s="35">
        <v>0.13400000000000001</v>
      </c>
      <c r="AM564" s="3"/>
      <c r="AN564" s="35">
        <v>0.63600000000000001</v>
      </c>
      <c r="AO564" s="35">
        <v>0.3</v>
      </c>
      <c r="AP564" s="45">
        <v>47.2</v>
      </c>
    </row>
    <row r="565" spans="1:45">
      <c r="A565" s="95" t="s">
        <v>774</v>
      </c>
      <c r="B565" s="36">
        <v>2.1100000000000001E-2</v>
      </c>
      <c r="C565" s="36">
        <v>2.76E-2</v>
      </c>
      <c r="D565" s="36">
        <v>2.2499999999999999E-2</v>
      </c>
      <c r="E565" s="36">
        <v>2.97E-3</v>
      </c>
      <c r="F565" s="36">
        <v>1.9E-2</v>
      </c>
      <c r="G565" s="36">
        <v>3.15E-3</v>
      </c>
      <c r="H565" s="36">
        <v>7.2599999999999998E-2</v>
      </c>
      <c r="I565" s="36">
        <v>8.7900000000000006E-2</v>
      </c>
      <c r="J565" s="36">
        <v>6.8699999999999997E-2</v>
      </c>
      <c r="K565" s="36">
        <v>2.7900000000000001E-2</v>
      </c>
      <c r="L565" s="36">
        <v>7.8E-2</v>
      </c>
      <c r="M565" s="36">
        <v>2.1999999999999999E-2</v>
      </c>
      <c r="N565" s="36">
        <v>7.9699999999999997E-3</v>
      </c>
      <c r="O565" s="36">
        <v>1.3100000000000001E-2</v>
      </c>
      <c r="P565" s="36">
        <v>2.2800000000000001E-2</v>
      </c>
      <c r="Q565" s="36">
        <v>6.0099999999999997E-3</v>
      </c>
      <c r="R565" s="36">
        <v>4.5799999999999999E-3</v>
      </c>
      <c r="S565" s="36">
        <v>8.5999999999999993E-2</v>
      </c>
      <c r="T565" s="36">
        <v>3.9600000000000003E-2</v>
      </c>
      <c r="U565" s="36">
        <v>0.13500000000000001</v>
      </c>
      <c r="V565" s="36">
        <v>0.10299999999999999</v>
      </c>
      <c r="W565" s="36">
        <v>0.123</v>
      </c>
      <c r="X565" s="36">
        <v>6.88E-2</v>
      </c>
      <c r="Y565" s="36">
        <v>8.5000000000000006E-2</v>
      </c>
      <c r="Z565" s="36">
        <v>9.35E-2</v>
      </c>
      <c r="AA565" s="5"/>
      <c r="AB565" s="36">
        <v>9.8899999999999995E-3</v>
      </c>
      <c r="AC565" s="36">
        <v>3.7299999999999998E-3</v>
      </c>
      <c r="AD565" s="36">
        <v>4.9899999999999996E-3</v>
      </c>
      <c r="AE565" s="36">
        <v>6.2199999999999998E-2</v>
      </c>
      <c r="AF565" s="5"/>
      <c r="AG565" s="5"/>
      <c r="AH565" s="36">
        <v>7.5600000000000001E-2</v>
      </c>
      <c r="AI565" s="36">
        <v>2.4799999999999999E-2</v>
      </c>
      <c r="AJ565" s="36">
        <v>5.8799999999999998E-2</v>
      </c>
      <c r="AK565" s="36">
        <v>3.9300000000000002E-2</v>
      </c>
      <c r="AL565" s="36">
        <v>2.9199999999999999E-3</v>
      </c>
      <c r="AM565" s="5"/>
      <c r="AN565" s="36">
        <v>4.0300000000000002E-2</v>
      </c>
      <c r="AO565" s="36">
        <v>2.8400000000000002E-2</v>
      </c>
      <c r="AP565" s="46">
        <v>70.5</v>
      </c>
    </row>
    <row r="566" spans="1:45">
      <c r="A566" s="95" t="s">
        <v>775</v>
      </c>
      <c r="B566" s="35">
        <v>1.63</v>
      </c>
      <c r="C566" s="35">
        <v>0.60199999999999998</v>
      </c>
      <c r="D566" s="35">
        <v>0.39200000000000002</v>
      </c>
      <c r="E566" s="35">
        <v>0.2</v>
      </c>
      <c r="F566" s="35">
        <v>0.48299999999999998</v>
      </c>
      <c r="G566" s="35">
        <v>0.224</v>
      </c>
      <c r="H566" s="35">
        <v>1.56</v>
      </c>
      <c r="I566" s="35">
        <v>1.92</v>
      </c>
      <c r="J566" s="35">
        <v>1.68</v>
      </c>
      <c r="K566" s="35">
        <v>1.1499999999999999</v>
      </c>
      <c r="L566" s="35">
        <v>1.82</v>
      </c>
      <c r="M566" s="35">
        <v>1.55</v>
      </c>
      <c r="N566" s="35">
        <v>0.48399999999999999</v>
      </c>
      <c r="O566" s="35">
        <v>0.80700000000000005</v>
      </c>
      <c r="P566" s="35">
        <v>1.63</v>
      </c>
      <c r="Q566" s="35">
        <v>0.374</v>
      </c>
      <c r="R566" s="35">
        <v>0.29199999999999998</v>
      </c>
      <c r="S566" s="35">
        <v>1.73</v>
      </c>
      <c r="T566" s="35">
        <v>0.78100000000000003</v>
      </c>
      <c r="U566" s="35">
        <v>2.48</v>
      </c>
      <c r="V566" s="35">
        <v>1.76</v>
      </c>
      <c r="W566" s="35">
        <v>2.36</v>
      </c>
      <c r="X566" s="35">
        <v>1.25</v>
      </c>
      <c r="Y566" s="35">
        <v>1.4</v>
      </c>
      <c r="Z566" s="35">
        <v>1.67</v>
      </c>
      <c r="AA566" s="3"/>
      <c r="AB566" s="35">
        <v>0.33200000000000002</v>
      </c>
      <c r="AC566" s="35">
        <v>0.27800000000000002</v>
      </c>
      <c r="AD566" s="35">
        <v>0.312</v>
      </c>
      <c r="AE566" s="35">
        <v>0.82799999999999996</v>
      </c>
      <c r="AF566" s="3"/>
      <c r="AG566" s="3"/>
      <c r="AH566" s="35">
        <v>1.26</v>
      </c>
      <c r="AI566" s="35">
        <v>1.95</v>
      </c>
      <c r="AJ566" s="35">
        <v>1.31</v>
      </c>
      <c r="AK566" s="35">
        <v>1.37</v>
      </c>
      <c r="AL566" s="35">
        <v>0.26300000000000001</v>
      </c>
      <c r="AM566" s="3"/>
      <c r="AN566" s="35">
        <v>1.23</v>
      </c>
      <c r="AO566" s="35">
        <v>0.60899999999999999</v>
      </c>
      <c r="AP566" s="45">
        <v>49.4</v>
      </c>
      <c r="AR566" s="240"/>
      <c r="AS566" s="240"/>
    </row>
    <row r="567" spans="1:45">
      <c r="A567" s="95" t="s">
        <v>776</v>
      </c>
      <c r="B567" s="36">
        <v>0.26400000000000001</v>
      </c>
      <c r="C567" s="36">
        <v>9.7100000000000006E-2</v>
      </c>
      <c r="D567" s="36">
        <v>6.3100000000000003E-2</v>
      </c>
      <c r="E567" s="36">
        <v>2.9499999999999998E-2</v>
      </c>
      <c r="F567" s="36">
        <v>7.8899999999999998E-2</v>
      </c>
      <c r="G567" s="36">
        <v>3.9699999999999999E-2</v>
      </c>
      <c r="H567" s="36">
        <v>0.24199999999999999</v>
      </c>
      <c r="I567" s="36">
        <v>0.30199999999999999</v>
      </c>
      <c r="J567" s="36">
        <v>0.26400000000000001</v>
      </c>
      <c r="K567" s="36">
        <v>0.189</v>
      </c>
      <c r="L567" s="36">
        <v>0.28799999999999998</v>
      </c>
      <c r="M567" s="36">
        <v>0.247</v>
      </c>
      <c r="N567" s="36">
        <v>7.4899999999999994E-2</v>
      </c>
      <c r="O567" s="36">
        <v>0.125</v>
      </c>
      <c r="P567" s="36">
        <v>0.25600000000000001</v>
      </c>
      <c r="Q567" s="36">
        <v>6.4000000000000001E-2</v>
      </c>
      <c r="R567" s="36">
        <v>5.2200000000000003E-2</v>
      </c>
      <c r="S567" s="36">
        <v>0.26800000000000002</v>
      </c>
      <c r="T567" s="36">
        <v>0.14000000000000001</v>
      </c>
      <c r="U567" s="36">
        <v>0.47299999999999998</v>
      </c>
      <c r="V567" s="36">
        <v>0.31</v>
      </c>
      <c r="W567" s="36">
        <v>0.40400000000000003</v>
      </c>
      <c r="X567" s="36">
        <v>0.185</v>
      </c>
      <c r="Y567" s="36">
        <v>0.24199999999999999</v>
      </c>
      <c r="Z567" s="36">
        <v>0.253</v>
      </c>
      <c r="AA567" s="5"/>
      <c r="AB567" s="36">
        <v>5.3400000000000003E-2</v>
      </c>
      <c r="AC567" s="36">
        <v>4.48E-2</v>
      </c>
      <c r="AD567" s="36">
        <v>4.9399999999999999E-2</v>
      </c>
      <c r="AE567" s="36">
        <v>0.13500000000000001</v>
      </c>
      <c r="AF567" s="5"/>
      <c r="AG567" s="5"/>
      <c r="AH567" s="36">
        <v>0.21</v>
      </c>
      <c r="AI567" s="36">
        <v>0.314</v>
      </c>
      <c r="AJ567" s="36">
        <v>0.20699999999999999</v>
      </c>
      <c r="AK567" s="36">
        <v>0.214</v>
      </c>
      <c r="AL567" s="36">
        <v>4.3299999999999998E-2</v>
      </c>
      <c r="AM567" s="5"/>
      <c r="AN567" s="36">
        <v>0.19800000000000001</v>
      </c>
      <c r="AO567" s="36">
        <v>9.74E-2</v>
      </c>
      <c r="AP567" s="46">
        <v>49.2</v>
      </c>
    </row>
    <row r="568" spans="1:45">
      <c r="A568" s="95" t="s">
        <v>777</v>
      </c>
      <c r="B568" s="35">
        <v>0.55600000000000005</v>
      </c>
      <c r="C568" s="35">
        <v>0.29199999999999998</v>
      </c>
      <c r="D568" s="35">
        <v>0.158</v>
      </c>
      <c r="E568" s="35">
        <v>9.6199999999999994E-2</v>
      </c>
      <c r="F568" s="35">
        <v>0.38</v>
      </c>
      <c r="G568" s="35">
        <v>8.9200000000000002E-2</v>
      </c>
      <c r="H568" s="35">
        <v>0.68</v>
      </c>
      <c r="I568" s="35">
        <v>0.81399999999999995</v>
      </c>
      <c r="J568" s="35">
        <v>0.64700000000000002</v>
      </c>
      <c r="K568" s="35">
        <v>0.59899999999999998</v>
      </c>
      <c r="L568" s="35">
        <v>0.74399999999999999</v>
      </c>
      <c r="M568" s="35">
        <v>0.61</v>
      </c>
      <c r="N568" s="35">
        <v>0.24</v>
      </c>
      <c r="O568" s="35">
        <v>0.317</v>
      </c>
      <c r="P568" s="35">
        <v>0.53700000000000003</v>
      </c>
      <c r="Q568" s="35">
        <v>0.16500000000000001</v>
      </c>
      <c r="R568" s="35">
        <v>0.13100000000000001</v>
      </c>
      <c r="S568" s="35">
        <v>0.73599999999999999</v>
      </c>
      <c r="T568" s="35">
        <v>0.48299999999999998</v>
      </c>
      <c r="U568" s="35">
        <v>1.2</v>
      </c>
      <c r="V568" s="35">
        <v>1.1000000000000001</v>
      </c>
      <c r="W568" s="35">
        <v>0.82199999999999995</v>
      </c>
      <c r="X568" s="35">
        <v>0.495</v>
      </c>
      <c r="Y568" s="35">
        <v>0.59599999999999997</v>
      </c>
      <c r="Z568" s="35">
        <v>0.67600000000000005</v>
      </c>
      <c r="AA568" s="3"/>
      <c r="AB568" s="35">
        <v>0.14499999999999999</v>
      </c>
      <c r="AC568" s="35">
        <v>0.14899999999999999</v>
      </c>
      <c r="AD568" s="35">
        <v>0.14699999999999999</v>
      </c>
      <c r="AE568" s="35">
        <v>0.83099999999999996</v>
      </c>
      <c r="AF568" s="3"/>
      <c r="AG568" s="3"/>
      <c r="AH568" s="35">
        <v>0.67700000000000005</v>
      </c>
      <c r="AI568" s="35">
        <v>0.89200000000000002</v>
      </c>
      <c r="AJ568" s="35">
        <v>0.58899999999999997</v>
      </c>
      <c r="AK568" s="35">
        <v>0.85199999999999998</v>
      </c>
      <c r="AL568" s="35">
        <v>0.126</v>
      </c>
      <c r="AM568" s="3"/>
      <c r="AN568" s="35">
        <v>0.627</v>
      </c>
      <c r="AO568" s="35">
        <v>0.307</v>
      </c>
      <c r="AP568" s="45">
        <v>48.9</v>
      </c>
    </row>
    <row r="569" spans="1:45">
      <c r="A569" s="95" t="s">
        <v>778</v>
      </c>
      <c r="B569" s="36">
        <v>1.2800000000000001E-2</v>
      </c>
      <c r="C569" s="36">
        <v>1.04E-2</v>
      </c>
      <c r="D569" s="5"/>
      <c r="E569" s="36">
        <v>7.3400000000000002E-3</v>
      </c>
      <c r="F569" s="36">
        <v>3.8800000000000001E-2</v>
      </c>
      <c r="G569" s="36">
        <v>4.2900000000000004E-3</v>
      </c>
      <c r="H569" s="36">
        <v>2.5000000000000001E-2</v>
      </c>
      <c r="I569" s="36">
        <v>2.23E-2</v>
      </c>
      <c r="J569" s="36">
        <v>2.87E-2</v>
      </c>
      <c r="K569" s="36">
        <v>1.83E-2</v>
      </c>
      <c r="L569" s="36">
        <v>2.7199999999999998E-2</v>
      </c>
      <c r="M569" s="36">
        <v>4.7499999999999999E-3</v>
      </c>
      <c r="N569" s="36">
        <v>1.82E-3</v>
      </c>
      <c r="O569" s="36">
        <v>3.15E-3</v>
      </c>
      <c r="P569" s="36">
        <v>8.5299999999999994E-3</v>
      </c>
      <c r="Q569" s="36">
        <v>6.8999999999999999E-3</v>
      </c>
      <c r="R569" s="36">
        <v>2.0400000000000001E-3</v>
      </c>
      <c r="S569" s="36">
        <v>3.4299999999999997E-2</v>
      </c>
      <c r="T569" s="36">
        <v>4.1200000000000001E-2</v>
      </c>
      <c r="U569" s="36">
        <v>5.3100000000000001E-2</v>
      </c>
      <c r="V569" s="36">
        <v>3.4200000000000001E-2</v>
      </c>
      <c r="W569" s="36">
        <v>2.41E-2</v>
      </c>
      <c r="X569" s="36">
        <v>1.9900000000000001E-2</v>
      </c>
      <c r="Y569" s="36">
        <v>2.98E-2</v>
      </c>
      <c r="Z569" s="36">
        <v>2.3300000000000001E-2</v>
      </c>
      <c r="AA569" s="5"/>
      <c r="AB569" s="36">
        <v>9.1500000000000001E-3</v>
      </c>
      <c r="AC569" s="36">
        <v>2.0400000000000001E-3</v>
      </c>
      <c r="AD569" s="36">
        <v>3.1800000000000001E-3</v>
      </c>
      <c r="AE569" s="36">
        <v>3.73E-2</v>
      </c>
      <c r="AF569" s="5"/>
      <c r="AG569" s="5"/>
      <c r="AH569" s="36">
        <v>2.2100000000000002E-2</v>
      </c>
      <c r="AI569" s="36">
        <v>6.2399999999999999E-3</v>
      </c>
      <c r="AJ569" s="36">
        <v>2.6200000000000001E-2</v>
      </c>
      <c r="AK569" s="36">
        <v>1.95E-2</v>
      </c>
      <c r="AL569" s="36">
        <v>2.0400000000000001E-3</v>
      </c>
      <c r="AM569" s="5"/>
      <c r="AN569" s="36">
        <v>1.52E-2</v>
      </c>
      <c r="AO569" s="36">
        <v>1.0500000000000001E-2</v>
      </c>
      <c r="AP569" s="46">
        <v>69</v>
      </c>
    </row>
    <row r="570" spans="1:45">
      <c r="A570" s="95" t="s">
        <v>779</v>
      </c>
      <c r="B570" s="35">
        <v>0.24399999999999999</v>
      </c>
      <c r="C570" s="35">
        <v>0.753</v>
      </c>
      <c r="D570" s="35">
        <v>1.15E-2</v>
      </c>
      <c r="E570" s="35">
        <v>1.9900000000000001E-2</v>
      </c>
      <c r="F570" s="35">
        <v>1.32</v>
      </c>
      <c r="G570" s="35">
        <v>6.2799999999999995E-2</v>
      </c>
      <c r="H570" s="35">
        <v>2.13</v>
      </c>
      <c r="I570" s="35">
        <v>2.15</v>
      </c>
      <c r="J570" s="35">
        <v>2.46</v>
      </c>
      <c r="K570" s="35">
        <v>0.874</v>
      </c>
      <c r="L570" s="35">
        <v>1.6</v>
      </c>
      <c r="M570" s="35">
        <v>9.6199999999999994E-2</v>
      </c>
      <c r="N570" s="35">
        <v>3.27E-2</v>
      </c>
      <c r="O570" s="35">
        <v>5.0900000000000001E-2</v>
      </c>
      <c r="P570" s="35">
        <v>0.30399999999999999</v>
      </c>
      <c r="Q570" s="35">
        <v>8.2000000000000003E-2</v>
      </c>
      <c r="R570" s="35">
        <v>3.7199999999999997E-2</v>
      </c>
      <c r="S570" s="35">
        <v>2.5499999999999998</v>
      </c>
      <c r="T570" s="35">
        <v>2.62</v>
      </c>
      <c r="U570" s="35">
        <v>2.14</v>
      </c>
      <c r="V570" s="35">
        <v>1.88</v>
      </c>
      <c r="W570" s="35">
        <v>1.66</v>
      </c>
      <c r="X570" s="35">
        <v>1.44</v>
      </c>
      <c r="Y570" s="35">
        <v>2.27</v>
      </c>
      <c r="Z570" s="35">
        <v>1.92</v>
      </c>
      <c r="AA570" s="3"/>
      <c r="AB570" s="35">
        <v>0.30599999999999999</v>
      </c>
      <c r="AC570" s="35">
        <v>0.185</v>
      </c>
      <c r="AD570" s="35">
        <v>0.309</v>
      </c>
      <c r="AE570" s="35">
        <v>2.5</v>
      </c>
      <c r="AF570" s="3"/>
      <c r="AG570" s="3"/>
      <c r="AH570" s="35">
        <v>1.64</v>
      </c>
      <c r="AI570" s="35">
        <v>0.21199999999999999</v>
      </c>
      <c r="AJ570" s="35">
        <v>1.91</v>
      </c>
      <c r="AK570" s="35">
        <v>0.9</v>
      </c>
      <c r="AL570" s="35">
        <v>5.0200000000000002E-2</v>
      </c>
      <c r="AM570" s="3"/>
      <c r="AN570" s="35">
        <v>0.94199999999999995</v>
      </c>
      <c r="AO570" s="35">
        <v>0.83</v>
      </c>
      <c r="AP570" s="45">
        <v>88</v>
      </c>
    </row>
    <row r="571" spans="1:45">
      <c r="A571" s="95" t="s">
        <v>780</v>
      </c>
      <c r="B571" s="36">
        <v>5.4199999999999998E-2</v>
      </c>
      <c r="C571" s="36">
        <v>2.4899999999999999E-2</v>
      </c>
      <c r="D571" s="36">
        <v>5.3299999999999997E-3</v>
      </c>
      <c r="E571" s="36">
        <v>1.3299999999999999E-2</v>
      </c>
      <c r="F571" s="36">
        <v>0.11700000000000001</v>
      </c>
      <c r="G571" s="36">
        <v>1.52E-2</v>
      </c>
      <c r="H571" s="36">
        <v>0.105</v>
      </c>
      <c r="I571" s="36">
        <v>9.6100000000000005E-2</v>
      </c>
      <c r="J571" s="36">
        <v>0.13900000000000001</v>
      </c>
      <c r="K571" s="36">
        <v>5.5399999999999998E-2</v>
      </c>
      <c r="L571" s="36">
        <v>9.2200000000000004E-2</v>
      </c>
      <c r="M571" s="36">
        <v>4.1099999999999998E-2</v>
      </c>
      <c r="N571" s="36">
        <v>9.7800000000000005E-3</v>
      </c>
      <c r="O571" s="36">
        <v>1.7100000000000001E-2</v>
      </c>
      <c r="P571" s="36">
        <v>7.6300000000000007E-2</v>
      </c>
      <c r="Q571" s="36">
        <v>2.47E-2</v>
      </c>
      <c r="R571" s="36">
        <v>8.2199999999999999E-3</v>
      </c>
      <c r="S571" s="36">
        <v>0.17499999999999999</v>
      </c>
      <c r="T571" s="36">
        <v>8.2600000000000007E-2</v>
      </c>
      <c r="U571" s="36">
        <v>0.191</v>
      </c>
      <c r="V571" s="36">
        <v>0.14199999999999999</v>
      </c>
      <c r="W571" s="36">
        <v>0.14299999999999999</v>
      </c>
      <c r="X571" s="36">
        <v>8.7999999999999995E-2</v>
      </c>
      <c r="Y571" s="36">
        <v>0.156</v>
      </c>
      <c r="Z571" s="36">
        <v>0.124</v>
      </c>
      <c r="AA571" s="5"/>
      <c r="AB571" s="36">
        <v>3.7100000000000001E-2</v>
      </c>
      <c r="AC571" s="36">
        <v>1.15E-2</v>
      </c>
      <c r="AD571" s="36">
        <v>1.6199999999999999E-2</v>
      </c>
      <c r="AE571" s="36">
        <v>8.5800000000000001E-2</v>
      </c>
      <c r="AF571" s="5"/>
      <c r="AG571" s="5"/>
      <c r="AH571" s="36">
        <v>0.115</v>
      </c>
      <c r="AI571" s="36">
        <v>6.6400000000000001E-2</v>
      </c>
      <c r="AJ571" s="36">
        <v>8.3400000000000002E-2</v>
      </c>
      <c r="AK571" s="36">
        <v>7.2700000000000001E-2</v>
      </c>
      <c r="AL571" s="36">
        <v>8.3899999999999999E-3</v>
      </c>
      <c r="AM571" s="5"/>
      <c r="AN571" s="36">
        <v>6.9199999999999998E-2</v>
      </c>
      <c r="AO571" s="36">
        <v>3.8800000000000001E-2</v>
      </c>
      <c r="AP571" s="46">
        <v>56.1</v>
      </c>
    </row>
    <row r="572" spans="1:45">
      <c r="A572" s="95" t="s">
        <v>781</v>
      </c>
      <c r="B572" s="3"/>
      <c r="C572" s="35">
        <v>5.2399999999999999E-3</v>
      </c>
      <c r="D572" s="3"/>
      <c r="E572" s="3"/>
      <c r="F572" s="35">
        <v>2.3199999999999998E-2</v>
      </c>
      <c r="G572" s="3"/>
      <c r="H572" s="35">
        <v>1.0200000000000001E-2</v>
      </c>
      <c r="I572" s="35">
        <v>6.6600000000000001E-3</v>
      </c>
      <c r="J572" s="35">
        <v>9.2999999999999992E-3</v>
      </c>
      <c r="K572" s="35">
        <v>1.17E-2</v>
      </c>
      <c r="L572" s="35">
        <v>6.94E-3</v>
      </c>
      <c r="M572" s="3"/>
      <c r="N572" s="3"/>
      <c r="O572" s="3"/>
      <c r="P572" s="35">
        <v>6.3E-3</v>
      </c>
      <c r="Q572" s="3"/>
      <c r="R572" s="3"/>
      <c r="S572" s="35">
        <v>2.0299999999999999E-2</v>
      </c>
      <c r="T572" s="35">
        <v>1.09E-2</v>
      </c>
      <c r="U572" s="35">
        <v>2.2100000000000002E-2</v>
      </c>
      <c r="V572" s="35">
        <v>2.1000000000000001E-2</v>
      </c>
      <c r="W572" s="35">
        <v>1.2200000000000001E-2</v>
      </c>
      <c r="X572" s="35">
        <v>1.2200000000000001E-2</v>
      </c>
      <c r="Y572" s="35">
        <v>1.5299999999999999E-2</v>
      </c>
      <c r="Z572" s="35">
        <v>1.44E-2</v>
      </c>
      <c r="AA572" s="3"/>
      <c r="AB572" s="3"/>
      <c r="AC572" s="3"/>
      <c r="AD572" s="3"/>
      <c r="AE572" s="3"/>
      <c r="AF572" s="3"/>
      <c r="AG572" s="3"/>
      <c r="AH572" s="35">
        <v>1.26E-2</v>
      </c>
      <c r="AI572" s="3"/>
      <c r="AJ572" s="35">
        <v>7.1500000000000001E-3</v>
      </c>
      <c r="AK572" s="35">
        <v>1.83E-2</v>
      </c>
      <c r="AL572" s="3"/>
      <c r="AM572" s="3"/>
      <c r="AN572" s="35">
        <v>1.2699999999999999E-2</v>
      </c>
      <c r="AO572" s="35">
        <v>5.5799999999999999E-3</v>
      </c>
      <c r="AP572" s="45">
        <v>44</v>
      </c>
    </row>
    <row r="573" spans="1:45">
      <c r="A573" s="95" t="s">
        <v>782</v>
      </c>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36">
        <v>0</v>
      </c>
      <c r="AP573" s="16"/>
    </row>
    <row r="574" spans="1:45">
      <c r="A574" s="95" t="s">
        <v>783</v>
      </c>
      <c r="B574" s="35">
        <v>0.14599999999999999</v>
      </c>
      <c r="C574" s="35">
        <v>0.183</v>
      </c>
      <c r="D574" s="35">
        <v>0.217</v>
      </c>
      <c r="E574" s="35">
        <v>1.34E-2</v>
      </c>
      <c r="F574" s="35">
        <v>0.56899999999999995</v>
      </c>
      <c r="G574" s="35">
        <v>4.4900000000000002E-2</v>
      </c>
      <c r="H574" s="35">
        <v>0.61399999999999999</v>
      </c>
      <c r="I574" s="35">
        <v>0.628</v>
      </c>
      <c r="J574" s="35">
        <v>0.81799999999999995</v>
      </c>
      <c r="K574" s="35">
        <v>0.32600000000000001</v>
      </c>
      <c r="L574" s="35">
        <v>0.44</v>
      </c>
      <c r="M574" s="35">
        <v>9.8299999999999998E-2</v>
      </c>
      <c r="N574" s="35">
        <v>1.6799999999999999E-2</v>
      </c>
      <c r="O574" s="35">
        <v>4.36E-2</v>
      </c>
      <c r="P574" s="35">
        <v>0.187</v>
      </c>
      <c r="Q574" s="35">
        <v>7.1999999999999995E-2</v>
      </c>
      <c r="R574" s="35">
        <v>2.0799999999999999E-2</v>
      </c>
      <c r="S574" s="35">
        <v>0.64100000000000001</v>
      </c>
      <c r="T574" s="35">
        <v>0.25900000000000001</v>
      </c>
      <c r="U574" s="35">
        <v>0.73799999999999999</v>
      </c>
      <c r="V574" s="35">
        <v>0.54600000000000004</v>
      </c>
      <c r="W574" s="35">
        <v>0.57599999999999996</v>
      </c>
      <c r="X574" s="35">
        <v>0.42399999999999999</v>
      </c>
      <c r="Y574" s="35">
        <v>0.73799999999999999</v>
      </c>
      <c r="Z574" s="35">
        <v>0.57099999999999995</v>
      </c>
      <c r="AA574" s="3"/>
      <c r="AB574" s="35">
        <v>0.154</v>
      </c>
      <c r="AC574" s="35">
        <v>8.5000000000000006E-2</v>
      </c>
      <c r="AD574" s="35">
        <v>0.13200000000000001</v>
      </c>
      <c r="AE574" s="35">
        <v>0.57999999999999996</v>
      </c>
      <c r="AF574" s="3"/>
      <c r="AG574" s="3"/>
      <c r="AH574" s="35">
        <v>0.56999999999999995</v>
      </c>
      <c r="AI574" s="35">
        <v>0.14199999999999999</v>
      </c>
      <c r="AJ574" s="35">
        <v>0.54200000000000004</v>
      </c>
      <c r="AK574" s="35">
        <v>0.32400000000000001</v>
      </c>
      <c r="AL574" s="35">
        <v>3.78E-2</v>
      </c>
      <c r="AM574" s="3"/>
      <c r="AN574" s="35">
        <v>0.32300000000000001</v>
      </c>
      <c r="AO574" s="35">
        <v>0.23599999999999999</v>
      </c>
      <c r="AP574" s="45">
        <v>73</v>
      </c>
    </row>
    <row r="575" spans="1:45">
      <c r="A575" s="95" t="s">
        <v>784</v>
      </c>
      <c r="B575" s="36">
        <v>2.1299999999999999E-2</v>
      </c>
      <c r="C575" s="36">
        <v>8.9499999999999996E-2</v>
      </c>
      <c r="D575" s="36">
        <v>2.9700000000000001E-2</v>
      </c>
      <c r="E575" s="5"/>
      <c r="F575" s="5"/>
      <c r="G575" s="36">
        <v>0.26200000000000001</v>
      </c>
      <c r="H575" s="36">
        <v>0.17499999999999999</v>
      </c>
      <c r="I575" s="36">
        <v>0.154</v>
      </c>
      <c r="J575" s="36">
        <v>0.20699999999999999</v>
      </c>
      <c r="K575" s="5"/>
      <c r="L575" s="36">
        <v>0.17799999999999999</v>
      </c>
      <c r="M575" s="36">
        <v>1.18E-2</v>
      </c>
      <c r="N575" s="36">
        <v>3.8500000000000001E-3</v>
      </c>
      <c r="O575" s="36">
        <v>1.0800000000000001E-2</v>
      </c>
      <c r="P575" s="36">
        <v>1.7600000000000001E-2</v>
      </c>
      <c r="Q575" s="5"/>
      <c r="R575" s="36">
        <v>0.214</v>
      </c>
      <c r="S575" s="36">
        <v>8.72E-2</v>
      </c>
      <c r="T575" s="5"/>
      <c r="U575" s="5"/>
      <c r="V575" s="5"/>
      <c r="W575" s="36">
        <v>0.114</v>
      </c>
      <c r="X575" s="36">
        <v>1.5900000000000001E-2</v>
      </c>
      <c r="Y575" s="36">
        <v>4.99E-2</v>
      </c>
      <c r="Z575" s="36">
        <v>2.18E-2</v>
      </c>
      <c r="AA575" s="5"/>
      <c r="AB575" s="36">
        <v>0.13</v>
      </c>
      <c r="AC575" s="36">
        <v>2.1499999999999998E-2</v>
      </c>
      <c r="AD575" s="36">
        <v>0.25600000000000001</v>
      </c>
      <c r="AE575" s="5"/>
      <c r="AF575" s="5"/>
      <c r="AG575" s="5"/>
      <c r="AH575" s="36">
        <v>7.6200000000000004E-2</v>
      </c>
      <c r="AI575" s="36">
        <v>1.0699999999999999E-2</v>
      </c>
      <c r="AJ575" s="36">
        <v>0.16900000000000001</v>
      </c>
      <c r="AK575" s="5"/>
      <c r="AL575" s="36">
        <v>0.09</v>
      </c>
      <c r="AM575" s="5"/>
      <c r="AN575" s="36">
        <v>8.6599999999999996E-2</v>
      </c>
      <c r="AO575" s="36">
        <v>6.5199999999999994E-2</v>
      </c>
      <c r="AP575" s="46">
        <v>75.3</v>
      </c>
    </row>
    <row r="576" spans="1:45">
      <c r="A576" s="95" t="s">
        <v>785</v>
      </c>
      <c r="B576" s="35">
        <v>0.62</v>
      </c>
      <c r="C576" s="35">
        <v>0.51800000000000002</v>
      </c>
      <c r="D576" s="35">
        <v>0.51200000000000001</v>
      </c>
      <c r="E576" s="35">
        <v>0.68400000000000005</v>
      </c>
      <c r="F576" s="35">
        <v>1.21</v>
      </c>
      <c r="G576" s="35">
        <v>0.36599999999999999</v>
      </c>
      <c r="H576" s="35">
        <v>0.94099999999999995</v>
      </c>
      <c r="I576" s="35">
        <v>0.82399999999999995</v>
      </c>
      <c r="J576" s="35">
        <v>0.92800000000000005</v>
      </c>
      <c r="K576" s="35">
        <v>1.1000000000000001</v>
      </c>
      <c r="L576" s="35">
        <v>0.79100000000000004</v>
      </c>
      <c r="M576" s="35">
        <v>0.61199999999999999</v>
      </c>
      <c r="N576" s="35">
        <v>0.35899999999999999</v>
      </c>
      <c r="O576" s="35">
        <v>0.48399999999999999</v>
      </c>
      <c r="P576" s="35">
        <v>0.60599999999999998</v>
      </c>
      <c r="Q576" s="35">
        <v>1.01</v>
      </c>
      <c r="R576" s="35">
        <v>0.30299999999999999</v>
      </c>
      <c r="S576" s="35">
        <v>0.98499999999999999</v>
      </c>
      <c r="T576" s="35">
        <v>0.67300000000000004</v>
      </c>
      <c r="U576" s="35">
        <v>0.78800000000000003</v>
      </c>
      <c r="V576" s="35">
        <v>0.87</v>
      </c>
      <c r="W576" s="35">
        <v>0.74</v>
      </c>
      <c r="X576" s="35">
        <v>0.55700000000000005</v>
      </c>
      <c r="Y576" s="35">
        <v>0.59799999999999998</v>
      </c>
      <c r="Z576" s="35">
        <v>0.624</v>
      </c>
      <c r="AA576" s="3"/>
      <c r="AB576" s="35">
        <v>0.316</v>
      </c>
      <c r="AC576" s="35">
        <v>0.29599999999999999</v>
      </c>
      <c r="AD576" s="35">
        <v>0.40799999999999997</v>
      </c>
      <c r="AE576" s="35">
        <v>1.37</v>
      </c>
      <c r="AF576" s="3"/>
      <c r="AG576" s="3"/>
      <c r="AH576" s="35">
        <v>0.58499999999999996</v>
      </c>
      <c r="AI576" s="35">
        <v>0.76300000000000001</v>
      </c>
      <c r="AJ576" s="35">
        <v>0.79300000000000004</v>
      </c>
      <c r="AK576" s="35">
        <v>1.25</v>
      </c>
      <c r="AL576" s="35">
        <v>0.20899999999999999</v>
      </c>
      <c r="AM576" s="3"/>
      <c r="AN576" s="35">
        <v>0.72</v>
      </c>
      <c r="AO576" s="35">
        <v>0.377</v>
      </c>
      <c r="AP576" s="45">
        <v>52.4</v>
      </c>
    </row>
    <row r="577" spans="1:42">
      <c r="A577" s="95" t="s">
        <v>786</v>
      </c>
      <c r="B577" s="36">
        <v>0.13700000000000001</v>
      </c>
      <c r="C577" s="36">
        <v>0.126</v>
      </c>
      <c r="D577" s="36">
        <v>0.115</v>
      </c>
      <c r="E577" s="36">
        <v>9.4600000000000004E-2</v>
      </c>
      <c r="F577" s="36">
        <v>0.17199999999999999</v>
      </c>
      <c r="G577" s="36">
        <v>0.108</v>
      </c>
      <c r="H577" s="36">
        <v>0.23300000000000001</v>
      </c>
      <c r="I577" s="36">
        <v>0.193</v>
      </c>
      <c r="J577" s="36">
        <v>0.224</v>
      </c>
      <c r="K577" s="36">
        <v>0.154</v>
      </c>
      <c r="L577" s="36">
        <v>0.16900000000000001</v>
      </c>
      <c r="M577" s="36">
        <v>0.158</v>
      </c>
      <c r="N577" s="36">
        <v>9.0499999999999997E-2</v>
      </c>
      <c r="O577" s="36">
        <v>0.122</v>
      </c>
      <c r="P577" s="36">
        <v>0.16300000000000001</v>
      </c>
      <c r="Q577" s="36">
        <v>0.14099999999999999</v>
      </c>
      <c r="R577" s="36">
        <v>8.8700000000000001E-2</v>
      </c>
      <c r="S577" s="36">
        <v>0.20599999999999999</v>
      </c>
      <c r="T577" s="36">
        <v>0.14099999999999999</v>
      </c>
      <c r="U577" s="36">
        <v>0.157</v>
      </c>
      <c r="V577" s="36">
        <v>0.17100000000000001</v>
      </c>
      <c r="W577" s="36">
        <v>0.158</v>
      </c>
      <c r="X577" s="36">
        <v>0.14499999999999999</v>
      </c>
      <c r="Y577" s="36">
        <v>0.14599999999999999</v>
      </c>
      <c r="Z577" s="36">
        <v>0.14599999999999999</v>
      </c>
      <c r="AA577" s="5"/>
      <c r="AB577" s="36">
        <v>9.0700000000000003E-2</v>
      </c>
      <c r="AC577" s="36">
        <v>8.6599999999999996E-2</v>
      </c>
      <c r="AD577" s="36">
        <v>0.11700000000000001</v>
      </c>
      <c r="AE577" s="36">
        <v>0.187</v>
      </c>
      <c r="AF577" s="5"/>
      <c r="AG577" s="5"/>
      <c r="AH577" s="36">
        <v>0.14099999999999999</v>
      </c>
      <c r="AI577" s="36">
        <v>0.17199999999999999</v>
      </c>
      <c r="AJ577" s="36">
        <v>0.19400000000000001</v>
      </c>
      <c r="AK577" s="36">
        <v>0.17</v>
      </c>
      <c r="AL577" s="36">
        <v>5.9299999999999999E-2</v>
      </c>
      <c r="AM577" s="5"/>
      <c r="AN577" s="36">
        <v>0.14699999999999999</v>
      </c>
      <c r="AO577" s="36">
        <v>5.2699999999999997E-2</v>
      </c>
      <c r="AP577" s="46">
        <v>35.799999999999997</v>
      </c>
    </row>
    <row r="578" spans="1:42">
      <c r="A578" s="95" t="s">
        <v>787</v>
      </c>
      <c r="B578" s="3"/>
      <c r="C578" s="3"/>
      <c r="D578" s="3"/>
      <c r="E578" s="3"/>
      <c r="F578" s="3"/>
      <c r="G578" s="3"/>
      <c r="H578" s="3"/>
      <c r="I578" s="3"/>
      <c r="J578" s="3"/>
      <c r="K578" s="3"/>
      <c r="L578" s="3"/>
      <c r="M578" s="3"/>
      <c r="N578" s="3"/>
      <c r="O578" s="3"/>
      <c r="P578" s="3"/>
      <c r="Q578" s="3"/>
      <c r="R578" s="3"/>
      <c r="S578" s="3"/>
      <c r="T578" s="3"/>
      <c r="U578" s="35">
        <v>0.10199999999999999</v>
      </c>
      <c r="V578" s="35">
        <v>2.4500000000000001E-2</v>
      </c>
      <c r="W578" s="35">
        <v>0.224</v>
      </c>
      <c r="X578" s="35">
        <v>0.121</v>
      </c>
      <c r="Y578" s="35">
        <v>0.16600000000000001</v>
      </c>
      <c r="Z578" s="35">
        <v>0.15</v>
      </c>
      <c r="AA578" s="3"/>
      <c r="AB578" s="3"/>
      <c r="AC578" s="3"/>
      <c r="AD578" s="3"/>
      <c r="AE578" s="3"/>
      <c r="AF578" s="3"/>
      <c r="AG578" s="3"/>
      <c r="AH578" s="3"/>
      <c r="AI578" s="3"/>
      <c r="AJ578" s="3"/>
      <c r="AK578" s="3"/>
      <c r="AL578" s="3"/>
      <c r="AM578" s="3"/>
      <c r="AN578" s="3"/>
      <c r="AO578" s="35">
        <v>0</v>
      </c>
      <c r="AP578" s="14"/>
    </row>
    <row r="579" spans="1:42">
      <c r="A579" s="95" t="s">
        <v>788</v>
      </c>
      <c r="B579" s="36">
        <v>9.3299999999999994E-2</v>
      </c>
      <c r="C579" s="36">
        <v>5.6300000000000003E-2</v>
      </c>
      <c r="D579" s="36">
        <v>6.7100000000000007E-2</v>
      </c>
      <c r="E579" s="36">
        <v>2.64E-2</v>
      </c>
      <c r="F579" s="36">
        <v>6.54E-2</v>
      </c>
      <c r="G579" s="36">
        <v>3.6999999999999998E-2</v>
      </c>
      <c r="H579" s="36">
        <v>0.16200000000000001</v>
      </c>
      <c r="I579" s="36">
        <v>0.16500000000000001</v>
      </c>
      <c r="J579" s="36">
        <v>0.17599999999999999</v>
      </c>
      <c r="K579" s="36">
        <v>6.9400000000000003E-2</v>
      </c>
      <c r="L579" s="36">
        <v>0.14099999999999999</v>
      </c>
      <c r="M579" s="36">
        <v>0.109</v>
      </c>
      <c r="N579" s="36">
        <v>2.58E-2</v>
      </c>
      <c r="O579" s="36">
        <v>3.8800000000000001E-2</v>
      </c>
      <c r="P579" s="36">
        <v>0.104</v>
      </c>
      <c r="Q579" s="36">
        <v>6.5500000000000003E-2</v>
      </c>
      <c r="R579" s="36">
        <v>5.2200000000000003E-2</v>
      </c>
      <c r="S579" s="36">
        <v>0.18099999999999999</v>
      </c>
      <c r="T579" s="36">
        <v>0.105</v>
      </c>
      <c r="U579" s="36">
        <v>0.185</v>
      </c>
      <c r="V579" s="36">
        <v>0.155</v>
      </c>
      <c r="W579" s="36">
        <v>0.11700000000000001</v>
      </c>
      <c r="X579" s="36">
        <v>6.7599999999999993E-2</v>
      </c>
      <c r="Y579" s="36">
        <v>0.13200000000000001</v>
      </c>
      <c r="Z579" s="36">
        <v>0.105</v>
      </c>
      <c r="AA579" s="5"/>
      <c r="AB579" s="36">
        <v>3.8899999999999997E-2</v>
      </c>
      <c r="AC579" s="36">
        <v>4.5999999999999999E-2</v>
      </c>
      <c r="AD579" s="36">
        <v>6.88E-2</v>
      </c>
      <c r="AE579" s="36">
        <v>0.13400000000000001</v>
      </c>
      <c r="AF579" s="5"/>
      <c r="AG579" s="5"/>
      <c r="AH579" s="36">
        <v>9.5699999999999993E-2</v>
      </c>
      <c r="AI579" s="36">
        <v>0.13500000000000001</v>
      </c>
      <c r="AJ579" s="36">
        <v>0.11</v>
      </c>
      <c r="AK579" s="36">
        <v>6.9900000000000004E-2</v>
      </c>
      <c r="AL579" s="36">
        <v>2.63E-2</v>
      </c>
      <c r="AM579" s="5"/>
      <c r="AN579" s="36">
        <v>8.7300000000000003E-2</v>
      </c>
      <c r="AO579" s="36">
        <v>4.1399999999999999E-2</v>
      </c>
      <c r="AP579" s="46">
        <v>47.4</v>
      </c>
    </row>
    <row r="580" spans="1:42">
      <c r="A580" s="95" t="s">
        <v>789</v>
      </c>
      <c r="B580" s="3"/>
      <c r="C580" s="3"/>
      <c r="D580" s="3"/>
      <c r="E580" s="3"/>
      <c r="F580" s="3"/>
      <c r="G580" s="3"/>
      <c r="H580" s="35">
        <v>0.13700000000000001</v>
      </c>
      <c r="I580" s="35">
        <v>0.13700000000000001</v>
      </c>
      <c r="J580" s="35">
        <v>0.13100000000000001</v>
      </c>
      <c r="K580" s="3"/>
      <c r="L580" s="3"/>
      <c r="M580" s="3"/>
      <c r="N580" s="3"/>
      <c r="O580" s="3"/>
      <c r="P580" s="3"/>
      <c r="Q580" s="3"/>
      <c r="R580" s="3"/>
      <c r="S580" s="3"/>
      <c r="T580" s="3"/>
      <c r="U580" s="35">
        <v>0.123</v>
      </c>
      <c r="V580" s="35">
        <v>5.7599999999999998E-2</v>
      </c>
      <c r="W580" s="3"/>
      <c r="X580" s="3"/>
      <c r="Y580" s="3"/>
      <c r="Z580" s="3"/>
      <c r="AA580" s="3"/>
      <c r="AB580" s="3"/>
      <c r="AC580" s="3"/>
      <c r="AD580" s="3"/>
      <c r="AE580" s="3"/>
      <c r="AF580" s="3"/>
      <c r="AG580" s="3"/>
      <c r="AH580" s="3"/>
      <c r="AI580" s="3"/>
      <c r="AJ580" s="35">
        <v>0.16300000000000001</v>
      </c>
      <c r="AK580" s="3"/>
      <c r="AL580" s="3"/>
      <c r="AM580" s="3"/>
      <c r="AN580" s="35">
        <v>0.16300000000000001</v>
      </c>
      <c r="AO580" s="3"/>
      <c r="AP580" s="45">
        <v>0</v>
      </c>
    </row>
    <row r="581" spans="1:42">
      <c r="A581" s="95" t="s">
        <v>790</v>
      </c>
      <c r="B581" s="5"/>
      <c r="C581" s="36">
        <v>2.18E-2</v>
      </c>
      <c r="D581" s="36">
        <v>2.41E-2</v>
      </c>
      <c r="E581" s="5"/>
      <c r="F581" s="36">
        <v>5.45E-2</v>
      </c>
      <c r="G581" s="36">
        <v>7.9500000000000005E-3</v>
      </c>
      <c r="H581" s="36">
        <v>5.4899999999999997E-2</v>
      </c>
      <c r="I581" s="36">
        <v>4.4999999999999998E-2</v>
      </c>
      <c r="J581" s="36">
        <v>4.4400000000000002E-2</v>
      </c>
      <c r="K581" s="36">
        <v>2.6499999999999999E-2</v>
      </c>
      <c r="L581" s="36">
        <v>4.1500000000000002E-2</v>
      </c>
      <c r="M581" s="5"/>
      <c r="N581" s="36">
        <v>6.8300000000000001E-3</v>
      </c>
      <c r="O581" s="5"/>
      <c r="P581" s="5"/>
      <c r="Q581" s="36">
        <v>6.4599999999999996E-3</v>
      </c>
      <c r="R581" s="36">
        <v>3.47E-3</v>
      </c>
      <c r="S581" s="36">
        <v>5.28E-2</v>
      </c>
      <c r="T581" s="36">
        <v>3.5499999999999997E-2</v>
      </c>
      <c r="U581" s="36">
        <v>4.7E-2</v>
      </c>
      <c r="V581" s="36">
        <v>3.0599999999999999E-2</v>
      </c>
      <c r="W581" s="36">
        <v>4.3200000000000002E-2</v>
      </c>
      <c r="X581" s="36">
        <v>1.49E-2</v>
      </c>
      <c r="Y581" s="36">
        <v>3.78E-2</v>
      </c>
      <c r="Z581" s="36">
        <v>1.0500000000000001E-2</v>
      </c>
      <c r="AA581" s="5"/>
      <c r="AB581" s="36">
        <v>1.5100000000000001E-2</v>
      </c>
      <c r="AC581" s="36">
        <v>8.0099999999999998E-3</v>
      </c>
      <c r="AD581" s="36">
        <v>1.09E-2</v>
      </c>
      <c r="AE581" s="36">
        <v>3.6900000000000002E-2</v>
      </c>
      <c r="AF581" s="5"/>
      <c r="AG581" s="5"/>
      <c r="AH581" s="36">
        <v>3.5799999999999998E-2</v>
      </c>
      <c r="AI581" s="36">
        <v>2.7300000000000001E-2</v>
      </c>
      <c r="AJ581" s="36">
        <v>3.7699999999999997E-2</v>
      </c>
      <c r="AK581" s="36">
        <v>2.7900000000000001E-2</v>
      </c>
      <c r="AL581" s="36">
        <v>4.6800000000000001E-3</v>
      </c>
      <c r="AM581" s="5"/>
      <c r="AN581" s="36">
        <v>2.6700000000000002E-2</v>
      </c>
      <c r="AO581" s="36">
        <v>1.3100000000000001E-2</v>
      </c>
      <c r="AP581" s="46">
        <v>49.2</v>
      </c>
    </row>
    <row r="582" spans="1:42">
      <c r="A582" s="95" t="s">
        <v>791</v>
      </c>
      <c r="B582" s="3"/>
      <c r="C582" s="3"/>
      <c r="D582" s="3"/>
      <c r="E582" s="3"/>
      <c r="F582" s="3"/>
      <c r="G582" s="3"/>
      <c r="H582" s="3"/>
      <c r="I582" s="35">
        <v>3.3599999999999998E-2</v>
      </c>
      <c r="J582" s="3"/>
      <c r="K582" s="3"/>
      <c r="L582" s="3"/>
      <c r="M582" s="3"/>
      <c r="N582" s="3"/>
      <c r="O582" s="3"/>
      <c r="P582" s="3"/>
      <c r="Q582" s="3"/>
      <c r="R582" s="35">
        <v>7.6699999999999997E-3</v>
      </c>
      <c r="S582" s="3"/>
      <c r="T582" s="3"/>
      <c r="U582" s="3"/>
      <c r="V582" s="3"/>
      <c r="W582" s="3"/>
      <c r="X582" s="3"/>
      <c r="Y582" s="3"/>
      <c r="Z582" s="3"/>
      <c r="AA582" s="3"/>
      <c r="AB582" s="3"/>
      <c r="AC582" s="35">
        <v>1.89E-2</v>
      </c>
      <c r="AD582" s="35">
        <v>0.02</v>
      </c>
      <c r="AE582" s="35">
        <v>8.8999999999999996E-2</v>
      </c>
      <c r="AF582" s="3"/>
      <c r="AG582" s="3"/>
      <c r="AH582" s="3"/>
      <c r="AI582" s="3"/>
      <c r="AJ582" s="3"/>
      <c r="AK582" s="3"/>
      <c r="AL582" s="3"/>
      <c r="AM582" s="3"/>
      <c r="AN582" s="3"/>
      <c r="AO582" s="35">
        <v>0</v>
      </c>
      <c r="AP582" s="14"/>
    </row>
    <row r="583" spans="1:42" ht="15.95" thickBot="1">
      <c r="A583" s="96" t="s">
        <v>792</v>
      </c>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27"/>
      <c r="AD583" s="27"/>
      <c r="AE583" s="27"/>
      <c r="AF583" s="27"/>
      <c r="AG583" s="27"/>
      <c r="AH583" s="27"/>
      <c r="AI583" s="27"/>
      <c r="AJ583" s="27"/>
      <c r="AK583" s="27"/>
      <c r="AL583" s="27"/>
      <c r="AM583" s="27"/>
      <c r="AN583" s="27"/>
      <c r="AO583" s="54">
        <v>0</v>
      </c>
      <c r="AP583" s="2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K53"/>
  <sheetViews>
    <sheetView zoomScale="150" workbookViewId="0">
      <selection activeCell="A8" sqref="A8"/>
    </sheetView>
  </sheetViews>
  <sheetFormatPr defaultColWidth="8.85546875" defaultRowHeight="15"/>
  <cols>
    <col min="1" max="1" width="29.85546875" customWidth="1"/>
  </cols>
  <sheetData>
    <row r="1" spans="1:37">
      <c r="A1" s="37" t="s">
        <v>72</v>
      </c>
      <c r="B1" s="38" t="s">
        <v>73</v>
      </c>
      <c r="C1" s="38" t="s">
        <v>74</v>
      </c>
      <c r="D1" s="38" t="s">
        <v>75</v>
      </c>
      <c r="E1" s="38" t="s">
        <v>76</v>
      </c>
      <c r="F1" s="38" t="s">
        <v>77</v>
      </c>
      <c r="G1" s="38" t="s">
        <v>78</v>
      </c>
      <c r="H1" s="38" t="s">
        <v>79</v>
      </c>
      <c r="I1" s="38" t="s">
        <v>80</v>
      </c>
      <c r="J1" s="38" t="s">
        <v>81</v>
      </c>
      <c r="K1" s="38" t="s">
        <v>82</v>
      </c>
      <c r="L1" s="38" t="s">
        <v>83</v>
      </c>
      <c r="M1" s="38" t="s">
        <v>84</v>
      </c>
      <c r="N1" s="38" t="s">
        <v>85</v>
      </c>
      <c r="O1" s="38" t="s">
        <v>86</v>
      </c>
      <c r="P1" s="38" t="s">
        <v>87</v>
      </c>
      <c r="Q1" s="38" t="s">
        <v>88</v>
      </c>
      <c r="R1" s="38" t="s">
        <v>89</v>
      </c>
      <c r="S1" s="38" t="s">
        <v>90</v>
      </c>
      <c r="T1" s="38" t="s">
        <v>91</v>
      </c>
      <c r="U1" s="38" t="s">
        <v>92</v>
      </c>
      <c r="V1" s="38" t="s">
        <v>93</v>
      </c>
      <c r="W1" s="38" t="s">
        <v>94</v>
      </c>
      <c r="X1" s="38" t="s">
        <v>95</v>
      </c>
      <c r="Y1" s="38" t="s">
        <v>96</v>
      </c>
      <c r="Z1" s="38" t="s">
        <v>97</v>
      </c>
      <c r="AA1" s="40"/>
      <c r="AB1" s="38" t="s">
        <v>98</v>
      </c>
      <c r="AC1" s="38" t="s">
        <v>99</v>
      </c>
      <c r="AD1" s="38" t="s">
        <v>100</v>
      </c>
      <c r="AE1" s="38" t="s">
        <v>101</v>
      </c>
      <c r="AF1" s="38" t="s">
        <v>102</v>
      </c>
      <c r="AG1" s="40"/>
      <c r="AH1" s="38" t="s">
        <v>105</v>
      </c>
      <c r="AI1" s="38" t="s">
        <v>106</v>
      </c>
      <c r="AJ1" s="38" t="s">
        <v>107</v>
      </c>
      <c r="AK1" s="57" t="s">
        <v>212</v>
      </c>
    </row>
    <row r="2" spans="1:37" ht="27.95">
      <c r="A2" s="18"/>
      <c r="B2" s="1" t="s">
        <v>111</v>
      </c>
      <c r="C2" s="1" t="s">
        <v>112</v>
      </c>
      <c r="D2" s="1" t="s">
        <v>113</v>
      </c>
      <c r="E2" s="1" t="s">
        <v>114</v>
      </c>
      <c r="F2" s="1" t="s">
        <v>115</v>
      </c>
      <c r="G2" s="1" t="s">
        <v>116</v>
      </c>
      <c r="H2" s="1" t="s">
        <v>117</v>
      </c>
      <c r="I2" s="1" t="s">
        <v>118</v>
      </c>
      <c r="J2" s="1" t="s">
        <v>119</v>
      </c>
      <c r="K2" s="1" t="s">
        <v>120</v>
      </c>
      <c r="L2" s="1" t="s">
        <v>121</v>
      </c>
      <c r="M2" s="1" t="s">
        <v>122</v>
      </c>
      <c r="N2" s="1" t="s">
        <v>123</v>
      </c>
      <c r="O2" s="1" t="s">
        <v>124</v>
      </c>
      <c r="P2" s="1" t="s">
        <v>125</v>
      </c>
      <c r="Q2" s="1" t="s">
        <v>126</v>
      </c>
      <c r="R2" s="1" t="s">
        <v>127</v>
      </c>
      <c r="S2" s="1" t="s">
        <v>128</v>
      </c>
      <c r="T2" s="1" t="s">
        <v>129</v>
      </c>
      <c r="U2" s="1" t="s">
        <v>130</v>
      </c>
      <c r="V2" s="1" t="s">
        <v>131</v>
      </c>
      <c r="W2" s="1" t="s">
        <v>132</v>
      </c>
      <c r="X2" s="1" t="s">
        <v>133</v>
      </c>
      <c r="Y2" s="1" t="s">
        <v>134</v>
      </c>
      <c r="Z2" s="1" t="s">
        <v>135</v>
      </c>
      <c r="AA2" s="5"/>
      <c r="AB2" s="1" t="s">
        <v>136</v>
      </c>
      <c r="AC2" s="1" t="s">
        <v>137</v>
      </c>
      <c r="AD2" s="1" t="s">
        <v>138</v>
      </c>
      <c r="AE2" s="1" t="s">
        <v>139</v>
      </c>
      <c r="AF2" s="2"/>
      <c r="AG2" s="5"/>
      <c r="AH2" s="1" t="s">
        <v>142</v>
      </c>
      <c r="AI2" s="1" t="s">
        <v>143</v>
      </c>
      <c r="AJ2" s="1" t="s">
        <v>144</v>
      </c>
      <c r="AK2" s="44" t="s">
        <v>214</v>
      </c>
    </row>
    <row r="3" spans="1:37">
      <c r="A3" s="63" t="s">
        <v>793</v>
      </c>
      <c r="B3" s="64">
        <v>100</v>
      </c>
      <c r="C3" s="64">
        <v>100</v>
      </c>
      <c r="D3" s="64">
        <v>100</v>
      </c>
      <c r="E3" s="64">
        <v>100</v>
      </c>
      <c r="F3" s="65"/>
      <c r="G3" s="64">
        <v>100</v>
      </c>
      <c r="H3" s="64">
        <v>100</v>
      </c>
      <c r="I3" s="64">
        <v>100</v>
      </c>
      <c r="J3" s="64">
        <v>100</v>
      </c>
      <c r="K3" s="64">
        <v>100</v>
      </c>
      <c r="L3" s="64">
        <v>100</v>
      </c>
      <c r="M3" s="64">
        <v>100</v>
      </c>
      <c r="N3" s="64">
        <v>100</v>
      </c>
      <c r="O3" s="64">
        <v>100</v>
      </c>
      <c r="P3" s="64">
        <v>100</v>
      </c>
      <c r="Q3" s="64">
        <v>100</v>
      </c>
      <c r="R3" s="64">
        <v>100</v>
      </c>
      <c r="S3" s="64">
        <v>100</v>
      </c>
      <c r="T3" s="64">
        <v>100</v>
      </c>
      <c r="U3" s="64">
        <v>100</v>
      </c>
      <c r="V3" s="64">
        <v>100</v>
      </c>
      <c r="W3" s="64">
        <v>100</v>
      </c>
      <c r="X3" s="64">
        <v>100</v>
      </c>
      <c r="Y3" s="64">
        <v>100</v>
      </c>
      <c r="Z3" s="64">
        <v>100</v>
      </c>
      <c r="AA3" s="65"/>
      <c r="AB3" s="64">
        <v>100</v>
      </c>
      <c r="AC3" s="64">
        <v>100</v>
      </c>
      <c r="AD3" s="64">
        <v>100</v>
      </c>
      <c r="AE3" s="64">
        <v>100</v>
      </c>
      <c r="AF3" s="65"/>
      <c r="AG3" s="65"/>
      <c r="AH3" s="64">
        <v>100</v>
      </c>
      <c r="AI3" s="64">
        <v>100</v>
      </c>
      <c r="AJ3" s="64">
        <v>100</v>
      </c>
      <c r="AK3" s="66">
        <v>100</v>
      </c>
    </row>
    <row r="4" spans="1:37">
      <c r="A4" s="63" t="s">
        <v>794</v>
      </c>
      <c r="B4" s="67">
        <v>64</v>
      </c>
      <c r="C4" s="67">
        <v>87</v>
      </c>
      <c r="D4" s="67">
        <v>78</v>
      </c>
      <c r="E4" s="68" t="s">
        <v>795</v>
      </c>
      <c r="F4" s="69"/>
      <c r="G4" s="67">
        <v>84</v>
      </c>
      <c r="H4" s="67">
        <v>52</v>
      </c>
      <c r="I4" s="67">
        <v>85</v>
      </c>
      <c r="J4" s="67">
        <v>73</v>
      </c>
      <c r="K4" s="67">
        <v>63</v>
      </c>
      <c r="L4" s="67">
        <v>83</v>
      </c>
      <c r="M4" s="67">
        <v>88</v>
      </c>
      <c r="N4" s="67">
        <v>74</v>
      </c>
      <c r="O4" s="67">
        <v>47</v>
      </c>
      <c r="P4" s="67">
        <v>68</v>
      </c>
      <c r="Q4" s="67">
        <v>99</v>
      </c>
      <c r="R4" s="67">
        <v>78</v>
      </c>
      <c r="S4" s="67">
        <v>99</v>
      </c>
      <c r="T4" s="67">
        <v>92</v>
      </c>
      <c r="U4" s="67">
        <v>67</v>
      </c>
      <c r="V4" s="67">
        <v>51</v>
      </c>
      <c r="W4" s="67">
        <v>78</v>
      </c>
      <c r="X4" s="67">
        <v>86</v>
      </c>
      <c r="Y4" s="67">
        <v>85</v>
      </c>
      <c r="Z4" s="67">
        <v>86</v>
      </c>
      <c r="AA4" s="69"/>
      <c r="AB4" s="67">
        <v>62</v>
      </c>
      <c r="AC4" s="67">
        <v>63</v>
      </c>
      <c r="AD4" s="67">
        <v>83</v>
      </c>
      <c r="AE4" s="67">
        <v>56</v>
      </c>
      <c r="AF4" s="69"/>
      <c r="AG4" s="69"/>
      <c r="AH4" s="67">
        <v>87</v>
      </c>
      <c r="AI4" s="67">
        <v>85</v>
      </c>
      <c r="AJ4" s="67">
        <v>80</v>
      </c>
      <c r="AK4" s="70">
        <v>60</v>
      </c>
    </row>
    <row r="5" spans="1:37">
      <c r="A5" s="63" t="s">
        <v>796</v>
      </c>
      <c r="B5" s="64">
        <v>81</v>
      </c>
      <c r="C5" s="64">
        <v>89</v>
      </c>
      <c r="D5" s="64">
        <v>86</v>
      </c>
      <c r="E5" s="64">
        <v>34</v>
      </c>
      <c r="F5" s="65"/>
      <c r="G5" s="64">
        <v>87</v>
      </c>
      <c r="H5" s="64">
        <v>77</v>
      </c>
      <c r="I5" s="64">
        <v>87</v>
      </c>
      <c r="J5" s="64">
        <v>83</v>
      </c>
      <c r="K5" s="64">
        <v>80</v>
      </c>
      <c r="L5" s="64">
        <v>86</v>
      </c>
      <c r="M5" s="64">
        <v>90</v>
      </c>
      <c r="N5" s="64">
        <v>84</v>
      </c>
      <c r="O5" s="64">
        <v>75</v>
      </c>
      <c r="P5" s="64">
        <v>82</v>
      </c>
      <c r="Q5" s="64">
        <v>93</v>
      </c>
      <c r="R5" s="64">
        <v>86</v>
      </c>
      <c r="S5" s="64">
        <v>93</v>
      </c>
      <c r="T5" s="64">
        <v>92</v>
      </c>
      <c r="U5" s="64">
        <v>69</v>
      </c>
      <c r="V5" s="64">
        <v>79</v>
      </c>
      <c r="W5" s="64">
        <v>79</v>
      </c>
      <c r="X5" s="64">
        <v>88</v>
      </c>
      <c r="Y5" s="64">
        <v>87</v>
      </c>
      <c r="Z5" s="64">
        <v>88</v>
      </c>
      <c r="AA5" s="65"/>
      <c r="AB5" s="64">
        <v>80</v>
      </c>
      <c r="AC5" s="64">
        <v>79</v>
      </c>
      <c r="AD5" s="64">
        <v>87</v>
      </c>
      <c r="AE5" s="64">
        <v>80</v>
      </c>
      <c r="AF5" s="65"/>
      <c r="AG5" s="65"/>
      <c r="AH5" s="64">
        <v>89</v>
      </c>
      <c r="AI5" s="64">
        <v>87</v>
      </c>
      <c r="AJ5" s="64">
        <v>86</v>
      </c>
      <c r="AK5" s="66">
        <v>79</v>
      </c>
    </row>
    <row r="6" spans="1:37">
      <c r="A6" s="63" t="s">
        <v>797</v>
      </c>
      <c r="B6" s="67">
        <v>81</v>
      </c>
      <c r="C6" s="67">
        <v>89</v>
      </c>
      <c r="D6" s="67">
        <v>86</v>
      </c>
      <c r="E6" s="67">
        <v>34</v>
      </c>
      <c r="F6" s="69"/>
      <c r="G6" s="67">
        <v>87</v>
      </c>
      <c r="H6" s="67">
        <v>77</v>
      </c>
      <c r="I6" s="67">
        <v>87</v>
      </c>
      <c r="J6" s="67">
        <v>83</v>
      </c>
      <c r="K6" s="67">
        <v>80</v>
      </c>
      <c r="L6" s="67">
        <v>86</v>
      </c>
      <c r="M6" s="67">
        <v>90</v>
      </c>
      <c r="N6" s="67">
        <v>84</v>
      </c>
      <c r="O6" s="67">
        <v>75</v>
      </c>
      <c r="P6" s="67">
        <v>82</v>
      </c>
      <c r="Q6" s="67">
        <v>93</v>
      </c>
      <c r="R6" s="67">
        <v>86</v>
      </c>
      <c r="S6" s="67">
        <v>93</v>
      </c>
      <c r="T6" s="67">
        <v>92</v>
      </c>
      <c r="U6" s="67">
        <v>69</v>
      </c>
      <c r="V6" s="67">
        <v>79</v>
      </c>
      <c r="W6" s="67">
        <v>79</v>
      </c>
      <c r="X6" s="67">
        <v>88</v>
      </c>
      <c r="Y6" s="67">
        <v>87</v>
      </c>
      <c r="Z6" s="67">
        <v>88</v>
      </c>
      <c r="AA6" s="69"/>
      <c r="AB6" s="67">
        <v>80</v>
      </c>
      <c r="AC6" s="67">
        <v>79</v>
      </c>
      <c r="AD6" s="67">
        <v>87</v>
      </c>
      <c r="AE6" s="67">
        <v>80</v>
      </c>
      <c r="AF6" s="69"/>
      <c r="AG6" s="69"/>
      <c r="AH6" s="67">
        <v>89</v>
      </c>
      <c r="AI6" s="67">
        <v>87</v>
      </c>
      <c r="AJ6" s="67">
        <v>86</v>
      </c>
      <c r="AK6" s="70">
        <v>79</v>
      </c>
    </row>
    <row r="7" spans="1:37">
      <c r="A7" s="63" t="s">
        <v>798</v>
      </c>
      <c r="B7" s="64">
        <v>81</v>
      </c>
      <c r="C7" s="64">
        <v>89</v>
      </c>
      <c r="D7" s="64">
        <v>86</v>
      </c>
      <c r="E7" s="64">
        <v>34</v>
      </c>
      <c r="F7" s="65"/>
      <c r="G7" s="64">
        <v>87</v>
      </c>
      <c r="H7" s="64">
        <v>77</v>
      </c>
      <c r="I7" s="64">
        <v>87</v>
      </c>
      <c r="J7" s="64">
        <v>83</v>
      </c>
      <c r="K7" s="64">
        <v>80</v>
      </c>
      <c r="L7" s="64">
        <v>86</v>
      </c>
      <c r="M7" s="64">
        <v>90</v>
      </c>
      <c r="N7" s="64">
        <v>84</v>
      </c>
      <c r="O7" s="64">
        <v>75</v>
      </c>
      <c r="P7" s="64">
        <v>82</v>
      </c>
      <c r="Q7" s="64">
        <v>93</v>
      </c>
      <c r="R7" s="64">
        <v>86</v>
      </c>
      <c r="S7" s="64">
        <v>93</v>
      </c>
      <c r="T7" s="64">
        <v>92</v>
      </c>
      <c r="U7" s="64">
        <v>69</v>
      </c>
      <c r="V7" s="64">
        <v>79</v>
      </c>
      <c r="W7" s="64">
        <v>79</v>
      </c>
      <c r="X7" s="64">
        <v>88</v>
      </c>
      <c r="Y7" s="64">
        <v>87</v>
      </c>
      <c r="Z7" s="64">
        <v>88</v>
      </c>
      <c r="AA7" s="65"/>
      <c r="AB7" s="64">
        <v>80</v>
      </c>
      <c r="AC7" s="64">
        <v>79</v>
      </c>
      <c r="AD7" s="64">
        <v>87</v>
      </c>
      <c r="AE7" s="64">
        <v>80</v>
      </c>
      <c r="AF7" s="65"/>
      <c r="AG7" s="65"/>
      <c r="AH7" s="64">
        <v>89</v>
      </c>
      <c r="AI7" s="64">
        <v>87</v>
      </c>
      <c r="AJ7" s="64">
        <v>86</v>
      </c>
      <c r="AK7" s="66">
        <v>79</v>
      </c>
    </row>
    <row r="8" spans="1:37">
      <c r="A8" s="63" t="s">
        <v>799</v>
      </c>
      <c r="B8" s="67">
        <v>168</v>
      </c>
      <c r="C8" s="67">
        <v>177</v>
      </c>
      <c r="D8" s="67">
        <v>173</v>
      </c>
      <c r="E8" s="67">
        <v>120</v>
      </c>
      <c r="F8" s="69"/>
      <c r="G8" s="67">
        <v>173</v>
      </c>
      <c r="H8" s="67">
        <v>163</v>
      </c>
      <c r="I8" s="67">
        <v>173</v>
      </c>
      <c r="J8" s="67">
        <v>169</v>
      </c>
      <c r="K8" s="67">
        <v>168</v>
      </c>
      <c r="L8" s="67">
        <v>172</v>
      </c>
      <c r="M8" s="67">
        <v>178</v>
      </c>
      <c r="N8" s="67">
        <v>170</v>
      </c>
      <c r="O8" s="67">
        <v>161</v>
      </c>
      <c r="P8" s="67">
        <v>170</v>
      </c>
      <c r="Q8" s="67">
        <v>181</v>
      </c>
      <c r="R8" s="67">
        <v>173</v>
      </c>
      <c r="S8" s="67">
        <v>182</v>
      </c>
      <c r="T8" s="67">
        <v>181</v>
      </c>
      <c r="U8" s="67">
        <v>157</v>
      </c>
      <c r="V8" s="67">
        <v>169</v>
      </c>
      <c r="W8" s="67">
        <v>171</v>
      </c>
      <c r="X8" s="67">
        <v>175</v>
      </c>
      <c r="Y8" s="67">
        <v>174</v>
      </c>
      <c r="Z8" s="67">
        <v>175</v>
      </c>
      <c r="AA8" s="69"/>
      <c r="AB8" s="67">
        <v>167</v>
      </c>
      <c r="AC8" s="67">
        <v>165</v>
      </c>
      <c r="AD8" s="67">
        <v>173</v>
      </c>
      <c r="AE8" s="67">
        <v>170</v>
      </c>
      <c r="AF8" s="69"/>
      <c r="AG8" s="69"/>
      <c r="AH8" s="67">
        <v>178</v>
      </c>
      <c r="AI8" s="67">
        <v>173</v>
      </c>
      <c r="AJ8" s="67">
        <v>173</v>
      </c>
      <c r="AK8" s="70">
        <v>164</v>
      </c>
    </row>
    <row r="9" spans="1:37">
      <c r="A9" s="63" t="s">
        <v>800</v>
      </c>
      <c r="B9" s="64">
        <v>159</v>
      </c>
      <c r="C9" s="64">
        <v>167</v>
      </c>
      <c r="D9" s="64">
        <v>164</v>
      </c>
      <c r="E9" s="64">
        <v>109</v>
      </c>
      <c r="F9" s="65"/>
      <c r="G9" s="64">
        <v>162</v>
      </c>
      <c r="H9" s="64">
        <v>153</v>
      </c>
      <c r="I9" s="64">
        <v>162</v>
      </c>
      <c r="J9" s="64">
        <v>159</v>
      </c>
      <c r="K9" s="64">
        <v>158</v>
      </c>
      <c r="L9" s="64">
        <v>161</v>
      </c>
      <c r="M9" s="64">
        <v>169</v>
      </c>
      <c r="N9" s="64">
        <v>160</v>
      </c>
      <c r="O9" s="64">
        <v>150</v>
      </c>
      <c r="P9" s="64">
        <v>160</v>
      </c>
      <c r="Q9" s="64">
        <v>171</v>
      </c>
      <c r="R9" s="64">
        <v>162</v>
      </c>
      <c r="S9" s="64">
        <v>173</v>
      </c>
      <c r="T9" s="64">
        <v>173</v>
      </c>
      <c r="U9" s="64">
        <v>148</v>
      </c>
      <c r="V9" s="64">
        <v>162</v>
      </c>
      <c r="W9" s="64">
        <v>164</v>
      </c>
      <c r="X9" s="64">
        <v>165</v>
      </c>
      <c r="Y9" s="64">
        <v>163</v>
      </c>
      <c r="Z9" s="64">
        <v>165</v>
      </c>
      <c r="AA9" s="65"/>
      <c r="AB9" s="64">
        <v>157</v>
      </c>
      <c r="AC9" s="64">
        <v>153</v>
      </c>
      <c r="AD9" s="64">
        <v>162</v>
      </c>
      <c r="AE9" s="64">
        <v>162</v>
      </c>
      <c r="AF9" s="65"/>
      <c r="AG9" s="65"/>
      <c r="AH9" s="64">
        <v>169</v>
      </c>
      <c r="AI9" s="64">
        <v>162</v>
      </c>
      <c r="AJ9" s="64">
        <v>162</v>
      </c>
      <c r="AK9" s="66">
        <v>153</v>
      </c>
    </row>
    <row r="10" spans="1:37">
      <c r="A10" s="63" t="s">
        <v>801</v>
      </c>
      <c r="B10" s="67">
        <v>55</v>
      </c>
      <c r="C10" s="67">
        <v>51</v>
      </c>
      <c r="D10" s="67">
        <v>50</v>
      </c>
      <c r="E10" s="67">
        <v>5</v>
      </c>
      <c r="F10" s="69"/>
      <c r="G10" s="67">
        <v>43</v>
      </c>
      <c r="H10" s="67">
        <v>49</v>
      </c>
      <c r="I10" s="67">
        <v>57</v>
      </c>
      <c r="J10" s="67">
        <v>45</v>
      </c>
      <c r="K10" s="67">
        <v>54</v>
      </c>
      <c r="L10" s="67">
        <v>41</v>
      </c>
      <c r="M10" s="67">
        <v>55</v>
      </c>
      <c r="N10" s="67">
        <v>51</v>
      </c>
      <c r="O10" s="67">
        <v>46</v>
      </c>
      <c r="P10" s="67">
        <v>35</v>
      </c>
      <c r="Q10" s="67">
        <v>68</v>
      </c>
      <c r="R10" s="67">
        <v>51</v>
      </c>
      <c r="S10" s="67">
        <v>67</v>
      </c>
      <c r="T10" s="67">
        <v>70</v>
      </c>
      <c r="U10" s="67">
        <v>45</v>
      </c>
      <c r="V10" s="67">
        <v>52</v>
      </c>
      <c r="W10" s="67">
        <v>48</v>
      </c>
      <c r="X10" s="67">
        <v>40</v>
      </c>
      <c r="Y10" s="67">
        <v>39</v>
      </c>
      <c r="Z10" s="67">
        <v>41</v>
      </c>
      <c r="AA10" s="69"/>
      <c r="AB10" s="67">
        <v>53</v>
      </c>
      <c r="AC10" s="67">
        <v>25</v>
      </c>
      <c r="AD10" s="67">
        <v>34</v>
      </c>
      <c r="AE10" s="67">
        <v>43</v>
      </c>
      <c r="AF10" s="69"/>
      <c r="AG10" s="69"/>
      <c r="AH10" s="67">
        <v>48</v>
      </c>
      <c r="AI10" s="67">
        <v>46</v>
      </c>
      <c r="AJ10" s="67">
        <v>46</v>
      </c>
      <c r="AK10" s="70">
        <v>49</v>
      </c>
    </row>
    <row r="11" spans="1:37">
      <c r="A11" s="63" t="s">
        <v>802</v>
      </c>
      <c r="B11" s="64">
        <v>141</v>
      </c>
      <c r="C11" s="64">
        <v>132</v>
      </c>
      <c r="D11" s="64">
        <v>130</v>
      </c>
      <c r="E11" s="64">
        <v>122</v>
      </c>
      <c r="F11" s="65"/>
      <c r="G11" s="64">
        <v>120</v>
      </c>
      <c r="H11" s="64">
        <v>130</v>
      </c>
      <c r="I11" s="64">
        <v>142</v>
      </c>
      <c r="J11" s="64">
        <v>123</v>
      </c>
      <c r="K11" s="64">
        <v>144</v>
      </c>
      <c r="L11" s="64">
        <v>118</v>
      </c>
      <c r="M11" s="64">
        <v>137</v>
      </c>
      <c r="N11" s="64">
        <v>129</v>
      </c>
      <c r="O11" s="64">
        <v>132</v>
      </c>
      <c r="P11" s="64">
        <v>114</v>
      </c>
      <c r="Q11" s="64">
        <v>156</v>
      </c>
      <c r="R11" s="64">
        <v>131</v>
      </c>
      <c r="S11" s="64">
        <v>149</v>
      </c>
      <c r="T11" s="64">
        <v>153</v>
      </c>
      <c r="U11" s="64">
        <v>145</v>
      </c>
      <c r="V11" s="64">
        <v>138</v>
      </c>
      <c r="W11" s="64">
        <v>147</v>
      </c>
      <c r="X11" s="64">
        <v>120</v>
      </c>
      <c r="Y11" s="64">
        <v>117</v>
      </c>
      <c r="Z11" s="64">
        <v>121</v>
      </c>
      <c r="AA11" s="65"/>
      <c r="AB11" s="64">
        <v>136</v>
      </c>
      <c r="AC11" s="64">
        <v>101</v>
      </c>
      <c r="AD11" s="64">
        <v>112</v>
      </c>
      <c r="AE11" s="64">
        <v>127</v>
      </c>
      <c r="AF11" s="65"/>
      <c r="AG11" s="65"/>
      <c r="AH11" s="64">
        <v>130</v>
      </c>
      <c r="AI11" s="64">
        <v>137</v>
      </c>
      <c r="AJ11" s="64">
        <v>125</v>
      </c>
      <c r="AK11" s="66">
        <v>126</v>
      </c>
    </row>
    <row r="12" spans="1:37">
      <c r="A12" s="63" t="s">
        <v>803</v>
      </c>
      <c r="B12" s="67">
        <v>35</v>
      </c>
      <c r="C12" s="67">
        <v>12</v>
      </c>
      <c r="D12" s="67">
        <v>21</v>
      </c>
      <c r="E12" s="67">
        <v>98</v>
      </c>
      <c r="F12" s="69"/>
      <c r="G12" s="67">
        <v>14</v>
      </c>
      <c r="H12" s="67">
        <v>47</v>
      </c>
      <c r="I12" s="67">
        <v>14</v>
      </c>
      <c r="J12" s="67">
        <v>25</v>
      </c>
      <c r="K12" s="67">
        <v>36</v>
      </c>
      <c r="L12" s="67">
        <v>16</v>
      </c>
      <c r="M12" s="67">
        <v>11</v>
      </c>
      <c r="N12" s="67">
        <v>24</v>
      </c>
      <c r="O12" s="67">
        <v>52</v>
      </c>
      <c r="P12" s="67">
        <v>31</v>
      </c>
      <c r="Q12" s="68" t="s">
        <v>795</v>
      </c>
      <c r="R12" s="67">
        <v>20</v>
      </c>
      <c r="S12" s="67">
        <v>0</v>
      </c>
      <c r="T12" s="67">
        <v>7</v>
      </c>
      <c r="U12" s="67">
        <v>31</v>
      </c>
      <c r="V12" s="67">
        <v>48</v>
      </c>
      <c r="W12" s="67">
        <v>21</v>
      </c>
      <c r="X12" s="67">
        <v>13</v>
      </c>
      <c r="Y12" s="67">
        <v>13</v>
      </c>
      <c r="Z12" s="67">
        <v>13</v>
      </c>
      <c r="AA12" s="69"/>
      <c r="AB12" s="67">
        <v>36</v>
      </c>
      <c r="AC12" s="67">
        <v>36</v>
      </c>
      <c r="AD12" s="67">
        <v>15</v>
      </c>
      <c r="AE12" s="67">
        <v>42</v>
      </c>
      <c r="AF12" s="69"/>
      <c r="AG12" s="69"/>
      <c r="AH12" s="67">
        <v>11</v>
      </c>
      <c r="AI12" s="67">
        <v>14</v>
      </c>
      <c r="AJ12" s="67">
        <v>18</v>
      </c>
      <c r="AK12" s="70">
        <v>39</v>
      </c>
    </row>
    <row r="13" spans="1:37">
      <c r="A13" s="63" t="s">
        <v>804</v>
      </c>
      <c r="B13" s="64">
        <v>35</v>
      </c>
      <c r="C13" s="64">
        <v>12</v>
      </c>
      <c r="D13" s="64">
        <v>21</v>
      </c>
      <c r="E13" s="64">
        <v>61</v>
      </c>
      <c r="F13" s="65"/>
      <c r="G13" s="64">
        <v>14</v>
      </c>
      <c r="H13" s="64">
        <v>47</v>
      </c>
      <c r="I13" s="64">
        <v>14</v>
      </c>
      <c r="J13" s="64">
        <v>25</v>
      </c>
      <c r="K13" s="64">
        <v>36</v>
      </c>
      <c r="L13" s="64">
        <v>16</v>
      </c>
      <c r="M13" s="64">
        <v>11</v>
      </c>
      <c r="N13" s="64">
        <v>24</v>
      </c>
      <c r="O13" s="64">
        <v>52</v>
      </c>
      <c r="P13" s="64">
        <v>31</v>
      </c>
      <c r="Q13" s="64">
        <v>0</v>
      </c>
      <c r="R13" s="64">
        <v>20</v>
      </c>
      <c r="S13" s="71" t="s">
        <v>795</v>
      </c>
      <c r="T13" s="64">
        <v>7</v>
      </c>
      <c r="U13" s="64">
        <v>12</v>
      </c>
      <c r="V13" s="64">
        <v>48</v>
      </c>
      <c r="W13" s="64">
        <v>8</v>
      </c>
      <c r="X13" s="64">
        <v>13</v>
      </c>
      <c r="Y13" s="64">
        <v>13</v>
      </c>
      <c r="Z13" s="64">
        <v>13</v>
      </c>
      <c r="AA13" s="65"/>
      <c r="AB13" s="64">
        <v>36</v>
      </c>
      <c r="AC13" s="64">
        <v>36</v>
      </c>
      <c r="AD13" s="64">
        <v>15</v>
      </c>
      <c r="AE13" s="64">
        <v>42</v>
      </c>
      <c r="AF13" s="65"/>
      <c r="AG13" s="65"/>
      <c r="AH13" s="64">
        <v>11</v>
      </c>
      <c r="AI13" s="64">
        <v>14</v>
      </c>
      <c r="AJ13" s="64">
        <v>18</v>
      </c>
      <c r="AK13" s="66">
        <v>39</v>
      </c>
    </row>
    <row r="14" spans="1:37">
      <c r="A14" s="63" t="s">
        <v>805</v>
      </c>
      <c r="B14" s="67">
        <v>18</v>
      </c>
      <c r="C14" s="67">
        <v>3</v>
      </c>
      <c r="D14" s="67">
        <v>8</v>
      </c>
      <c r="E14" s="67">
        <v>35</v>
      </c>
      <c r="F14" s="69"/>
      <c r="G14" s="67">
        <v>3</v>
      </c>
      <c r="H14" s="67">
        <v>25</v>
      </c>
      <c r="I14" s="67">
        <v>3</v>
      </c>
      <c r="J14" s="67">
        <v>11</v>
      </c>
      <c r="K14" s="67">
        <v>19</v>
      </c>
      <c r="L14" s="67">
        <v>5</v>
      </c>
      <c r="M14" s="67">
        <v>3</v>
      </c>
      <c r="N14" s="67">
        <v>10</v>
      </c>
      <c r="O14" s="67">
        <v>29</v>
      </c>
      <c r="P14" s="67">
        <v>15</v>
      </c>
      <c r="Q14" s="67">
        <v>-5</v>
      </c>
      <c r="R14" s="67">
        <v>8</v>
      </c>
      <c r="S14" s="67">
        <v>-5</v>
      </c>
      <c r="T14" s="68" t="s">
        <v>795</v>
      </c>
      <c r="U14" s="67">
        <v>3</v>
      </c>
      <c r="V14" s="67">
        <v>28</v>
      </c>
      <c r="W14" s="67">
        <v>2</v>
      </c>
      <c r="X14" s="67">
        <v>3</v>
      </c>
      <c r="Y14" s="67">
        <v>3</v>
      </c>
      <c r="Z14" s="67">
        <v>3</v>
      </c>
      <c r="AA14" s="69"/>
      <c r="AB14" s="67">
        <v>19</v>
      </c>
      <c r="AC14" s="67">
        <v>18</v>
      </c>
      <c r="AD14" s="67">
        <v>4</v>
      </c>
      <c r="AE14" s="67">
        <v>24</v>
      </c>
      <c r="AF14" s="69"/>
      <c r="AG14" s="69"/>
      <c r="AH14" s="67">
        <v>3</v>
      </c>
      <c r="AI14" s="67">
        <v>3</v>
      </c>
      <c r="AJ14" s="67">
        <v>7</v>
      </c>
      <c r="AK14" s="70">
        <v>20</v>
      </c>
    </row>
    <row r="15" spans="1:37">
      <c r="A15" s="63" t="s">
        <v>806</v>
      </c>
      <c r="B15" s="64">
        <v>17</v>
      </c>
      <c r="C15" s="64">
        <v>9</v>
      </c>
      <c r="D15" s="64">
        <v>12</v>
      </c>
      <c r="E15" s="64">
        <v>26</v>
      </c>
      <c r="F15" s="65"/>
      <c r="G15" s="64">
        <v>11</v>
      </c>
      <c r="H15" s="64">
        <v>21</v>
      </c>
      <c r="I15" s="64">
        <v>11</v>
      </c>
      <c r="J15" s="64">
        <v>14</v>
      </c>
      <c r="K15" s="64">
        <v>17</v>
      </c>
      <c r="L15" s="64">
        <v>11</v>
      </c>
      <c r="M15" s="64">
        <v>9</v>
      </c>
      <c r="N15" s="64">
        <v>14</v>
      </c>
      <c r="O15" s="64">
        <v>23</v>
      </c>
      <c r="P15" s="64">
        <v>16</v>
      </c>
      <c r="Q15" s="64">
        <v>5</v>
      </c>
      <c r="R15" s="64">
        <v>12</v>
      </c>
      <c r="S15" s="64">
        <v>5</v>
      </c>
      <c r="T15" s="64">
        <v>7</v>
      </c>
      <c r="U15" s="64">
        <v>9</v>
      </c>
      <c r="V15" s="64">
        <v>20</v>
      </c>
      <c r="W15" s="64">
        <v>6</v>
      </c>
      <c r="X15" s="64">
        <v>10</v>
      </c>
      <c r="Y15" s="64">
        <v>10</v>
      </c>
      <c r="Z15" s="64">
        <v>10</v>
      </c>
      <c r="AA15" s="65"/>
      <c r="AB15" s="64">
        <v>18</v>
      </c>
      <c r="AC15" s="64">
        <v>18</v>
      </c>
      <c r="AD15" s="64">
        <v>11</v>
      </c>
      <c r="AE15" s="64">
        <v>18</v>
      </c>
      <c r="AF15" s="65"/>
      <c r="AG15" s="65"/>
      <c r="AH15" s="64">
        <v>9</v>
      </c>
      <c r="AI15" s="64">
        <v>10</v>
      </c>
      <c r="AJ15" s="64">
        <v>12</v>
      </c>
      <c r="AK15" s="66">
        <v>19</v>
      </c>
    </row>
    <row r="16" spans="1:37">
      <c r="A16" s="63" t="s">
        <v>807</v>
      </c>
      <c r="B16" s="67">
        <v>10</v>
      </c>
      <c r="C16" s="67">
        <v>3</v>
      </c>
      <c r="D16" s="67">
        <v>6</v>
      </c>
      <c r="E16" s="67">
        <v>19</v>
      </c>
      <c r="F16" s="69"/>
      <c r="G16" s="67">
        <v>3</v>
      </c>
      <c r="H16" s="67">
        <v>14</v>
      </c>
      <c r="I16" s="67">
        <v>3</v>
      </c>
      <c r="J16" s="67">
        <v>7</v>
      </c>
      <c r="K16" s="67">
        <v>11</v>
      </c>
      <c r="L16" s="67">
        <v>4</v>
      </c>
      <c r="M16" s="67">
        <v>3</v>
      </c>
      <c r="N16" s="67">
        <v>7</v>
      </c>
      <c r="O16" s="67">
        <v>16</v>
      </c>
      <c r="P16" s="67">
        <v>9</v>
      </c>
      <c r="Q16" s="67">
        <v>-1</v>
      </c>
      <c r="R16" s="67">
        <v>6</v>
      </c>
      <c r="S16" s="67">
        <v>-1</v>
      </c>
      <c r="T16" s="67">
        <v>1</v>
      </c>
      <c r="U16" s="67">
        <v>3</v>
      </c>
      <c r="V16" s="67">
        <v>15</v>
      </c>
      <c r="W16" s="67">
        <v>2</v>
      </c>
      <c r="X16" s="67">
        <v>3</v>
      </c>
      <c r="Y16" s="67">
        <v>3</v>
      </c>
      <c r="Z16" s="67">
        <v>3</v>
      </c>
      <c r="AA16" s="69"/>
      <c r="AB16" s="67">
        <v>11</v>
      </c>
      <c r="AC16" s="67">
        <v>11</v>
      </c>
      <c r="AD16" s="67">
        <v>4</v>
      </c>
      <c r="AE16" s="67">
        <v>13</v>
      </c>
      <c r="AF16" s="69"/>
      <c r="AG16" s="69"/>
      <c r="AH16" s="67">
        <v>3</v>
      </c>
      <c r="AI16" s="67">
        <v>3</v>
      </c>
      <c r="AJ16" s="67">
        <v>5</v>
      </c>
      <c r="AK16" s="70">
        <v>12</v>
      </c>
    </row>
    <row r="17" spans="1:37">
      <c r="A17" s="63" t="s">
        <v>808</v>
      </c>
      <c r="B17" s="64">
        <v>10</v>
      </c>
      <c r="C17" s="64">
        <v>3</v>
      </c>
      <c r="D17" s="64">
        <v>6</v>
      </c>
      <c r="E17" s="64">
        <v>19</v>
      </c>
      <c r="F17" s="65"/>
      <c r="G17" s="64">
        <v>3</v>
      </c>
      <c r="H17" s="64">
        <v>14</v>
      </c>
      <c r="I17" s="64">
        <v>3</v>
      </c>
      <c r="J17" s="64">
        <v>7</v>
      </c>
      <c r="K17" s="64">
        <v>11</v>
      </c>
      <c r="L17" s="64">
        <v>4</v>
      </c>
      <c r="M17" s="64">
        <v>3</v>
      </c>
      <c r="N17" s="64">
        <v>7</v>
      </c>
      <c r="O17" s="64">
        <v>16</v>
      </c>
      <c r="P17" s="64">
        <v>9</v>
      </c>
      <c r="Q17" s="64">
        <v>-1</v>
      </c>
      <c r="R17" s="64">
        <v>6</v>
      </c>
      <c r="S17" s="64">
        <v>-1</v>
      </c>
      <c r="T17" s="64">
        <v>1</v>
      </c>
      <c r="U17" s="64">
        <v>3</v>
      </c>
      <c r="V17" s="64">
        <v>15</v>
      </c>
      <c r="W17" s="64">
        <v>2</v>
      </c>
      <c r="X17" s="64">
        <v>3</v>
      </c>
      <c r="Y17" s="64">
        <v>3</v>
      </c>
      <c r="Z17" s="64">
        <v>3</v>
      </c>
      <c r="AA17" s="65"/>
      <c r="AB17" s="64">
        <v>11</v>
      </c>
      <c r="AC17" s="64">
        <v>11</v>
      </c>
      <c r="AD17" s="64">
        <v>4</v>
      </c>
      <c r="AE17" s="64">
        <v>13</v>
      </c>
      <c r="AF17" s="65"/>
      <c r="AG17" s="65"/>
      <c r="AH17" s="64">
        <v>3</v>
      </c>
      <c r="AI17" s="64">
        <v>3</v>
      </c>
      <c r="AJ17" s="64">
        <v>5</v>
      </c>
      <c r="AK17" s="66">
        <v>12</v>
      </c>
    </row>
    <row r="18" spans="1:37">
      <c r="A18" s="63" t="s">
        <v>809</v>
      </c>
      <c r="B18" s="67">
        <v>7</v>
      </c>
      <c r="C18" s="67">
        <v>0</v>
      </c>
      <c r="D18" s="67">
        <v>3</v>
      </c>
      <c r="E18" s="67">
        <v>16</v>
      </c>
      <c r="F18" s="69"/>
      <c r="G18" s="67">
        <v>0</v>
      </c>
      <c r="H18" s="67">
        <v>11</v>
      </c>
      <c r="I18" s="67">
        <v>0</v>
      </c>
      <c r="J18" s="67">
        <v>4</v>
      </c>
      <c r="K18" s="67">
        <v>8</v>
      </c>
      <c r="L18" s="67">
        <v>1</v>
      </c>
      <c r="M18" s="67">
        <v>0</v>
      </c>
      <c r="N18" s="67">
        <v>4</v>
      </c>
      <c r="O18" s="67">
        <v>13</v>
      </c>
      <c r="P18" s="67">
        <v>6</v>
      </c>
      <c r="Q18" s="67">
        <v>-4</v>
      </c>
      <c r="R18" s="67">
        <v>3</v>
      </c>
      <c r="S18" s="67">
        <v>-4</v>
      </c>
      <c r="T18" s="67">
        <v>-1</v>
      </c>
      <c r="U18" s="67">
        <v>0</v>
      </c>
      <c r="V18" s="67">
        <v>13</v>
      </c>
      <c r="W18" s="67">
        <v>0</v>
      </c>
      <c r="X18" s="67">
        <v>0</v>
      </c>
      <c r="Y18" s="67">
        <v>0</v>
      </c>
      <c r="Z18" s="67">
        <v>0</v>
      </c>
      <c r="AA18" s="69"/>
      <c r="AB18" s="67">
        <v>8</v>
      </c>
      <c r="AC18" s="67">
        <v>7</v>
      </c>
      <c r="AD18" s="67">
        <v>0</v>
      </c>
      <c r="AE18" s="67">
        <v>11</v>
      </c>
      <c r="AF18" s="69"/>
      <c r="AG18" s="69"/>
      <c r="AH18" s="67">
        <v>0</v>
      </c>
      <c r="AI18" s="67">
        <v>0</v>
      </c>
      <c r="AJ18" s="67">
        <v>2</v>
      </c>
      <c r="AK18" s="70">
        <v>8</v>
      </c>
    </row>
    <row r="19" spans="1:37">
      <c r="A19" s="63" t="s">
        <v>810</v>
      </c>
      <c r="B19" s="64">
        <v>87</v>
      </c>
      <c r="C19" s="64">
        <v>98</v>
      </c>
      <c r="D19" s="64">
        <v>93</v>
      </c>
      <c r="E19" s="64">
        <v>67</v>
      </c>
      <c r="F19" s="65"/>
      <c r="G19" s="64">
        <v>82</v>
      </c>
      <c r="H19" s="64">
        <v>76</v>
      </c>
      <c r="I19" s="64">
        <v>82</v>
      </c>
      <c r="J19" s="64">
        <v>80</v>
      </c>
      <c r="K19" s="64">
        <v>85</v>
      </c>
      <c r="L19" s="64">
        <v>80</v>
      </c>
      <c r="M19" s="64">
        <v>104</v>
      </c>
      <c r="N19" s="64">
        <v>83</v>
      </c>
      <c r="O19" s="64">
        <v>73</v>
      </c>
      <c r="P19" s="64">
        <v>87</v>
      </c>
      <c r="Q19" s="64">
        <v>103</v>
      </c>
      <c r="R19" s="64">
        <v>88</v>
      </c>
      <c r="S19" s="64">
        <v>108</v>
      </c>
      <c r="T19" s="64">
        <v>111</v>
      </c>
      <c r="U19" s="64">
        <v>99</v>
      </c>
      <c r="V19" s="64">
        <v>110</v>
      </c>
      <c r="W19" s="64">
        <v>129</v>
      </c>
      <c r="X19" s="64">
        <v>92</v>
      </c>
      <c r="Y19" s="64">
        <v>86</v>
      </c>
      <c r="Z19" s="64">
        <v>91</v>
      </c>
      <c r="AA19" s="65"/>
      <c r="AB19" s="64">
        <v>82</v>
      </c>
      <c r="AC19" s="64">
        <v>70</v>
      </c>
      <c r="AD19" s="64">
        <v>72</v>
      </c>
      <c r="AE19" s="64">
        <v>89</v>
      </c>
      <c r="AF19" s="65"/>
      <c r="AG19" s="65"/>
      <c r="AH19" s="64">
        <v>102</v>
      </c>
      <c r="AI19" s="64">
        <v>83</v>
      </c>
      <c r="AJ19" s="64">
        <v>86</v>
      </c>
      <c r="AK19" s="66">
        <v>72</v>
      </c>
    </row>
    <row r="20" spans="1:37">
      <c r="A20" s="63" t="s">
        <v>811</v>
      </c>
      <c r="B20" s="67">
        <v>87</v>
      </c>
      <c r="C20" s="67">
        <v>98</v>
      </c>
      <c r="D20" s="67">
        <v>93</v>
      </c>
      <c r="E20" s="67">
        <v>67</v>
      </c>
      <c r="F20" s="69"/>
      <c r="G20" s="67">
        <v>82</v>
      </c>
      <c r="H20" s="67">
        <v>76</v>
      </c>
      <c r="I20" s="67">
        <v>82</v>
      </c>
      <c r="J20" s="67">
        <v>80</v>
      </c>
      <c r="K20" s="67">
        <v>85</v>
      </c>
      <c r="L20" s="67">
        <v>80</v>
      </c>
      <c r="M20" s="67">
        <v>104</v>
      </c>
      <c r="N20" s="67">
        <v>83</v>
      </c>
      <c r="O20" s="67">
        <v>73</v>
      </c>
      <c r="P20" s="67">
        <v>87</v>
      </c>
      <c r="Q20" s="67">
        <v>103</v>
      </c>
      <c r="R20" s="67">
        <v>88</v>
      </c>
      <c r="S20" s="67">
        <v>108</v>
      </c>
      <c r="T20" s="67">
        <v>111</v>
      </c>
      <c r="U20" s="67">
        <v>99</v>
      </c>
      <c r="V20" s="67">
        <v>110</v>
      </c>
      <c r="W20" s="67">
        <v>129</v>
      </c>
      <c r="X20" s="67">
        <v>92</v>
      </c>
      <c r="Y20" s="67">
        <v>86</v>
      </c>
      <c r="Z20" s="67">
        <v>91</v>
      </c>
      <c r="AA20" s="69"/>
      <c r="AB20" s="67">
        <v>82</v>
      </c>
      <c r="AC20" s="67">
        <v>70</v>
      </c>
      <c r="AD20" s="67">
        <v>72</v>
      </c>
      <c r="AE20" s="67">
        <v>89</v>
      </c>
      <c r="AF20" s="69"/>
      <c r="AG20" s="69"/>
      <c r="AH20" s="67">
        <v>102</v>
      </c>
      <c r="AI20" s="67">
        <v>83</v>
      </c>
      <c r="AJ20" s="67">
        <v>86</v>
      </c>
      <c r="AK20" s="70">
        <v>72</v>
      </c>
    </row>
    <row r="21" spans="1:37">
      <c r="A21" s="63" t="s">
        <v>812</v>
      </c>
      <c r="B21" s="64">
        <v>61</v>
      </c>
      <c r="C21" s="64">
        <v>91</v>
      </c>
      <c r="D21" s="64">
        <v>82</v>
      </c>
      <c r="E21" s="64">
        <v>41</v>
      </c>
      <c r="F21" s="65"/>
      <c r="G21" s="64">
        <v>73</v>
      </c>
      <c r="H21" s="64">
        <v>51</v>
      </c>
      <c r="I21" s="64">
        <v>52</v>
      </c>
      <c r="J21" s="64">
        <v>67</v>
      </c>
      <c r="K21" s="64">
        <v>54</v>
      </c>
      <c r="L21" s="64">
        <v>73</v>
      </c>
      <c r="M21" s="64">
        <v>96</v>
      </c>
      <c r="N21" s="64">
        <v>65</v>
      </c>
      <c r="O21" s="64">
        <v>43</v>
      </c>
      <c r="P21" s="64">
        <v>87</v>
      </c>
      <c r="Q21" s="64">
        <v>76</v>
      </c>
      <c r="R21" s="64">
        <v>73</v>
      </c>
      <c r="S21" s="64">
        <v>93</v>
      </c>
      <c r="T21" s="64">
        <v>94</v>
      </c>
      <c r="U21" s="64">
        <v>79</v>
      </c>
      <c r="V21" s="64">
        <v>101</v>
      </c>
      <c r="W21" s="64">
        <v>129</v>
      </c>
      <c r="X21" s="64">
        <v>92</v>
      </c>
      <c r="Y21" s="64">
        <v>83</v>
      </c>
      <c r="Z21" s="64">
        <v>89</v>
      </c>
      <c r="AA21" s="65"/>
      <c r="AB21" s="64">
        <v>56</v>
      </c>
      <c r="AC21" s="64">
        <v>70</v>
      </c>
      <c r="AD21" s="64">
        <v>72</v>
      </c>
      <c r="AE21" s="64">
        <v>89</v>
      </c>
      <c r="AF21" s="65"/>
      <c r="AG21" s="65"/>
      <c r="AH21" s="64">
        <v>100</v>
      </c>
      <c r="AI21" s="64">
        <v>59</v>
      </c>
      <c r="AJ21" s="64">
        <v>76</v>
      </c>
      <c r="AK21" s="66">
        <v>49</v>
      </c>
    </row>
    <row r="22" spans="1:37">
      <c r="A22" s="63" t="s">
        <v>813</v>
      </c>
      <c r="B22" s="67">
        <v>53</v>
      </c>
      <c r="C22" s="67">
        <v>83</v>
      </c>
      <c r="D22" s="67">
        <v>74</v>
      </c>
      <c r="E22" s="67">
        <v>33</v>
      </c>
      <c r="F22" s="69"/>
      <c r="G22" s="67">
        <v>64</v>
      </c>
      <c r="H22" s="67">
        <v>43</v>
      </c>
      <c r="I22" s="67">
        <v>43</v>
      </c>
      <c r="J22" s="67">
        <v>58</v>
      </c>
      <c r="K22" s="67">
        <v>46</v>
      </c>
      <c r="L22" s="67">
        <v>64</v>
      </c>
      <c r="M22" s="67">
        <v>89</v>
      </c>
      <c r="N22" s="67">
        <v>57</v>
      </c>
      <c r="O22" s="67">
        <v>34</v>
      </c>
      <c r="P22" s="67">
        <v>79</v>
      </c>
      <c r="Q22" s="67">
        <v>68</v>
      </c>
      <c r="R22" s="67">
        <v>65</v>
      </c>
      <c r="S22" s="67">
        <v>85</v>
      </c>
      <c r="T22" s="67">
        <v>87</v>
      </c>
      <c r="U22" s="67">
        <v>72</v>
      </c>
      <c r="V22" s="67">
        <v>95</v>
      </c>
      <c r="W22" s="67">
        <v>123</v>
      </c>
      <c r="X22" s="67">
        <v>84</v>
      </c>
      <c r="Y22" s="67">
        <v>75</v>
      </c>
      <c r="Z22" s="67">
        <v>81</v>
      </c>
      <c r="AA22" s="69"/>
      <c r="AB22" s="67">
        <v>48</v>
      </c>
      <c r="AC22" s="67">
        <v>60</v>
      </c>
      <c r="AD22" s="67">
        <v>63</v>
      </c>
      <c r="AE22" s="67">
        <v>83</v>
      </c>
      <c r="AF22" s="69"/>
      <c r="AG22" s="69"/>
      <c r="AH22" s="67">
        <v>92</v>
      </c>
      <c r="AI22" s="67">
        <v>50</v>
      </c>
      <c r="AJ22" s="67">
        <v>68</v>
      </c>
      <c r="AK22" s="70">
        <v>40</v>
      </c>
    </row>
    <row r="23" spans="1:37">
      <c r="A23" s="63" t="s">
        <v>814</v>
      </c>
      <c r="B23" s="64">
        <v>79</v>
      </c>
      <c r="C23" s="64">
        <v>91</v>
      </c>
      <c r="D23" s="64">
        <v>85</v>
      </c>
      <c r="E23" s="64">
        <v>58</v>
      </c>
      <c r="F23" s="65"/>
      <c r="G23" s="64">
        <v>73</v>
      </c>
      <c r="H23" s="64">
        <v>68</v>
      </c>
      <c r="I23" s="64">
        <v>73</v>
      </c>
      <c r="J23" s="64">
        <v>71</v>
      </c>
      <c r="K23" s="64">
        <v>77</v>
      </c>
      <c r="L23" s="64">
        <v>72</v>
      </c>
      <c r="M23" s="64">
        <v>97</v>
      </c>
      <c r="N23" s="64">
        <v>74</v>
      </c>
      <c r="O23" s="64">
        <v>64</v>
      </c>
      <c r="P23" s="64">
        <v>79</v>
      </c>
      <c r="Q23" s="64">
        <v>95</v>
      </c>
      <c r="R23" s="64">
        <v>80</v>
      </c>
      <c r="S23" s="64">
        <v>101</v>
      </c>
      <c r="T23" s="64">
        <v>105</v>
      </c>
      <c r="U23" s="64">
        <v>92</v>
      </c>
      <c r="V23" s="64">
        <v>104</v>
      </c>
      <c r="W23" s="64">
        <v>123</v>
      </c>
      <c r="X23" s="64">
        <v>84</v>
      </c>
      <c r="Y23" s="64">
        <v>77</v>
      </c>
      <c r="Z23" s="64">
        <v>83</v>
      </c>
      <c r="AA23" s="65"/>
      <c r="AB23" s="64">
        <v>74</v>
      </c>
      <c r="AC23" s="64">
        <v>60</v>
      </c>
      <c r="AD23" s="64">
        <v>63</v>
      </c>
      <c r="AE23" s="64">
        <v>83</v>
      </c>
      <c r="AF23" s="65"/>
      <c r="AG23" s="65"/>
      <c r="AH23" s="64">
        <v>95</v>
      </c>
      <c r="AI23" s="64">
        <v>74</v>
      </c>
      <c r="AJ23" s="64">
        <v>78</v>
      </c>
      <c r="AK23" s="66">
        <v>63</v>
      </c>
    </row>
    <row r="24" spans="1:37">
      <c r="A24" s="63" t="s">
        <v>815</v>
      </c>
      <c r="B24" s="67">
        <v>79</v>
      </c>
      <c r="C24" s="67">
        <v>91</v>
      </c>
      <c r="D24" s="67">
        <v>85</v>
      </c>
      <c r="E24" s="67">
        <v>58</v>
      </c>
      <c r="F24" s="69"/>
      <c r="G24" s="67">
        <v>73</v>
      </c>
      <c r="H24" s="67">
        <v>68</v>
      </c>
      <c r="I24" s="67">
        <v>73</v>
      </c>
      <c r="J24" s="67">
        <v>71</v>
      </c>
      <c r="K24" s="67">
        <v>77</v>
      </c>
      <c r="L24" s="67">
        <v>72</v>
      </c>
      <c r="M24" s="67">
        <v>97</v>
      </c>
      <c r="N24" s="67">
        <v>74</v>
      </c>
      <c r="O24" s="67">
        <v>64</v>
      </c>
      <c r="P24" s="67">
        <v>79</v>
      </c>
      <c r="Q24" s="67">
        <v>95</v>
      </c>
      <c r="R24" s="67">
        <v>80</v>
      </c>
      <c r="S24" s="67">
        <v>101</v>
      </c>
      <c r="T24" s="67">
        <v>105</v>
      </c>
      <c r="U24" s="67">
        <v>92</v>
      </c>
      <c r="V24" s="67">
        <v>104</v>
      </c>
      <c r="W24" s="67">
        <v>123</v>
      </c>
      <c r="X24" s="67">
        <v>84</v>
      </c>
      <c r="Y24" s="67">
        <v>77</v>
      </c>
      <c r="Z24" s="67">
        <v>83</v>
      </c>
      <c r="AA24" s="69"/>
      <c r="AB24" s="67">
        <v>74</v>
      </c>
      <c r="AC24" s="67">
        <v>60</v>
      </c>
      <c r="AD24" s="67">
        <v>63</v>
      </c>
      <c r="AE24" s="67">
        <v>83</v>
      </c>
      <c r="AF24" s="69"/>
      <c r="AG24" s="69"/>
      <c r="AH24" s="67">
        <v>95</v>
      </c>
      <c r="AI24" s="67">
        <v>74</v>
      </c>
      <c r="AJ24" s="67">
        <v>78</v>
      </c>
      <c r="AK24" s="70">
        <v>63</v>
      </c>
    </row>
    <row r="25" spans="1:37">
      <c r="A25" s="63" t="s">
        <v>816</v>
      </c>
      <c r="B25" s="64">
        <v>100</v>
      </c>
      <c r="C25" s="64">
        <v>98</v>
      </c>
      <c r="D25" s="64">
        <v>96</v>
      </c>
      <c r="E25" s="64">
        <v>81</v>
      </c>
      <c r="F25" s="65"/>
      <c r="G25" s="64">
        <v>81</v>
      </c>
      <c r="H25" s="64">
        <v>90</v>
      </c>
      <c r="I25" s="64">
        <v>95</v>
      </c>
      <c r="J25" s="64">
        <v>85</v>
      </c>
      <c r="K25" s="64">
        <v>98</v>
      </c>
      <c r="L25" s="64">
        <v>79</v>
      </c>
      <c r="M25" s="64">
        <v>105</v>
      </c>
      <c r="N25" s="64">
        <v>92</v>
      </c>
      <c r="O25" s="64">
        <v>87</v>
      </c>
      <c r="P25" s="64">
        <v>79</v>
      </c>
      <c r="Q25" s="64">
        <v>115</v>
      </c>
      <c r="R25" s="64">
        <v>94</v>
      </c>
      <c r="S25" s="64">
        <v>117</v>
      </c>
      <c r="T25" s="64">
        <v>122</v>
      </c>
      <c r="U25" s="64">
        <v>111</v>
      </c>
      <c r="V25" s="64">
        <v>112</v>
      </c>
      <c r="W25" s="64">
        <v>123</v>
      </c>
      <c r="X25" s="64">
        <v>84</v>
      </c>
      <c r="Y25" s="64">
        <v>79</v>
      </c>
      <c r="Z25" s="64">
        <v>85</v>
      </c>
      <c r="AA25" s="65"/>
      <c r="AB25" s="64">
        <v>96</v>
      </c>
      <c r="AC25" s="64">
        <v>60</v>
      </c>
      <c r="AD25" s="64">
        <v>63</v>
      </c>
      <c r="AE25" s="64">
        <v>83</v>
      </c>
      <c r="AF25" s="65"/>
      <c r="AG25" s="65"/>
      <c r="AH25" s="64">
        <v>97</v>
      </c>
      <c r="AI25" s="64">
        <v>85</v>
      </c>
      <c r="AJ25" s="64">
        <v>87</v>
      </c>
      <c r="AK25" s="66">
        <v>86</v>
      </c>
    </row>
    <row r="26" spans="1:37">
      <c r="A26" s="63" t="s">
        <v>817</v>
      </c>
      <c r="B26" s="67">
        <v>0</v>
      </c>
      <c r="C26" s="67">
        <v>13</v>
      </c>
      <c r="D26" s="67">
        <v>10</v>
      </c>
      <c r="E26" s="67">
        <v>0</v>
      </c>
      <c r="F26" s="69"/>
      <c r="G26" s="67">
        <v>15</v>
      </c>
      <c r="H26" s="67">
        <v>0</v>
      </c>
      <c r="I26" s="67">
        <v>1</v>
      </c>
      <c r="J26" s="67">
        <v>10</v>
      </c>
      <c r="K26" s="67">
        <v>0</v>
      </c>
      <c r="L26" s="67">
        <v>16</v>
      </c>
      <c r="M26" s="67">
        <v>11</v>
      </c>
      <c r="N26" s="67">
        <v>5</v>
      </c>
      <c r="O26" s="67">
        <v>0</v>
      </c>
      <c r="P26" s="67">
        <v>21</v>
      </c>
      <c r="Q26" s="67">
        <v>0</v>
      </c>
      <c r="R26" s="67">
        <v>7</v>
      </c>
      <c r="S26" s="67">
        <v>3</v>
      </c>
      <c r="T26" s="67">
        <v>0</v>
      </c>
      <c r="U26" s="67">
        <v>0</v>
      </c>
      <c r="V26" s="67">
        <v>7</v>
      </c>
      <c r="W26" s="67">
        <v>14</v>
      </c>
      <c r="X26" s="67">
        <v>21</v>
      </c>
      <c r="Y26" s="67">
        <v>20</v>
      </c>
      <c r="Z26" s="67">
        <v>20</v>
      </c>
      <c r="AA26" s="69"/>
      <c r="AB26" s="67">
        <v>0</v>
      </c>
      <c r="AC26" s="67">
        <v>25</v>
      </c>
      <c r="AD26" s="67">
        <v>24</v>
      </c>
      <c r="AE26" s="67">
        <v>17</v>
      </c>
      <c r="AF26" s="69"/>
      <c r="AG26" s="69"/>
      <c r="AH26" s="67">
        <v>17</v>
      </c>
      <c r="AI26" s="67">
        <v>12</v>
      </c>
      <c r="AJ26" s="67">
        <v>13</v>
      </c>
      <c r="AK26" s="70">
        <v>0</v>
      </c>
    </row>
    <row r="27" spans="1:37">
      <c r="A27" s="63" t="s">
        <v>818</v>
      </c>
      <c r="B27" s="64">
        <v>5</v>
      </c>
      <c r="C27" s="64">
        <v>0</v>
      </c>
      <c r="D27" s="64">
        <v>0</v>
      </c>
      <c r="E27" s="64">
        <v>2</v>
      </c>
      <c r="F27" s="65"/>
      <c r="G27" s="64">
        <v>0</v>
      </c>
      <c r="H27" s="64">
        <v>3</v>
      </c>
      <c r="I27" s="64">
        <v>8</v>
      </c>
      <c r="J27" s="64">
        <v>0</v>
      </c>
      <c r="K27" s="64">
        <v>10</v>
      </c>
      <c r="L27" s="64">
        <v>0</v>
      </c>
      <c r="M27" s="64">
        <v>0</v>
      </c>
      <c r="N27" s="64">
        <v>0</v>
      </c>
      <c r="O27" s="64">
        <v>7</v>
      </c>
      <c r="P27" s="64">
        <v>0</v>
      </c>
      <c r="Q27" s="64">
        <v>7</v>
      </c>
      <c r="R27" s="64">
        <v>0</v>
      </c>
      <c r="S27" s="64">
        <v>0</v>
      </c>
      <c r="T27" s="64">
        <v>0</v>
      </c>
      <c r="U27" s="64">
        <v>0</v>
      </c>
      <c r="V27" s="64">
        <v>0</v>
      </c>
      <c r="W27" s="64">
        <v>0</v>
      </c>
      <c r="X27" s="64">
        <v>0</v>
      </c>
      <c r="Y27" s="64">
        <v>0</v>
      </c>
      <c r="Z27" s="64">
        <v>0</v>
      </c>
      <c r="AA27" s="65"/>
      <c r="AB27" s="64">
        <v>4</v>
      </c>
      <c r="AC27" s="64">
        <v>0</v>
      </c>
      <c r="AD27" s="64">
        <v>0</v>
      </c>
      <c r="AE27" s="64">
        <v>0</v>
      </c>
      <c r="AF27" s="65"/>
      <c r="AG27" s="65"/>
      <c r="AH27" s="64">
        <v>0</v>
      </c>
      <c r="AI27" s="64">
        <v>14</v>
      </c>
      <c r="AJ27" s="64">
        <v>0</v>
      </c>
      <c r="AK27" s="66">
        <v>0</v>
      </c>
    </row>
    <row r="28" spans="1:37">
      <c r="A28" s="63" t="s">
        <v>819</v>
      </c>
      <c r="B28" s="67">
        <v>26</v>
      </c>
      <c r="C28" s="67">
        <v>7</v>
      </c>
      <c r="D28" s="67">
        <v>11</v>
      </c>
      <c r="E28" s="67">
        <v>25</v>
      </c>
      <c r="F28" s="69"/>
      <c r="G28" s="67">
        <v>8</v>
      </c>
      <c r="H28" s="67">
        <v>25</v>
      </c>
      <c r="I28" s="67">
        <v>30</v>
      </c>
      <c r="J28" s="67">
        <v>13</v>
      </c>
      <c r="K28" s="67">
        <v>31</v>
      </c>
      <c r="L28" s="67">
        <v>7</v>
      </c>
      <c r="M28" s="67">
        <v>8</v>
      </c>
      <c r="N28" s="67">
        <v>18</v>
      </c>
      <c r="O28" s="67">
        <v>30</v>
      </c>
      <c r="P28" s="67">
        <v>0</v>
      </c>
      <c r="Q28" s="67">
        <v>27</v>
      </c>
      <c r="R28" s="67">
        <v>15</v>
      </c>
      <c r="S28" s="67">
        <v>16</v>
      </c>
      <c r="T28" s="67">
        <v>17</v>
      </c>
      <c r="U28" s="67">
        <v>20</v>
      </c>
      <c r="V28" s="67">
        <v>8</v>
      </c>
      <c r="W28" s="67">
        <v>0</v>
      </c>
      <c r="X28" s="67">
        <v>0</v>
      </c>
      <c r="Y28" s="67">
        <v>2</v>
      </c>
      <c r="Z28" s="67">
        <v>2</v>
      </c>
      <c r="AA28" s="69"/>
      <c r="AB28" s="67">
        <v>26</v>
      </c>
      <c r="AC28" s="68" t="s">
        <v>795</v>
      </c>
      <c r="AD28" s="68" t="s">
        <v>795</v>
      </c>
      <c r="AE28" s="68" t="s">
        <v>795</v>
      </c>
      <c r="AF28" s="69"/>
      <c r="AG28" s="69"/>
      <c r="AH28" s="67">
        <v>2</v>
      </c>
      <c r="AI28" s="67">
        <v>24</v>
      </c>
      <c r="AJ28" s="67">
        <v>10</v>
      </c>
      <c r="AK28" s="70">
        <v>23</v>
      </c>
    </row>
    <row r="29" spans="1:37">
      <c r="A29" s="63" t="s">
        <v>820</v>
      </c>
      <c r="B29" s="64">
        <v>26</v>
      </c>
      <c r="C29" s="64">
        <v>7</v>
      </c>
      <c r="D29" s="64">
        <v>11</v>
      </c>
      <c r="E29" s="64">
        <v>25</v>
      </c>
      <c r="F29" s="65"/>
      <c r="G29" s="64">
        <v>8</v>
      </c>
      <c r="H29" s="64">
        <v>25</v>
      </c>
      <c r="I29" s="64">
        <v>30</v>
      </c>
      <c r="J29" s="64">
        <v>13</v>
      </c>
      <c r="K29" s="64">
        <v>31</v>
      </c>
      <c r="L29" s="64">
        <v>7</v>
      </c>
      <c r="M29" s="64">
        <v>8</v>
      </c>
      <c r="N29" s="64">
        <v>18</v>
      </c>
      <c r="O29" s="64">
        <v>30</v>
      </c>
      <c r="P29" s="64">
        <v>0</v>
      </c>
      <c r="Q29" s="64">
        <v>27</v>
      </c>
      <c r="R29" s="64">
        <v>15</v>
      </c>
      <c r="S29" s="64">
        <v>16</v>
      </c>
      <c r="T29" s="64">
        <v>17</v>
      </c>
      <c r="U29" s="64">
        <v>20</v>
      </c>
      <c r="V29" s="64">
        <v>8</v>
      </c>
      <c r="W29" s="64">
        <v>0</v>
      </c>
      <c r="X29" s="64">
        <v>0</v>
      </c>
      <c r="Y29" s="64">
        <v>2</v>
      </c>
      <c r="Z29" s="64">
        <v>2</v>
      </c>
      <c r="AA29" s="65"/>
      <c r="AB29" s="64">
        <v>26</v>
      </c>
      <c r="AC29" s="71" t="s">
        <v>795</v>
      </c>
      <c r="AD29" s="71" t="s">
        <v>795</v>
      </c>
      <c r="AE29" s="71" t="s">
        <v>795</v>
      </c>
      <c r="AF29" s="65"/>
      <c r="AG29" s="65"/>
      <c r="AH29" s="64">
        <v>2</v>
      </c>
      <c r="AI29" s="64">
        <v>24</v>
      </c>
      <c r="AJ29" s="64">
        <v>10</v>
      </c>
      <c r="AK29" s="66">
        <v>23</v>
      </c>
    </row>
    <row r="30" spans="1:37">
      <c r="A30" s="63" t="s">
        <v>821</v>
      </c>
      <c r="B30" s="68" t="s">
        <v>795</v>
      </c>
      <c r="C30" s="68" t="s">
        <v>795</v>
      </c>
      <c r="D30" s="68" t="s">
        <v>795</v>
      </c>
      <c r="E30" s="67">
        <v>37</v>
      </c>
      <c r="F30" s="69"/>
      <c r="G30" s="68" t="s">
        <v>795</v>
      </c>
      <c r="H30" s="68" t="s">
        <v>795</v>
      </c>
      <c r="I30" s="68" t="s">
        <v>795</v>
      </c>
      <c r="J30" s="68" t="s">
        <v>795</v>
      </c>
      <c r="K30" s="68" t="s">
        <v>795</v>
      </c>
      <c r="L30" s="68" t="s">
        <v>795</v>
      </c>
      <c r="M30" s="68" t="s">
        <v>795</v>
      </c>
      <c r="N30" s="68" t="s">
        <v>795</v>
      </c>
      <c r="O30" s="68" t="s">
        <v>795</v>
      </c>
      <c r="P30" s="68" t="s">
        <v>795</v>
      </c>
      <c r="Q30" s="68" t="s">
        <v>795</v>
      </c>
      <c r="R30" s="67">
        <v>0</v>
      </c>
      <c r="S30" s="67">
        <v>0</v>
      </c>
      <c r="T30" s="67">
        <v>0</v>
      </c>
      <c r="U30" s="67">
        <v>20</v>
      </c>
      <c r="V30" s="68" t="s">
        <v>795</v>
      </c>
      <c r="W30" s="67">
        <v>13</v>
      </c>
      <c r="X30" s="68" t="s">
        <v>795</v>
      </c>
      <c r="Y30" s="68" t="s">
        <v>795</v>
      </c>
      <c r="Z30" s="68" t="s">
        <v>795</v>
      </c>
      <c r="AA30" s="69"/>
      <c r="AB30" s="68" t="s">
        <v>795</v>
      </c>
      <c r="AC30" s="68" t="s">
        <v>795</v>
      </c>
      <c r="AD30" s="68" t="s">
        <v>795</v>
      </c>
      <c r="AE30" s="68" t="s">
        <v>795</v>
      </c>
      <c r="AF30" s="69"/>
      <c r="AG30" s="69"/>
      <c r="AH30" s="68" t="s">
        <v>795</v>
      </c>
      <c r="AI30" s="68" t="s">
        <v>795</v>
      </c>
      <c r="AJ30" s="68" t="s">
        <v>795</v>
      </c>
      <c r="AK30" s="72" t="s">
        <v>795</v>
      </c>
    </row>
    <row r="31" spans="1:37">
      <c r="A31" s="63" t="s">
        <v>822</v>
      </c>
      <c r="B31" s="64">
        <v>0</v>
      </c>
      <c r="C31" s="64">
        <v>0</v>
      </c>
      <c r="D31" s="64">
        <v>0</v>
      </c>
      <c r="E31" s="64">
        <v>0</v>
      </c>
      <c r="F31" s="65"/>
      <c r="G31" s="64">
        <v>0</v>
      </c>
      <c r="H31" s="64">
        <v>0</v>
      </c>
      <c r="I31" s="64">
        <v>0</v>
      </c>
      <c r="J31" s="64">
        <v>0</v>
      </c>
      <c r="K31" s="64">
        <v>0</v>
      </c>
      <c r="L31" s="64">
        <v>0</v>
      </c>
      <c r="M31" s="64">
        <v>0</v>
      </c>
      <c r="N31" s="64">
        <v>0</v>
      </c>
      <c r="O31" s="64">
        <v>0</v>
      </c>
      <c r="P31" s="64">
        <v>0</v>
      </c>
      <c r="Q31" s="64">
        <v>0</v>
      </c>
      <c r="R31" s="64">
        <v>0</v>
      </c>
      <c r="S31" s="64">
        <v>0</v>
      </c>
      <c r="T31" s="64">
        <v>0</v>
      </c>
      <c r="U31" s="64">
        <v>0</v>
      </c>
      <c r="V31" s="64">
        <v>0</v>
      </c>
      <c r="W31" s="64">
        <v>0</v>
      </c>
      <c r="X31" s="64">
        <v>0</v>
      </c>
      <c r="Y31" s="64">
        <v>0</v>
      </c>
      <c r="Z31" s="64">
        <v>0</v>
      </c>
      <c r="AA31" s="65"/>
      <c r="AB31" s="64">
        <v>0</v>
      </c>
      <c r="AC31" s="64">
        <v>0</v>
      </c>
      <c r="AD31" s="64">
        <v>7</v>
      </c>
      <c r="AE31" s="64">
        <v>14</v>
      </c>
      <c r="AF31" s="65"/>
      <c r="AG31" s="65"/>
      <c r="AH31" s="64">
        <v>0</v>
      </c>
      <c r="AI31" s="64">
        <v>0</v>
      </c>
      <c r="AJ31" s="64">
        <v>0</v>
      </c>
      <c r="AK31" s="66">
        <v>0</v>
      </c>
    </row>
    <row r="32" spans="1:37">
      <c r="A32" s="63" t="s">
        <v>823</v>
      </c>
      <c r="B32" s="67">
        <v>0</v>
      </c>
      <c r="C32" s="67">
        <v>0</v>
      </c>
      <c r="D32" s="67">
        <v>0</v>
      </c>
      <c r="E32" s="67">
        <v>0</v>
      </c>
      <c r="F32" s="69"/>
      <c r="G32" s="67">
        <v>0</v>
      </c>
      <c r="H32" s="67">
        <v>0</v>
      </c>
      <c r="I32" s="67">
        <v>0</v>
      </c>
      <c r="J32" s="67">
        <v>0</v>
      </c>
      <c r="K32" s="67">
        <v>0</v>
      </c>
      <c r="L32" s="67">
        <v>0</v>
      </c>
      <c r="M32" s="67">
        <v>0</v>
      </c>
      <c r="N32" s="67">
        <v>0</v>
      </c>
      <c r="O32" s="67">
        <v>0</v>
      </c>
      <c r="P32" s="67">
        <v>0</v>
      </c>
      <c r="Q32" s="67">
        <v>0</v>
      </c>
      <c r="R32" s="67">
        <v>0</v>
      </c>
      <c r="S32" s="67">
        <v>0</v>
      </c>
      <c r="T32" s="67">
        <v>0</v>
      </c>
      <c r="U32" s="67">
        <v>0</v>
      </c>
      <c r="V32" s="67">
        <v>0</v>
      </c>
      <c r="W32" s="67">
        <v>0</v>
      </c>
      <c r="X32" s="67">
        <v>0</v>
      </c>
      <c r="Y32" s="67">
        <v>0</v>
      </c>
      <c r="Z32" s="67">
        <v>0</v>
      </c>
      <c r="AA32" s="69"/>
      <c r="AB32" s="67">
        <v>0</v>
      </c>
      <c r="AC32" s="67">
        <v>0</v>
      </c>
      <c r="AD32" s="67">
        <v>0</v>
      </c>
      <c r="AE32" s="67">
        <v>0</v>
      </c>
      <c r="AF32" s="69"/>
      <c r="AG32" s="69"/>
      <c r="AH32" s="67">
        <v>0</v>
      </c>
      <c r="AI32" s="67">
        <v>0</v>
      </c>
      <c r="AJ32" s="67">
        <v>0</v>
      </c>
      <c r="AK32" s="70">
        <v>0</v>
      </c>
    </row>
    <row r="33" spans="1:37">
      <c r="A33" s="63" t="s">
        <v>824</v>
      </c>
      <c r="B33" s="64">
        <v>0</v>
      </c>
      <c r="C33" s="64">
        <v>0</v>
      </c>
      <c r="D33" s="64">
        <v>0</v>
      </c>
      <c r="E33" s="64">
        <v>0</v>
      </c>
      <c r="F33" s="65"/>
      <c r="G33" s="64">
        <v>0</v>
      </c>
      <c r="H33" s="64">
        <v>0</v>
      </c>
      <c r="I33" s="64">
        <v>0</v>
      </c>
      <c r="J33" s="64">
        <v>0</v>
      </c>
      <c r="K33" s="64">
        <v>0</v>
      </c>
      <c r="L33" s="64">
        <v>0</v>
      </c>
      <c r="M33" s="64">
        <v>0</v>
      </c>
      <c r="N33" s="64">
        <v>0</v>
      </c>
      <c r="O33" s="64">
        <v>0</v>
      </c>
      <c r="P33" s="64">
        <v>0</v>
      </c>
      <c r="Q33" s="64">
        <v>0</v>
      </c>
      <c r="R33" s="64">
        <v>0</v>
      </c>
      <c r="S33" s="64">
        <v>0</v>
      </c>
      <c r="T33" s="64">
        <v>2</v>
      </c>
      <c r="U33" s="64">
        <v>0</v>
      </c>
      <c r="V33" s="64">
        <v>0</v>
      </c>
      <c r="W33" s="64">
        <v>0</v>
      </c>
      <c r="X33" s="64">
        <v>0</v>
      </c>
      <c r="Y33" s="64">
        <v>0</v>
      </c>
      <c r="Z33" s="64">
        <v>0</v>
      </c>
      <c r="AA33" s="65"/>
      <c r="AB33" s="64">
        <v>0</v>
      </c>
      <c r="AC33" s="64">
        <v>0</v>
      </c>
      <c r="AD33" s="64">
        <v>2</v>
      </c>
      <c r="AE33" s="64">
        <v>1</v>
      </c>
      <c r="AF33" s="65"/>
      <c r="AG33" s="65"/>
      <c r="AH33" s="64">
        <v>0</v>
      </c>
      <c r="AI33" s="64">
        <v>0</v>
      </c>
      <c r="AJ33" s="64">
        <v>0</v>
      </c>
      <c r="AK33" s="66">
        <v>0</v>
      </c>
    </row>
    <row r="34" spans="1:37">
      <c r="A34" s="63" t="s">
        <v>825</v>
      </c>
      <c r="B34" s="67">
        <v>1</v>
      </c>
      <c r="C34" s="67">
        <v>1</v>
      </c>
      <c r="D34" s="67">
        <v>1</v>
      </c>
      <c r="E34" s="67">
        <v>2</v>
      </c>
      <c r="F34" s="69"/>
      <c r="G34" s="67">
        <v>2</v>
      </c>
      <c r="H34" s="67">
        <v>2</v>
      </c>
      <c r="I34" s="67">
        <v>2</v>
      </c>
      <c r="J34" s="67">
        <v>2</v>
      </c>
      <c r="K34" s="67">
        <v>2</v>
      </c>
      <c r="L34" s="67">
        <v>2</v>
      </c>
      <c r="M34" s="67">
        <v>1</v>
      </c>
      <c r="N34" s="67">
        <v>2</v>
      </c>
      <c r="O34" s="67">
        <v>2</v>
      </c>
      <c r="P34" s="67">
        <v>2</v>
      </c>
      <c r="Q34" s="67">
        <v>1</v>
      </c>
      <c r="R34" s="67">
        <v>2</v>
      </c>
      <c r="S34" s="67">
        <v>1</v>
      </c>
      <c r="T34" s="67">
        <v>1</v>
      </c>
      <c r="U34" s="67">
        <v>1</v>
      </c>
      <c r="V34" s="67">
        <v>1</v>
      </c>
      <c r="W34" s="67">
        <v>1</v>
      </c>
      <c r="X34" s="67">
        <v>2</v>
      </c>
      <c r="Y34" s="67">
        <v>2</v>
      </c>
      <c r="Z34" s="67">
        <v>2</v>
      </c>
      <c r="AA34" s="69"/>
      <c r="AB34" s="67">
        <v>2</v>
      </c>
      <c r="AC34" s="67">
        <v>2</v>
      </c>
      <c r="AD34" s="67">
        <v>2</v>
      </c>
      <c r="AE34" s="67">
        <v>1</v>
      </c>
      <c r="AF34" s="69"/>
      <c r="AG34" s="69"/>
      <c r="AH34" s="67">
        <v>1</v>
      </c>
      <c r="AI34" s="67">
        <v>2</v>
      </c>
      <c r="AJ34" s="67">
        <v>2</v>
      </c>
      <c r="AK34" s="70">
        <v>2</v>
      </c>
    </row>
    <row r="35" spans="1:37">
      <c r="A35" s="63" t="s">
        <v>826</v>
      </c>
      <c r="B35" s="64">
        <v>1</v>
      </c>
      <c r="C35" s="64">
        <v>1</v>
      </c>
      <c r="D35" s="64">
        <v>1</v>
      </c>
      <c r="E35" s="64">
        <v>1</v>
      </c>
      <c r="F35" s="65"/>
      <c r="G35" s="64">
        <v>1</v>
      </c>
      <c r="H35" s="64">
        <v>1</v>
      </c>
      <c r="I35" s="64">
        <v>1</v>
      </c>
      <c r="J35" s="64">
        <v>1</v>
      </c>
      <c r="K35" s="64">
        <v>1</v>
      </c>
      <c r="L35" s="64">
        <v>1</v>
      </c>
      <c r="M35" s="64">
        <v>1</v>
      </c>
      <c r="N35" s="64">
        <v>1</v>
      </c>
      <c r="O35" s="64">
        <v>1</v>
      </c>
      <c r="P35" s="64">
        <v>1</v>
      </c>
      <c r="Q35" s="64">
        <v>1</v>
      </c>
      <c r="R35" s="64">
        <v>1</v>
      </c>
      <c r="S35" s="64">
        <v>1</v>
      </c>
      <c r="T35" s="64">
        <v>1</v>
      </c>
      <c r="U35" s="64">
        <v>1</v>
      </c>
      <c r="V35" s="64">
        <v>1</v>
      </c>
      <c r="W35" s="64">
        <v>1</v>
      </c>
      <c r="X35" s="64">
        <v>1</v>
      </c>
      <c r="Y35" s="64">
        <v>1</v>
      </c>
      <c r="Z35" s="64">
        <v>1</v>
      </c>
      <c r="AA35" s="65"/>
      <c r="AB35" s="64">
        <v>1</v>
      </c>
      <c r="AC35" s="64">
        <v>1</v>
      </c>
      <c r="AD35" s="64">
        <v>1</v>
      </c>
      <c r="AE35" s="64">
        <v>1</v>
      </c>
      <c r="AF35" s="65"/>
      <c r="AG35" s="65"/>
      <c r="AH35" s="64">
        <v>1</v>
      </c>
      <c r="AI35" s="64">
        <v>1</v>
      </c>
      <c r="AJ35" s="64">
        <v>1</v>
      </c>
      <c r="AK35" s="66">
        <v>1</v>
      </c>
    </row>
    <row r="36" spans="1:37">
      <c r="A36" s="63" t="s">
        <v>827</v>
      </c>
      <c r="B36" s="67">
        <v>7</v>
      </c>
      <c r="C36" s="67">
        <v>6</v>
      </c>
      <c r="D36" s="67">
        <v>6</v>
      </c>
      <c r="E36" s="67">
        <v>7</v>
      </c>
      <c r="F36" s="69"/>
      <c r="G36" s="67">
        <v>7</v>
      </c>
      <c r="H36" s="67">
        <v>7</v>
      </c>
      <c r="I36" s="67">
        <v>7</v>
      </c>
      <c r="J36" s="67">
        <v>7</v>
      </c>
      <c r="K36" s="67">
        <v>7</v>
      </c>
      <c r="L36" s="67">
        <v>7</v>
      </c>
      <c r="M36" s="67">
        <v>6</v>
      </c>
      <c r="N36" s="67">
        <v>7</v>
      </c>
      <c r="O36" s="67">
        <v>7</v>
      </c>
      <c r="P36" s="67">
        <v>7</v>
      </c>
      <c r="Q36" s="67">
        <v>6</v>
      </c>
      <c r="R36" s="67">
        <v>7</v>
      </c>
      <c r="S36" s="67">
        <v>6</v>
      </c>
      <c r="T36" s="67">
        <v>5</v>
      </c>
      <c r="U36" s="67">
        <v>6</v>
      </c>
      <c r="V36" s="67">
        <v>5</v>
      </c>
      <c r="W36" s="67">
        <v>4</v>
      </c>
      <c r="X36" s="67">
        <v>7</v>
      </c>
      <c r="Y36" s="67">
        <v>7</v>
      </c>
      <c r="Z36" s="67">
        <v>7</v>
      </c>
      <c r="AA36" s="69"/>
      <c r="AB36" s="67">
        <v>7</v>
      </c>
      <c r="AC36" s="67">
        <v>8</v>
      </c>
      <c r="AD36" s="67">
        <v>7</v>
      </c>
      <c r="AE36" s="67">
        <v>5</v>
      </c>
      <c r="AF36" s="69"/>
      <c r="AG36" s="69"/>
      <c r="AH36" s="67">
        <v>6</v>
      </c>
      <c r="AI36" s="67">
        <v>7</v>
      </c>
      <c r="AJ36" s="67">
        <v>7</v>
      </c>
      <c r="AK36" s="70">
        <v>7</v>
      </c>
    </row>
    <row r="37" spans="1:37">
      <c r="A37" s="63" t="s">
        <v>828</v>
      </c>
      <c r="B37" s="64">
        <v>3</v>
      </c>
      <c r="C37" s="64">
        <v>3</v>
      </c>
      <c r="D37" s="64">
        <v>3</v>
      </c>
      <c r="E37" s="64">
        <v>3</v>
      </c>
      <c r="F37" s="65"/>
      <c r="G37" s="64">
        <v>3</v>
      </c>
      <c r="H37" s="64">
        <v>3</v>
      </c>
      <c r="I37" s="64">
        <v>3</v>
      </c>
      <c r="J37" s="64">
        <v>3</v>
      </c>
      <c r="K37" s="64">
        <v>3</v>
      </c>
      <c r="L37" s="64">
        <v>3</v>
      </c>
      <c r="M37" s="64">
        <v>3</v>
      </c>
      <c r="N37" s="64">
        <v>3</v>
      </c>
      <c r="O37" s="64">
        <v>3</v>
      </c>
      <c r="P37" s="64">
        <v>3</v>
      </c>
      <c r="Q37" s="64">
        <v>3</v>
      </c>
      <c r="R37" s="64">
        <v>3</v>
      </c>
      <c r="S37" s="64">
        <v>3</v>
      </c>
      <c r="T37" s="64">
        <v>2</v>
      </c>
      <c r="U37" s="64">
        <v>3</v>
      </c>
      <c r="V37" s="64">
        <v>2</v>
      </c>
      <c r="W37" s="64">
        <v>2</v>
      </c>
      <c r="X37" s="64">
        <v>3</v>
      </c>
      <c r="Y37" s="64">
        <v>3</v>
      </c>
      <c r="Z37" s="64">
        <v>3</v>
      </c>
      <c r="AA37" s="65"/>
      <c r="AB37" s="64">
        <v>3</v>
      </c>
      <c r="AC37" s="64">
        <v>3</v>
      </c>
      <c r="AD37" s="64">
        <v>3</v>
      </c>
      <c r="AE37" s="64">
        <v>2</v>
      </c>
      <c r="AF37" s="65"/>
      <c r="AG37" s="65"/>
      <c r="AH37" s="64">
        <v>3</v>
      </c>
      <c r="AI37" s="64">
        <v>3</v>
      </c>
      <c r="AJ37" s="64">
        <v>3</v>
      </c>
      <c r="AK37" s="66">
        <v>3</v>
      </c>
    </row>
    <row r="38" spans="1:37">
      <c r="A38" s="63" t="s">
        <v>829</v>
      </c>
      <c r="B38" s="67">
        <v>1</v>
      </c>
      <c r="C38" s="67">
        <v>1</v>
      </c>
      <c r="D38" s="67">
        <v>1</v>
      </c>
      <c r="E38" s="67">
        <v>1</v>
      </c>
      <c r="F38" s="69"/>
      <c r="G38" s="67">
        <v>1</v>
      </c>
      <c r="H38" s="67">
        <v>1</v>
      </c>
      <c r="I38" s="67">
        <v>1</v>
      </c>
      <c r="J38" s="67">
        <v>1</v>
      </c>
      <c r="K38" s="67">
        <v>1</v>
      </c>
      <c r="L38" s="67">
        <v>1</v>
      </c>
      <c r="M38" s="67">
        <v>1</v>
      </c>
      <c r="N38" s="67">
        <v>1</v>
      </c>
      <c r="O38" s="67">
        <v>1</v>
      </c>
      <c r="P38" s="67">
        <v>1</v>
      </c>
      <c r="Q38" s="67">
        <v>1</v>
      </c>
      <c r="R38" s="67">
        <v>1</v>
      </c>
      <c r="S38" s="67">
        <v>1</v>
      </c>
      <c r="T38" s="67">
        <v>1</v>
      </c>
      <c r="U38" s="67">
        <v>1</v>
      </c>
      <c r="V38" s="67">
        <v>1</v>
      </c>
      <c r="W38" s="67">
        <v>1</v>
      </c>
      <c r="X38" s="67">
        <v>1</v>
      </c>
      <c r="Y38" s="67">
        <v>1</v>
      </c>
      <c r="Z38" s="67">
        <v>1</v>
      </c>
      <c r="AA38" s="69"/>
      <c r="AB38" s="67">
        <v>1</v>
      </c>
      <c r="AC38" s="67">
        <v>1</v>
      </c>
      <c r="AD38" s="67">
        <v>1</v>
      </c>
      <c r="AE38" s="67">
        <v>1</v>
      </c>
      <c r="AF38" s="69"/>
      <c r="AG38" s="69"/>
      <c r="AH38" s="67">
        <v>1</v>
      </c>
      <c r="AI38" s="67">
        <v>1</v>
      </c>
      <c r="AJ38" s="67">
        <v>1</v>
      </c>
      <c r="AK38" s="70">
        <v>1</v>
      </c>
    </row>
    <row r="39" spans="1:37">
      <c r="A39" s="63" t="s">
        <v>830</v>
      </c>
      <c r="B39" s="64">
        <v>10</v>
      </c>
      <c r="C39" s="64">
        <v>9</v>
      </c>
      <c r="D39" s="64">
        <v>10</v>
      </c>
      <c r="E39" s="64">
        <v>11</v>
      </c>
      <c r="F39" s="65"/>
      <c r="G39" s="64">
        <v>11</v>
      </c>
      <c r="H39" s="64">
        <v>11</v>
      </c>
      <c r="I39" s="64">
        <v>11</v>
      </c>
      <c r="J39" s="64">
        <v>11</v>
      </c>
      <c r="K39" s="64">
        <v>10</v>
      </c>
      <c r="L39" s="64">
        <v>11</v>
      </c>
      <c r="M39" s="64">
        <v>9</v>
      </c>
      <c r="N39" s="64">
        <v>11</v>
      </c>
      <c r="O39" s="64">
        <v>11</v>
      </c>
      <c r="P39" s="64">
        <v>10</v>
      </c>
      <c r="Q39" s="64">
        <v>9</v>
      </c>
      <c r="R39" s="64">
        <v>10</v>
      </c>
      <c r="S39" s="64">
        <v>9</v>
      </c>
      <c r="T39" s="64">
        <v>8</v>
      </c>
      <c r="U39" s="64">
        <v>9</v>
      </c>
      <c r="V39" s="64">
        <v>7</v>
      </c>
      <c r="W39" s="64">
        <v>7</v>
      </c>
      <c r="X39" s="64">
        <v>10</v>
      </c>
      <c r="Y39" s="64">
        <v>11</v>
      </c>
      <c r="Z39" s="64">
        <v>10</v>
      </c>
      <c r="AA39" s="65"/>
      <c r="AB39" s="64">
        <v>10</v>
      </c>
      <c r="AC39" s="64">
        <v>11</v>
      </c>
      <c r="AD39" s="64">
        <v>11</v>
      </c>
      <c r="AE39" s="64">
        <v>8</v>
      </c>
      <c r="AF39" s="65"/>
      <c r="AG39" s="65"/>
      <c r="AH39" s="64">
        <v>9</v>
      </c>
      <c r="AI39" s="64">
        <v>11</v>
      </c>
      <c r="AJ39" s="64">
        <v>10</v>
      </c>
      <c r="AK39" s="66">
        <v>11</v>
      </c>
    </row>
    <row r="40" spans="1:37">
      <c r="A40" s="63" t="s">
        <v>831</v>
      </c>
      <c r="B40" s="67">
        <v>4</v>
      </c>
      <c r="C40" s="67">
        <v>3</v>
      </c>
      <c r="D40" s="67">
        <v>4</v>
      </c>
      <c r="E40" s="67">
        <v>4</v>
      </c>
      <c r="F40" s="69"/>
      <c r="G40" s="67">
        <v>4</v>
      </c>
      <c r="H40" s="67">
        <v>4</v>
      </c>
      <c r="I40" s="67">
        <v>4</v>
      </c>
      <c r="J40" s="67">
        <v>4</v>
      </c>
      <c r="K40" s="67">
        <v>4</v>
      </c>
      <c r="L40" s="67">
        <v>4</v>
      </c>
      <c r="M40" s="67">
        <v>3</v>
      </c>
      <c r="N40" s="67">
        <v>4</v>
      </c>
      <c r="O40" s="67">
        <v>4</v>
      </c>
      <c r="P40" s="67">
        <v>4</v>
      </c>
      <c r="Q40" s="67">
        <v>3</v>
      </c>
      <c r="R40" s="67">
        <v>4</v>
      </c>
      <c r="S40" s="67">
        <v>3</v>
      </c>
      <c r="T40" s="67">
        <v>3</v>
      </c>
      <c r="U40" s="67">
        <v>3</v>
      </c>
      <c r="V40" s="67">
        <v>3</v>
      </c>
      <c r="W40" s="67">
        <v>2</v>
      </c>
      <c r="X40" s="67">
        <v>4</v>
      </c>
      <c r="Y40" s="67">
        <v>4</v>
      </c>
      <c r="Z40" s="67">
        <v>4</v>
      </c>
      <c r="AA40" s="69"/>
      <c r="AB40" s="67">
        <v>4</v>
      </c>
      <c r="AC40" s="67">
        <v>4</v>
      </c>
      <c r="AD40" s="67">
        <v>4</v>
      </c>
      <c r="AE40" s="67">
        <v>3</v>
      </c>
      <c r="AF40" s="69"/>
      <c r="AG40" s="69"/>
      <c r="AH40" s="67">
        <v>3</v>
      </c>
      <c r="AI40" s="67">
        <v>4</v>
      </c>
      <c r="AJ40" s="67">
        <v>4</v>
      </c>
      <c r="AK40" s="70">
        <v>4</v>
      </c>
    </row>
    <row r="41" spans="1:37">
      <c r="A41" s="63" t="s">
        <v>832</v>
      </c>
      <c r="B41" s="64">
        <v>20</v>
      </c>
      <c r="C41" s="64">
        <v>19</v>
      </c>
      <c r="D41" s="64">
        <v>20</v>
      </c>
      <c r="E41" s="64">
        <v>22</v>
      </c>
      <c r="F41" s="65"/>
      <c r="G41" s="64">
        <v>23</v>
      </c>
      <c r="H41" s="64">
        <v>22</v>
      </c>
      <c r="I41" s="64">
        <v>23</v>
      </c>
      <c r="J41" s="64">
        <v>22</v>
      </c>
      <c r="K41" s="64">
        <v>20</v>
      </c>
      <c r="L41" s="64">
        <v>23</v>
      </c>
      <c r="M41" s="64">
        <v>18</v>
      </c>
      <c r="N41" s="64">
        <v>22</v>
      </c>
      <c r="O41" s="64">
        <v>22</v>
      </c>
      <c r="P41" s="64">
        <v>20</v>
      </c>
      <c r="Q41" s="64">
        <v>19</v>
      </c>
      <c r="R41" s="64">
        <v>21</v>
      </c>
      <c r="S41" s="64">
        <v>18</v>
      </c>
      <c r="T41" s="64">
        <v>17</v>
      </c>
      <c r="U41" s="64">
        <v>19</v>
      </c>
      <c r="V41" s="64">
        <v>15</v>
      </c>
      <c r="W41" s="64">
        <v>14</v>
      </c>
      <c r="X41" s="64">
        <v>21</v>
      </c>
      <c r="Y41" s="64">
        <v>22</v>
      </c>
      <c r="Z41" s="64">
        <v>21</v>
      </c>
      <c r="AA41" s="65"/>
      <c r="AB41" s="64">
        <v>21</v>
      </c>
      <c r="AC41" s="64">
        <v>24</v>
      </c>
      <c r="AD41" s="64">
        <v>23</v>
      </c>
      <c r="AE41" s="64">
        <v>16</v>
      </c>
      <c r="AF41" s="65"/>
      <c r="AG41" s="65"/>
      <c r="AH41" s="64">
        <v>19</v>
      </c>
      <c r="AI41" s="64">
        <v>22</v>
      </c>
      <c r="AJ41" s="64">
        <v>21</v>
      </c>
      <c r="AK41" s="66">
        <v>23</v>
      </c>
    </row>
    <row r="42" spans="1:37">
      <c r="A42" s="63" t="s">
        <v>833</v>
      </c>
      <c r="B42" s="67">
        <v>27</v>
      </c>
      <c r="C42" s="67">
        <v>26</v>
      </c>
      <c r="D42" s="67">
        <v>27</v>
      </c>
      <c r="E42" s="67">
        <v>30</v>
      </c>
      <c r="F42" s="69"/>
      <c r="G42" s="67">
        <v>30</v>
      </c>
      <c r="H42" s="67">
        <v>29</v>
      </c>
      <c r="I42" s="67">
        <v>30</v>
      </c>
      <c r="J42" s="67">
        <v>30</v>
      </c>
      <c r="K42" s="67">
        <v>27</v>
      </c>
      <c r="L42" s="67">
        <v>30</v>
      </c>
      <c r="M42" s="67">
        <v>25</v>
      </c>
      <c r="N42" s="67">
        <v>29</v>
      </c>
      <c r="O42" s="67">
        <v>29</v>
      </c>
      <c r="P42" s="67">
        <v>27</v>
      </c>
      <c r="Q42" s="67">
        <v>26</v>
      </c>
      <c r="R42" s="67">
        <v>28</v>
      </c>
      <c r="S42" s="67">
        <v>24</v>
      </c>
      <c r="T42" s="67">
        <v>23</v>
      </c>
      <c r="U42" s="67">
        <v>26</v>
      </c>
      <c r="V42" s="67">
        <v>20</v>
      </c>
      <c r="W42" s="67">
        <v>18</v>
      </c>
      <c r="X42" s="67">
        <v>28</v>
      </c>
      <c r="Y42" s="67">
        <v>29</v>
      </c>
      <c r="Z42" s="67">
        <v>28</v>
      </c>
      <c r="AA42" s="69"/>
      <c r="AB42" s="67">
        <v>28</v>
      </c>
      <c r="AC42" s="67">
        <v>31</v>
      </c>
      <c r="AD42" s="67">
        <v>30</v>
      </c>
      <c r="AE42" s="67">
        <v>21</v>
      </c>
      <c r="AF42" s="69"/>
      <c r="AG42" s="69"/>
      <c r="AH42" s="67">
        <v>25</v>
      </c>
      <c r="AI42" s="67">
        <v>30</v>
      </c>
      <c r="AJ42" s="67">
        <v>29</v>
      </c>
      <c r="AK42" s="70">
        <v>31</v>
      </c>
    </row>
    <row r="43" spans="1:37">
      <c r="A43" s="63" t="s">
        <v>834</v>
      </c>
      <c r="B43" s="64">
        <v>13</v>
      </c>
      <c r="C43" s="64">
        <v>13</v>
      </c>
      <c r="D43" s="64">
        <v>13</v>
      </c>
      <c r="E43" s="64">
        <v>15</v>
      </c>
      <c r="F43" s="65"/>
      <c r="G43" s="64">
        <v>15</v>
      </c>
      <c r="H43" s="64">
        <v>14</v>
      </c>
      <c r="I43" s="64">
        <v>15</v>
      </c>
      <c r="J43" s="64">
        <v>14</v>
      </c>
      <c r="K43" s="64">
        <v>13</v>
      </c>
      <c r="L43" s="64">
        <v>15</v>
      </c>
      <c r="M43" s="64">
        <v>12</v>
      </c>
      <c r="N43" s="64">
        <v>14</v>
      </c>
      <c r="O43" s="64">
        <v>14</v>
      </c>
      <c r="P43" s="64">
        <v>13</v>
      </c>
      <c r="Q43" s="64">
        <v>12</v>
      </c>
      <c r="R43" s="64">
        <v>14</v>
      </c>
      <c r="S43" s="64">
        <v>12</v>
      </c>
      <c r="T43" s="64">
        <v>11</v>
      </c>
      <c r="U43" s="64">
        <v>12</v>
      </c>
      <c r="V43" s="64">
        <v>10</v>
      </c>
      <c r="W43" s="64">
        <v>9</v>
      </c>
      <c r="X43" s="64">
        <v>13</v>
      </c>
      <c r="Y43" s="64">
        <v>14</v>
      </c>
      <c r="Z43" s="64">
        <v>14</v>
      </c>
      <c r="AA43" s="65"/>
      <c r="AB43" s="64">
        <v>14</v>
      </c>
      <c r="AC43" s="64">
        <v>15</v>
      </c>
      <c r="AD43" s="64">
        <v>15</v>
      </c>
      <c r="AE43" s="64">
        <v>10</v>
      </c>
      <c r="AF43" s="65"/>
      <c r="AG43" s="65"/>
      <c r="AH43" s="64">
        <v>12</v>
      </c>
      <c r="AI43" s="64">
        <v>14</v>
      </c>
      <c r="AJ43" s="64">
        <v>14</v>
      </c>
      <c r="AK43" s="66">
        <v>15</v>
      </c>
    </row>
    <row r="44" spans="1:37">
      <c r="A44" s="63" t="s">
        <v>835</v>
      </c>
      <c r="B44" s="67">
        <v>8</v>
      </c>
      <c r="C44" s="67">
        <v>8</v>
      </c>
      <c r="D44" s="67">
        <v>8</v>
      </c>
      <c r="E44" s="67">
        <v>9</v>
      </c>
      <c r="F44" s="69"/>
      <c r="G44" s="67">
        <v>9</v>
      </c>
      <c r="H44" s="67">
        <v>9</v>
      </c>
      <c r="I44" s="67">
        <v>9</v>
      </c>
      <c r="J44" s="67">
        <v>9</v>
      </c>
      <c r="K44" s="67">
        <v>8</v>
      </c>
      <c r="L44" s="67">
        <v>9</v>
      </c>
      <c r="M44" s="67">
        <v>7</v>
      </c>
      <c r="N44" s="67">
        <v>9</v>
      </c>
      <c r="O44" s="67">
        <v>9</v>
      </c>
      <c r="P44" s="67">
        <v>8</v>
      </c>
      <c r="Q44" s="67">
        <v>8</v>
      </c>
      <c r="R44" s="67">
        <v>8</v>
      </c>
      <c r="S44" s="67">
        <v>7</v>
      </c>
      <c r="T44" s="67">
        <v>7</v>
      </c>
      <c r="U44" s="67">
        <v>8</v>
      </c>
      <c r="V44" s="67">
        <v>6</v>
      </c>
      <c r="W44" s="67">
        <v>5</v>
      </c>
      <c r="X44" s="67">
        <v>8</v>
      </c>
      <c r="Y44" s="67">
        <v>9</v>
      </c>
      <c r="Z44" s="67">
        <v>8</v>
      </c>
      <c r="AA44" s="69"/>
      <c r="AB44" s="67">
        <v>8</v>
      </c>
      <c r="AC44" s="67">
        <v>9</v>
      </c>
      <c r="AD44" s="67">
        <v>9</v>
      </c>
      <c r="AE44" s="67">
        <v>6</v>
      </c>
      <c r="AF44" s="69"/>
      <c r="AG44" s="69"/>
      <c r="AH44" s="67">
        <v>7</v>
      </c>
      <c r="AI44" s="67">
        <v>9</v>
      </c>
      <c r="AJ44" s="67">
        <v>8</v>
      </c>
      <c r="AK44" s="70">
        <v>9</v>
      </c>
    </row>
    <row r="45" spans="1:37">
      <c r="A45" s="63" t="s">
        <v>836</v>
      </c>
      <c r="B45" s="64">
        <v>295</v>
      </c>
      <c r="C45" s="64">
        <v>305</v>
      </c>
      <c r="D45" s="64">
        <v>296</v>
      </c>
      <c r="E45" s="64">
        <v>259</v>
      </c>
      <c r="F45" s="65"/>
      <c r="G45" s="64">
        <v>256</v>
      </c>
      <c r="H45" s="64">
        <v>273</v>
      </c>
      <c r="I45" s="64">
        <v>257</v>
      </c>
      <c r="J45" s="64">
        <v>263</v>
      </c>
      <c r="K45" s="64">
        <v>289</v>
      </c>
      <c r="L45" s="64">
        <v>255</v>
      </c>
      <c r="M45" s="64">
        <v>322</v>
      </c>
      <c r="N45" s="64">
        <v>270</v>
      </c>
      <c r="O45" s="64">
        <v>268</v>
      </c>
      <c r="P45" s="64">
        <v>290</v>
      </c>
      <c r="Q45" s="64">
        <v>307</v>
      </c>
      <c r="R45" s="64">
        <v>282</v>
      </c>
      <c r="S45" s="64">
        <v>324</v>
      </c>
      <c r="T45" s="64">
        <v>341</v>
      </c>
      <c r="U45" s="64">
        <v>307</v>
      </c>
      <c r="V45" s="64">
        <v>376</v>
      </c>
      <c r="W45" s="64">
        <v>393</v>
      </c>
      <c r="X45" s="64">
        <v>287</v>
      </c>
      <c r="Y45" s="64">
        <v>268</v>
      </c>
      <c r="Z45" s="64">
        <v>283</v>
      </c>
      <c r="AA45" s="65"/>
      <c r="AB45" s="64">
        <v>281</v>
      </c>
      <c r="AC45" s="64">
        <v>243</v>
      </c>
      <c r="AD45" s="64">
        <v>238</v>
      </c>
      <c r="AE45" s="64">
        <v>325</v>
      </c>
      <c r="AF45" s="65"/>
      <c r="AG45" s="65"/>
      <c r="AH45" s="64">
        <v>316</v>
      </c>
      <c r="AI45" s="64">
        <v>261</v>
      </c>
      <c r="AJ45" s="64">
        <v>275</v>
      </c>
      <c r="AK45" s="66">
        <v>252</v>
      </c>
    </row>
    <row r="46" spans="1:37">
      <c r="A46" s="73"/>
      <c r="B46" s="69"/>
      <c r="C46" s="69"/>
      <c r="D46" s="69"/>
      <c r="E46" s="69"/>
      <c r="F46" s="69"/>
      <c r="G46" s="69"/>
      <c r="H46" s="69"/>
      <c r="I46" s="69"/>
      <c r="J46" s="69"/>
      <c r="K46" s="69"/>
      <c r="L46" s="69"/>
      <c r="M46" s="69"/>
      <c r="N46" s="69"/>
      <c r="O46" s="69"/>
      <c r="P46" s="69"/>
      <c r="Q46" s="69"/>
      <c r="R46" s="69"/>
      <c r="S46" s="69"/>
      <c r="T46" s="69"/>
      <c r="U46" s="69"/>
      <c r="V46" s="69"/>
      <c r="W46" s="69"/>
      <c r="X46" s="69"/>
      <c r="Y46" s="69"/>
      <c r="Z46" s="69"/>
      <c r="AA46" s="69"/>
      <c r="AB46" s="69"/>
      <c r="AC46" s="69"/>
      <c r="AD46" s="69"/>
      <c r="AE46" s="69"/>
      <c r="AF46" s="69"/>
      <c r="AG46" s="69"/>
      <c r="AH46" s="69"/>
      <c r="AI46" s="69"/>
      <c r="AJ46" s="69"/>
      <c r="AK46" s="74"/>
    </row>
    <row r="47" spans="1:37">
      <c r="A47" s="63" t="s">
        <v>837</v>
      </c>
      <c r="B47" s="64">
        <v>0.91</v>
      </c>
      <c r="C47" s="64">
        <v>0.95</v>
      </c>
      <c r="D47" s="64">
        <v>0.93</v>
      </c>
      <c r="E47" s="71" t="s">
        <v>795</v>
      </c>
      <c r="F47" s="65"/>
      <c r="G47" s="64">
        <v>0.94</v>
      </c>
      <c r="H47" s="64">
        <v>0.83</v>
      </c>
      <c r="I47" s="64">
        <v>0.74</v>
      </c>
      <c r="J47" s="64">
        <v>0.95</v>
      </c>
      <c r="K47" s="64">
        <v>0.9</v>
      </c>
      <c r="L47" s="64">
        <v>0.94</v>
      </c>
      <c r="M47" s="64">
        <v>0.82</v>
      </c>
      <c r="N47" s="64">
        <v>0.89</v>
      </c>
      <c r="O47" s="64">
        <v>0.87</v>
      </c>
      <c r="P47" s="64">
        <v>0.92</v>
      </c>
      <c r="Q47" s="64">
        <v>0.1</v>
      </c>
      <c r="R47" s="64">
        <v>0.92</v>
      </c>
      <c r="S47" s="64">
        <v>0</v>
      </c>
      <c r="T47" s="64">
        <v>0</v>
      </c>
      <c r="U47" s="64">
        <v>0.33</v>
      </c>
      <c r="V47" s="64">
        <v>0.94</v>
      </c>
      <c r="W47" s="64">
        <v>0.87</v>
      </c>
      <c r="X47" s="64">
        <v>0.94</v>
      </c>
      <c r="Y47" s="64">
        <v>0.56999999999999995</v>
      </c>
      <c r="Z47" s="64">
        <v>0.38</v>
      </c>
      <c r="AA47" s="65"/>
      <c r="AB47" s="64">
        <v>0.95</v>
      </c>
      <c r="AC47" s="64">
        <v>0.95</v>
      </c>
      <c r="AD47" s="64">
        <v>0.93</v>
      </c>
      <c r="AE47" s="64">
        <v>0.95</v>
      </c>
      <c r="AF47" s="65"/>
      <c r="AG47" s="65"/>
      <c r="AH47" s="64">
        <v>0.5</v>
      </c>
      <c r="AI47" s="64">
        <v>0.77</v>
      </c>
      <c r="AJ47" s="64">
        <v>0.95</v>
      </c>
      <c r="AK47" s="66">
        <v>0.68</v>
      </c>
    </row>
    <row r="48" spans="1:37">
      <c r="A48" s="63" t="s">
        <v>838</v>
      </c>
      <c r="B48" s="67">
        <v>0</v>
      </c>
      <c r="C48" s="67">
        <v>0.95</v>
      </c>
      <c r="D48" s="67">
        <v>0.95</v>
      </c>
      <c r="E48" s="67">
        <v>0.42</v>
      </c>
      <c r="F48" s="69"/>
      <c r="G48" s="67">
        <v>0.95</v>
      </c>
      <c r="H48" s="67">
        <v>0</v>
      </c>
      <c r="I48" s="67">
        <v>0.94</v>
      </c>
      <c r="J48" s="67">
        <v>0</v>
      </c>
      <c r="K48" s="67">
        <v>0</v>
      </c>
      <c r="L48" s="67">
        <v>0.95</v>
      </c>
      <c r="M48" s="67">
        <v>0.95</v>
      </c>
      <c r="N48" s="67">
        <v>0.84</v>
      </c>
      <c r="O48" s="67">
        <v>0.01</v>
      </c>
      <c r="P48" s="67">
        <v>0.92</v>
      </c>
      <c r="Q48" s="67">
        <v>0.91</v>
      </c>
      <c r="R48" s="67">
        <v>0.93</v>
      </c>
      <c r="S48" s="67">
        <v>0.95</v>
      </c>
      <c r="T48" s="67">
        <v>0.95</v>
      </c>
      <c r="U48" s="67">
        <v>0.95</v>
      </c>
      <c r="V48" s="67">
        <v>0.95</v>
      </c>
      <c r="W48" s="67">
        <v>0.95</v>
      </c>
      <c r="X48" s="67">
        <v>0.95</v>
      </c>
      <c r="Y48" s="67">
        <v>0.95</v>
      </c>
      <c r="Z48" s="67">
        <v>0.95</v>
      </c>
      <c r="AA48" s="69"/>
      <c r="AB48" s="67">
        <v>0.95</v>
      </c>
      <c r="AC48" s="67">
        <v>0.95</v>
      </c>
      <c r="AD48" s="67">
        <v>0</v>
      </c>
      <c r="AE48" s="67">
        <v>0.95</v>
      </c>
      <c r="AF48" s="69"/>
      <c r="AG48" s="69"/>
      <c r="AH48" s="67">
        <v>0.95</v>
      </c>
      <c r="AI48" s="67">
        <v>0.95</v>
      </c>
      <c r="AJ48" s="67">
        <v>0.95</v>
      </c>
      <c r="AK48" s="70">
        <v>0.95</v>
      </c>
    </row>
    <row r="49" spans="1:37">
      <c r="A49" s="63" t="s">
        <v>839</v>
      </c>
      <c r="B49" s="64">
        <v>0</v>
      </c>
      <c r="C49" s="64">
        <v>0</v>
      </c>
      <c r="D49" s="64">
        <v>0</v>
      </c>
      <c r="E49" s="64">
        <v>0.95</v>
      </c>
      <c r="F49" s="65"/>
      <c r="G49" s="64">
        <v>0</v>
      </c>
      <c r="H49" s="64">
        <v>0</v>
      </c>
      <c r="I49" s="64">
        <v>0</v>
      </c>
      <c r="J49" s="64">
        <v>0</v>
      </c>
      <c r="K49" s="64">
        <v>0</v>
      </c>
      <c r="L49" s="64">
        <v>0.01</v>
      </c>
      <c r="M49" s="64">
        <v>0</v>
      </c>
      <c r="N49" s="64">
        <v>0</v>
      </c>
      <c r="O49" s="64">
        <v>0</v>
      </c>
      <c r="P49" s="64">
        <v>0</v>
      </c>
      <c r="Q49" s="64">
        <v>0.02</v>
      </c>
      <c r="R49" s="64">
        <v>0</v>
      </c>
      <c r="S49" s="64">
        <v>0.56000000000000005</v>
      </c>
      <c r="T49" s="64">
        <v>0.71</v>
      </c>
      <c r="U49" s="64">
        <v>0.45</v>
      </c>
      <c r="V49" s="64">
        <v>0.94</v>
      </c>
      <c r="W49" s="64">
        <v>0</v>
      </c>
      <c r="X49" s="64">
        <v>0</v>
      </c>
      <c r="Y49" s="64">
        <v>0</v>
      </c>
      <c r="Z49" s="64">
        <v>0</v>
      </c>
      <c r="AA49" s="65"/>
      <c r="AB49" s="64">
        <v>0.01</v>
      </c>
      <c r="AC49" s="64">
        <v>0.09</v>
      </c>
      <c r="AD49" s="64">
        <v>7.0000000000000007E-2</v>
      </c>
      <c r="AE49" s="64">
        <v>0</v>
      </c>
      <c r="AF49" s="65"/>
      <c r="AG49" s="65"/>
      <c r="AH49" s="64">
        <v>0</v>
      </c>
      <c r="AI49" s="64">
        <v>0</v>
      </c>
      <c r="AJ49" s="64">
        <v>0</v>
      </c>
      <c r="AK49" s="66">
        <v>0</v>
      </c>
    </row>
    <row r="50" spans="1:37">
      <c r="A50" s="63" t="s">
        <v>840</v>
      </c>
      <c r="B50" s="67">
        <v>0.7</v>
      </c>
      <c r="C50" s="67">
        <v>0.59</v>
      </c>
      <c r="D50" s="67">
        <v>0.68</v>
      </c>
      <c r="E50" s="67">
        <v>0.53</v>
      </c>
      <c r="F50" s="69"/>
      <c r="G50" s="67">
        <v>0.48</v>
      </c>
      <c r="H50" s="67">
        <v>0.71</v>
      </c>
      <c r="I50" s="67">
        <v>0.66</v>
      </c>
      <c r="J50" s="67">
        <v>0.57999999999999996</v>
      </c>
      <c r="K50" s="67">
        <v>0.53</v>
      </c>
      <c r="L50" s="67">
        <v>0.59</v>
      </c>
      <c r="M50" s="67">
        <v>0.56000000000000005</v>
      </c>
      <c r="N50" s="67">
        <v>0.67</v>
      </c>
      <c r="O50" s="67">
        <v>0.67</v>
      </c>
      <c r="P50" s="67">
        <v>0.6</v>
      </c>
      <c r="Q50" s="67">
        <v>0.47</v>
      </c>
      <c r="R50" s="67">
        <v>0.55000000000000004</v>
      </c>
      <c r="S50" s="67">
        <v>0.06</v>
      </c>
      <c r="T50" s="67">
        <v>0.35</v>
      </c>
      <c r="U50" s="67">
        <v>0.65</v>
      </c>
      <c r="V50" s="67">
        <v>0.56999999999999995</v>
      </c>
      <c r="W50" s="67">
        <v>0.42</v>
      </c>
      <c r="X50" s="67">
        <v>0.63</v>
      </c>
      <c r="Y50" s="67">
        <v>0.62</v>
      </c>
      <c r="Z50" s="67">
        <v>0.45</v>
      </c>
      <c r="AA50" s="69"/>
      <c r="AB50" s="67">
        <v>0.65</v>
      </c>
      <c r="AC50" s="67">
        <v>0.52</v>
      </c>
      <c r="AD50" s="67">
        <v>0.54</v>
      </c>
      <c r="AE50" s="67">
        <v>0.34</v>
      </c>
      <c r="AF50" s="69"/>
      <c r="AG50" s="69"/>
      <c r="AH50" s="67">
        <v>0.68</v>
      </c>
      <c r="AI50" s="67">
        <v>0.5</v>
      </c>
      <c r="AJ50" s="67">
        <v>0.59</v>
      </c>
      <c r="AK50" s="70">
        <v>0.83</v>
      </c>
    </row>
    <row r="51" spans="1:37">
      <c r="A51" s="63" t="s">
        <v>841</v>
      </c>
      <c r="B51" s="64">
        <v>0.01</v>
      </c>
      <c r="C51" s="64">
        <v>0</v>
      </c>
      <c r="D51" s="64">
        <v>0</v>
      </c>
      <c r="E51" s="64">
        <v>0.12</v>
      </c>
      <c r="F51" s="65"/>
      <c r="G51" s="64">
        <v>0</v>
      </c>
      <c r="H51" s="64">
        <v>0</v>
      </c>
      <c r="I51" s="64">
        <v>0</v>
      </c>
      <c r="J51" s="64">
        <v>0</v>
      </c>
      <c r="K51" s="64">
        <v>0</v>
      </c>
      <c r="L51" s="64">
        <v>0.01</v>
      </c>
      <c r="M51" s="64">
        <v>0</v>
      </c>
      <c r="N51" s="64">
        <v>0</v>
      </c>
      <c r="O51" s="64">
        <v>0</v>
      </c>
      <c r="P51" s="64">
        <v>0</v>
      </c>
      <c r="Q51" s="64">
        <v>0</v>
      </c>
      <c r="R51" s="64">
        <v>0</v>
      </c>
      <c r="S51" s="64">
        <v>0.11</v>
      </c>
      <c r="T51" s="64">
        <v>0.08</v>
      </c>
      <c r="U51" s="64">
        <v>0.17</v>
      </c>
      <c r="V51" s="64">
        <v>0.16</v>
      </c>
      <c r="W51" s="64">
        <v>0</v>
      </c>
      <c r="X51" s="64">
        <v>0</v>
      </c>
      <c r="Y51" s="64">
        <v>0.02</v>
      </c>
      <c r="Z51" s="64">
        <v>0.02</v>
      </c>
      <c r="AA51" s="65"/>
      <c r="AB51" s="64">
        <v>0.06</v>
      </c>
      <c r="AC51" s="64">
        <v>0.12</v>
      </c>
      <c r="AD51" s="64">
        <v>0.01</v>
      </c>
      <c r="AE51" s="64">
        <v>0</v>
      </c>
      <c r="AF51" s="65"/>
      <c r="AG51" s="65"/>
      <c r="AH51" s="64">
        <v>0</v>
      </c>
      <c r="AI51" s="64">
        <v>0</v>
      </c>
      <c r="AJ51" s="64">
        <v>0</v>
      </c>
      <c r="AK51" s="66">
        <v>0</v>
      </c>
    </row>
    <row r="52" spans="1:37">
      <c r="A52" s="63" t="s">
        <v>842</v>
      </c>
      <c r="B52" s="67">
        <v>0.93</v>
      </c>
      <c r="C52" s="67">
        <v>0.94</v>
      </c>
      <c r="D52" s="67">
        <v>0.95</v>
      </c>
      <c r="E52" s="67">
        <v>0.51</v>
      </c>
      <c r="F52" s="69"/>
      <c r="G52" s="67">
        <v>0.95</v>
      </c>
      <c r="H52" s="67">
        <v>0.85</v>
      </c>
      <c r="I52" s="67">
        <v>0.93</v>
      </c>
      <c r="J52" s="67">
        <v>0.91</v>
      </c>
      <c r="K52" s="67">
        <v>0.86</v>
      </c>
      <c r="L52" s="67">
        <v>0.9</v>
      </c>
      <c r="M52" s="67">
        <v>0.94</v>
      </c>
      <c r="N52" s="67">
        <v>0.93</v>
      </c>
      <c r="O52" s="67">
        <v>0.93</v>
      </c>
      <c r="P52" s="67">
        <v>0.92</v>
      </c>
      <c r="Q52" s="67">
        <v>0.93</v>
      </c>
      <c r="R52" s="67">
        <v>0.93</v>
      </c>
      <c r="S52" s="67">
        <v>0.81</v>
      </c>
      <c r="T52" s="67">
        <v>0.89</v>
      </c>
      <c r="U52" s="67">
        <v>0.92</v>
      </c>
      <c r="V52" s="67">
        <v>0.94</v>
      </c>
      <c r="W52" s="67">
        <v>0.84</v>
      </c>
      <c r="X52" s="67">
        <v>0.94</v>
      </c>
      <c r="Y52" s="67">
        <v>0.93</v>
      </c>
      <c r="Z52" s="67">
        <v>0.93</v>
      </c>
      <c r="AA52" s="69"/>
      <c r="AB52" s="67">
        <v>0.94</v>
      </c>
      <c r="AC52" s="67">
        <v>0.95</v>
      </c>
      <c r="AD52" s="67">
        <v>0.87</v>
      </c>
      <c r="AE52" s="67">
        <v>0.94</v>
      </c>
      <c r="AF52" s="69"/>
      <c r="AG52" s="69"/>
      <c r="AH52" s="67">
        <v>0.95</v>
      </c>
      <c r="AI52" s="67">
        <v>0.11</v>
      </c>
      <c r="AJ52" s="67">
        <v>0.93</v>
      </c>
      <c r="AK52" s="70">
        <v>0.75</v>
      </c>
    </row>
    <row r="53" spans="1:37" ht="15.95" thickBot="1">
      <c r="A53" s="75" t="s">
        <v>843</v>
      </c>
      <c r="B53" s="76">
        <v>0.3</v>
      </c>
      <c r="C53" s="76">
        <v>0.31</v>
      </c>
      <c r="D53" s="76">
        <v>0.35</v>
      </c>
      <c r="E53" s="76">
        <v>0.08</v>
      </c>
      <c r="F53" s="77"/>
      <c r="G53" s="76">
        <v>0.45</v>
      </c>
      <c r="H53" s="76">
        <v>0.28000000000000003</v>
      </c>
      <c r="I53" s="76">
        <v>0.4</v>
      </c>
      <c r="J53" s="76">
        <v>0.28999999999999998</v>
      </c>
      <c r="K53" s="76">
        <v>0.25</v>
      </c>
      <c r="L53" s="76">
        <v>0.31</v>
      </c>
      <c r="M53" s="76">
        <v>0.46</v>
      </c>
      <c r="N53" s="76">
        <v>0.28999999999999998</v>
      </c>
      <c r="O53" s="76">
        <v>0.28000000000000003</v>
      </c>
      <c r="P53" s="76">
        <v>0.33</v>
      </c>
      <c r="Q53" s="76">
        <v>0.36</v>
      </c>
      <c r="R53" s="76">
        <v>0.25</v>
      </c>
      <c r="S53" s="76">
        <v>0.34</v>
      </c>
      <c r="T53" s="76">
        <v>0.26</v>
      </c>
      <c r="U53" s="76">
        <v>0.41</v>
      </c>
      <c r="V53" s="76">
        <v>0.39</v>
      </c>
      <c r="W53" s="76">
        <v>0.36</v>
      </c>
      <c r="X53" s="76">
        <v>0.39</v>
      </c>
      <c r="Y53" s="76">
        <v>0.48</v>
      </c>
      <c r="Z53" s="76">
        <v>0.39</v>
      </c>
      <c r="AA53" s="77"/>
      <c r="AB53" s="76">
        <v>0.3</v>
      </c>
      <c r="AC53" s="76">
        <v>0.37</v>
      </c>
      <c r="AD53" s="76">
        <v>0.1</v>
      </c>
      <c r="AE53" s="76">
        <v>0.23</v>
      </c>
      <c r="AF53" s="77"/>
      <c r="AG53" s="77"/>
      <c r="AH53" s="76">
        <v>0.35</v>
      </c>
      <c r="AI53" s="76">
        <v>0.46</v>
      </c>
      <c r="AJ53" s="76">
        <v>0.37</v>
      </c>
      <c r="AK53" s="78">
        <v>0.34</v>
      </c>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2"/>
  <sheetViews>
    <sheetView workbookViewId="0">
      <selection activeCell="D1" sqref="D1:D12"/>
    </sheetView>
  </sheetViews>
  <sheetFormatPr defaultColWidth="8.85546875" defaultRowHeight="15"/>
  <cols>
    <col min="1" max="1" width="31" bestFit="1" customWidth="1"/>
  </cols>
  <sheetData>
    <row r="1" spans="1:36">
      <c r="A1" s="37" t="s">
        <v>72</v>
      </c>
      <c r="B1" s="38" t="s">
        <v>73</v>
      </c>
      <c r="C1" s="38" t="s">
        <v>74</v>
      </c>
      <c r="D1" s="38" t="s">
        <v>75</v>
      </c>
      <c r="E1" s="38" t="s">
        <v>76</v>
      </c>
      <c r="F1" s="38" t="s">
        <v>77</v>
      </c>
      <c r="G1" s="38" t="s">
        <v>78</v>
      </c>
      <c r="H1" s="38" t="s">
        <v>79</v>
      </c>
      <c r="I1" s="38" t="s">
        <v>80</v>
      </c>
      <c r="J1" s="38" t="s">
        <v>81</v>
      </c>
      <c r="K1" s="38" t="s">
        <v>82</v>
      </c>
      <c r="L1" s="38" t="s">
        <v>83</v>
      </c>
      <c r="M1" s="38" t="s">
        <v>84</v>
      </c>
      <c r="N1" s="38" t="s">
        <v>85</v>
      </c>
      <c r="O1" s="38" t="s">
        <v>86</v>
      </c>
      <c r="P1" s="38" t="s">
        <v>87</v>
      </c>
      <c r="Q1" s="38" t="s">
        <v>88</v>
      </c>
      <c r="R1" s="38" t="s">
        <v>89</v>
      </c>
      <c r="S1" s="38" t="s">
        <v>90</v>
      </c>
      <c r="T1" s="38" t="s">
        <v>91</v>
      </c>
      <c r="U1" s="38" t="s">
        <v>92</v>
      </c>
      <c r="V1" s="38" t="s">
        <v>93</v>
      </c>
      <c r="W1" s="38" t="s">
        <v>94</v>
      </c>
      <c r="X1" s="38" t="s">
        <v>95</v>
      </c>
      <c r="Y1" s="38" t="s">
        <v>96</v>
      </c>
      <c r="Z1" s="38" t="s">
        <v>97</v>
      </c>
      <c r="AA1" s="40"/>
      <c r="AB1" s="38" t="s">
        <v>98</v>
      </c>
      <c r="AC1" s="38" t="s">
        <v>99</v>
      </c>
      <c r="AD1" s="38" t="s">
        <v>100</v>
      </c>
      <c r="AE1" s="38" t="s">
        <v>101</v>
      </c>
      <c r="AF1" s="38" t="s">
        <v>102</v>
      </c>
      <c r="AG1" s="40"/>
      <c r="AH1" s="38" t="s">
        <v>105</v>
      </c>
      <c r="AI1" s="38" t="s">
        <v>107</v>
      </c>
      <c r="AJ1" s="57" t="s">
        <v>212</v>
      </c>
    </row>
    <row r="2" spans="1:36" ht="27.95">
      <c r="A2" s="18"/>
      <c r="B2" s="1" t="s">
        <v>111</v>
      </c>
      <c r="C2" s="1" t="s">
        <v>112</v>
      </c>
      <c r="D2" s="1" t="s">
        <v>113</v>
      </c>
      <c r="E2" s="1" t="s">
        <v>114</v>
      </c>
      <c r="F2" s="1" t="s">
        <v>115</v>
      </c>
      <c r="G2" s="1" t="s">
        <v>116</v>
      </c>
      <c r="H2" s="1" t="s">
        <v>117</v>
      </c>
      <c r="I2" s="1" t="s">
        <v>118</v>
      </c>
      <c r="J2" s="1" t="s">
        <v>119</v>
      </c>
      <c r="K2" s="1" t="s">
        <v>120</v>
      </c>
      <c r="L2" s="1" t="s">
        <v>121</v>
      </c>
      <c r="M2" s="1" t="s">
        <v>122</v>
      </c>
      <c r="N2" s="1" t="s">
        <v>123</v>
      </c>
      <c r="O2" s="1" t="s">
        <v>124</v>
      </c>
      <c r="P2" s="1" t="s">
        <v>125</v>
      </c>
      <c r="Q2" s="1" t="s">
        <v>126</v>
      </c>
      <c r="R2" s="1" t="s">
        <v>127</v>
      </c>
      <c r="S2" s="1" t="s">
        <v>128</v>
      </c>
      <c r="T2" s="1" t="s">
        <v>129</v>
      </c>
      <c r="U2" s="1" t="s">
        <v>130</v>
      </c>
      <c r="V2" s="1" t="s">
        <v>131</v>
      </c>
      <c r="W2" s="1" t="s">
        <v>132</v>
      </c>
      <c r="X2" s="1" t="s">
        <v>133</v>
      </c>
      <c r="Y2" s="1" t="s">
        <v>134</v>
      </c>
      <c r="Z2" s="1" t="s">
        <v>135</v>
      </c>
      <c r="AA2" s="5"/>
      <c r="AB2" s="1" t="s">
        <v>136</v>
      </c>
      <c r="AC2" s="1" t="s">
        <v>137</v>
      </c>
      <c r="AD2" s="1" t="s">
        <v>138</v>
      </c>
      <c r="AE2" s="1" t="s">
        <v>139</v>
      </c>
      <c r="AF2" s="2"/>
      <c r="AG2" s="5"/>
      <c r="AH2" s="1" t="s">
        <v>142</v>
      </c>
      <c r="AI2" s="1" t="s">
        <v>144</v>
      </c>
      <c r="AJ2" s="44" t="s">
        <v>214</v>
      </c>
    </row>
    <row r="3" spans="1:36">
      <c r="A3" s="82" t="s">
        <v>844</v>
      </c>
      <c r="B3" s="55">
        <v>3.04</v>
      </c>
      <c r="C3" s="55">
        <v>3.14</v>
      </c>
      <c r="D3" s="55">
        <v>3.06</v>
      </c>
      <c r="E3" s="55">
        <v>2.73</v>
      </c>
      <c r="F3" s="3"/>
      <c r="G3" s="55">
        <v>2.72</v>
      </c>
      <c r="H3" s="55">
        <v>2.84</v>
      </c>
      <c r="I3" s="55">
        <v>2.7</v>
      </c>
      <c r="J3" s="55">
        <v>2.76</v>
      </c>
      <c r="K3" s="55">
        <v>2.99</v>
      </c>
      <c r="L3" s="55">
        <v>2.7</v>
      </c>
      <c r="M3" s="55">
        <v>3.33</v>
      </c>
      <c r="N3" s="55">
        <v>2.82</v>
      </c>
      <c r="O3" s="55">
        <v>2.8</v>
      </c>
      <c r="P3" s="55">
        <v>3</v>
      </c>
      <c r="Q3" s="55">
        <v>3.18</v>
      </c>
      <c r="R3" s="55">
        <v>3.36</v>
      </c>
      <c r="S3" s="55">
        <v>2.92</v>
      </c>
      <c r="T3" s="55">
        <v>3.63</v>
      </c>
      <c r="U3" s="55">
        <v>3.18</v>
      </c>
      <c r="V3" s="55">
        <v>4.1500000000000004</v>
      </c>
      <c r="W3" s="55">
        <v>4.49</v>
      </c>
      <c r="X3" s="55">
        <v>2.97</v>
      </c>
      <c r="Y3" s="55">
        <v>2.8</v>
      </c>
      <c r="Z3" s="55">
        <v>2.94</v>
      </c>
      <c r="AA3" s="3"/>
      <c r="AB3" s="55">
        <v>1.34</v>
      </c>
      <c r="AC3" s="55">
        <v>5.05</v>
      </c>
      <c r="AD3" s="55">
        <v>6.63</v>
      </c>
      <c r="AE3" s="55">
        <v>13.34</v>
      </c>
      <c r="AF3" s="3"/>
      <c r="AG3" s="3"/>
      <c r="AH3" s="55">
        <v>3.28</v>
      </c>
      <c r="AI3" s="55">
        <v>2.86</v>
      </c>
      <c r="AJ3" s="58">
        <v>2.67</v>
      </c>
    </row>
    <row r="4" spans="1:36">
      <c r="A4" s="83" t="s">
        <v>845</v>
      </c>
      <c r="B4" s="56">
        <v>15.53</v>
      </c>
      <c r="C4" s="56">
        <v>5.44</v>
      </c>
      <c r="D4" s="56">
        <v>5.79</v>
      </c>
      <c r="E4" s="56">
        <v>4.45</v>
      </c>
      <c r="F4" s="5"/>
      <c r="G4" s="56">
        <v>9.56</v>
      </c>
      <c r="H4" s="56">
        <v>5.83</v>
      </c>
      <c r="I4" s="56">
        <v>6</v>
      </c>
      <c r="J4" s="56">
        <v>8.08</v>
      </c>
      <c r="K4" s="56">
        <v>6.79</v>
      </c>
      <c r="L4" s="56">
        <v>6.71</v>
      </c>
      <c r="M4" s="56">
        <v>5.05</v>
      </c>
      <c r="N4" s="56">
        <v>7.17</v>
      </c>
      <c r="O4" s="56">
        <v>6.06</v>
      </c>
      <c r="P4" s="56">
        <v>9.9499999999999993</v>
      </c>
      <c r="Q4" s="56">
        <v>8.76</v>
      </c>
      <c r="R4" s="56">
        <v>11.87</v>
      </c>
      <c r="S4" s="56">
        <v>6.01</v>
      </c>
      <c r="T4" s="56">
        <v>8.0399999999999991</v>
      </c>
      <c r="U4" s="56">
        <v>3.02</v>
      </c>
      <c r="V4" s="56">
        <v>15.52</v>
      </c>
      <c r="W4" s="56">
        <v>9</v>
      </c>
      <c r="X4" s="56">
        <v>12.21</v>
      </c>
      <c r="Y4" s="56">
        <v>3.4</v>
      </c>
      <c r="Z4" s="56">
        <v>10.99</v>
      </c>
      <c r="AA4" s="5"/>
      <c r="AB4" s="56">
        <v>2.2000000000000002</v>
      </c>
      <c r="AC4" s="56">
        <v>9.57</v>
      </c>
      <c r="AD4" s="56">
        <v>13.05</v>
      </c>
      <c r="AE4" s="56">
        <v>14.87</v>
      </c>
      <c r="AF4" s="5"/>
      <c r="AG4" s="5"/>
      <c r="AH4" s="56">
        <v>1.06</v>
      </c>
      <c r="AI4" s="56">
        <v>6.64</v>
      </c>
      <c r="AJ4" s="59">
        <v>9.67</v>
      </c>
    </row>
    <row r="5" spans="1:36">
      <c r="A5" s="82" t="s">
        <v>846</v>
      </c>
      <c r="B5" s="55">
        <v>5.76</v>
      </c>
      <c r="C5" s="55">
        <v>6.46</v>
      </c>
      <c r="D5" s="55">
        <v>6.12</v>
      </c>
      <c r="E5" s="55">
        <v>5.04</v>
      </c>
      <c r="F5" s="3"/>
      <c r="G5" s="55">
        <v>2.94</v>
      </c>
      <c r="H5" s="55">
        <v>3.84</v>
      </c>
      <c r="I5" s="55">
        <v>4.0999999999999996</v>
      </c>
      <c r="J5" s="55">
        <v>2.4</v>
      </c>
      <c r="K5" s="55">
        <v>6.14</v>
      </c>
      <c r="L5" s="55">
        <v>4.8099999999999996</v>
      </c>
      <c r="M5" s="55">
        <v>5.05</v>
      </c>
      <c r="N5" s="55">
        <v>5.03</v>
      </c>
      <c r="O5" s="55">
        <v>4.8499999999999996</v>
      </c>
      <c r="P5" s="55">
        <v>4.1100000000000003</v>
      </c>
      <c r="Q5" s="55">
        <v>5.16</v>
      </c>
      <c r="R5" s="55">
        <v>7.09</v>
      </c>
      <c r="S5" s="55">
        <v>4.1100000000000003</v>
      </c>
      <c r="T5" s="55">
        <v>6.32</v>
      </c>
      <c r="U5" s="55">
        <v>6.21</v>
      </c>
      <c r="V5" s="55">
        <v>6.99</v>
      </c>
      <c r="W5" s="55">
        <v>7.57</v>
      </c>
      <c r="X5" s="55">
        <v>5.95</v>
      </c>
      <c r="Y5" s="55">
        <v>5.91</v>
      </c>
      <c r="Z5" s="55">
        <v>6.81</v>
      </c>
      <c r="AA5" s="3"/>
      <c r="AB5" s="55">
        <v>0.31</v>
      </c>
      <c r="AC5" s="55">
        <v>7.88</v>
      </c>
      <c r="AD5" s="55">
        <v>8.9499999999999993</v>
      </c>
      <c r="AE5" s="55">
        <v>10.83</v>
      </c>
      <c r="AF5" s="3"/>
      <c r="AG5" s="3"/>
      <c r="AH5" s="55">
        <v>6.2</v>
      </c>
      <c r="AI5" s="55">
        <v>3.09</v>
      </c>
      <c r="AJ5" s="58">
        <v>3.03</v>
      </c>
    </row>
    <row r="6" spans="1:36">
      <c r="A6" s="73"/>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16"/>
    </row>
    <row r="7" spans="1:36">
      <c r="A7" s="82" t="s">
        <v>847</v>
      </c>
      <c r="B7" s="55">
        <v>0</v>
      </c>
      <c r="C7" s="55">
        <v>0</v>
      </c>
      <c r="D7" s="55">
        <v>0</v>
      </c>
      <c r="E7" s="55">
        <v>0</v>
      </c>
      <c r="F7" s="3"/>
      <c r="G7" s="55">
        <v>0</v>
      </c>
      <c r="H7" s="55">
        <v>0</v>
      </c>
      <c r="I7" s="55">
        <v>0</v>
      </c>
      <c r="J7" s="55">
        <v>0</v>
      </c>
      <c r="K7" s="55">
        <v>0</v>
      </c>
      <c r="L7" s="55">
        <v>0</v>
      </c>
      <c r="M7" s="55">
        <v>0</v>
      </c>
      <c r="N7" s="55">
        <v>0</v>
      </c>
      <c r="O7" s="55">
        <v>0</v>
      </c>
      <c r="P7" s="55">
        <v>0</v>
      </c>
      <c r="Q7" s="55">
        <v>0.01</v>
      </c>
      <c r="R7" s="55">
        <v>0</v>
      </c>
      <c r="S7" s="55">
        <v>0</v>
      </c>
      <c r="T7" s="55">
        <v>0.05</v>
      </c>
      <c r="U7" s="55">
        <v>0</v>
      </c>
      <c r="V7" s="55">
        <v>0.01</v>
      </c>
      <c r="W7" s="55">
        <v>0</v>
      </c>
      <c r="X7" s="55">
        <v>0</v>
      </c>
      <c r="Y7" s="55">
        <v>0</v>
      </c>
      <c r="Z7" s="55">
        <v>0</v>
      </c>
      <c r="AA7" s="3"/>
      <c r="AB7" s="55">
        <v>0</v>
      </c>
      <c r="AC7" s="55">
        <v>0</v>
      </c>
      <c r="AD7" s="55">
        <v>0.15</v>
      </c>
      <c r="AE7" s="55">
        <v>0.15</v>
      </c>
      <c r="AF7" s="3"/>
      <c r="AG7" s="3"/>
      <c r="AH7" s="55">
        <v>0</v>
      </c>
      <c r="AI7" s="55">
        <v>0</v>
      </c>
      <c r="AJ7" s="58">
        <v>0</v>
      </c>
    </row>
    <row r="8" spans="1:36">
      <c r="A8" s="83" t="s">
        <v>848</v>
      </c>
      <c r="B8" s="56">
        <v>0</v>
      </c>
      <c r="C8" s="56">
        <v>0</v>
      </c>
      <c r="D8" s="56">
        <v>0</v>
      </c>
      <c r="E8" s="56">
        <v>0</v>
      </c>
      <c r="F8" s="5"/>
      <c r="G8" s="56">
        <v>0</v>
      </c>
      <c r="H8" s="56">
        <v>0</v>
      </c>
      <c r="I8" s="56">
        <v>0</v>
      </c>
      <c r="J8" s="56">
        <v>0</v>
      </c>
      <c r="K8" s="56">
        <v>0</v>
      </c>
      <c r="L8" s="56">
        <v>0</v>
      </c>
      <c r="M8" s="56">
        <v>0</v>
      </c>
      <c r="N8" s="56">
        <v>0</v>
      </c>
      <c r="O8" s="56">
        <v>0</v>
      </c>
      <c r="P8" s="56">
        <v>0</v>
      </c>
      <c r="Q8" s="56">
        <v>0</v>
      </c>
      <c r="R8" s="56">
        <v>0</v>
      </c>
      <c r="S8" s="56">
        <v>0</v>
      </c>
      <c r="T8" s="56">
        <v>0</v>
      </c>
      <c r="U8" s="56">
        <v>0</v>
      </c>
      <c r="V8" s="56">
        <v>0</v>
      </c>
      <c r="W8" s="56">
        <v>0</v>
      </c>
      <c r="X8" s="56">
        <v>0</v>
      </c>
      <c r="Y8" s="56">
        <v>0</v>
      </c>
      <c r="Z8" s="56">
        <v>0</v>
      </c>
      <c r="AA8" s="5"/>
      <c r="AB8" s="56">
        <v>0</v>
      </c>
      <c r="AC8" s="56">
        <v>0.01</v>
      </c>
      <c r="AD8" s="56">
        <v>0.49</v>
      </c>
      <c r="AE8" s="56">
        <v>1.93</v>
      </c>
      <c r="AF8" s="5"/>
      <c r="AG8" s="5"/>
      <c r="AH8" s="56">
        <v>0</v>
      </c>
      <c r="AI8" s="56">
        <v>0</v>
      </c>
      <c r="AJ8" s="59">
        <v>0</v>
      </c>
    </row>
    <row r="9" spans="1:36">
      <c r="A9" s="82" t="s">
        <v>849</v>
      </c>
      <c r="B9" s="55">
        <v>0</v>
      </c>
      <c r="C9" s="55">
        <v>0</v>
      </c>
      <c r="D9" s="55">
        <v>0</v>
      </c>
      <c r="E9" s="55">
        <v>0</v>
      </c>
      <c r="F9" s="3"/>
      <c r="G9" s="55">
        <v>0</v>
      </c>
      <c r="H9" s="55">
        <v>0</v>
      </c>
      <c r="I9" s="55">
        <v>0</v>
      </c>
      <c r="J9" s="55">
        <v>0</v>
      </c>
      <c r="K9" s="55">
        <v>0</v>
      </c>
      <c r="L9" s="55">
        <v>0</v>
      </c>
      <c r="M9" s="55">
        <v>0</v>
      </c>
      <c r="N9" s="55">
        <v>0</v>
      </c>
      <c r="O9" s="55">
        <v>0</v>
      </c>
      <c r="P9" s="55">
        <v>0</v>
      </c>
      <c r="Q9" s="55">
        <v>0</v>
      </c>
      <c r="R9" s="55">
        <v>0</v>
      </c>
      <c r="S9" s="55">
        <v>0</v>
      </c>
      <c r="T9" s="55">
        <v>0</v>
      </c>
      <c r="U9" s="55">
        <v>0</v>
      </c>
      <c r="V9" s="55">
        <v>0</v>
      </c>
      <c r="W9" s="55">
        <v>0</v>
      </c>
      <c r="X9" s="55">
        <v>0</v>
      </c>
      <c r="Y9" s="55">
        <v>0</v>
      </c>
      <c r="Z9" s="55">
        <v>0</v>
      </c>
      <c r="AA9" s="3"/>
      <c r="AB9" s="55">
        <v>0</v>
      </c>
      <c r="AC9" s="55">
        <v>0</v>
      </c>
      <c r="AD9" s="55">
        <v>0</v>
      </c>
      <c r="AE9" s="55">
        <v>0</v>
      </c>
      <c r="AF9" s="3"/>
      <c r="AG9" s="3"/>
      <c r="AH9" s="55">
        <v>0</v>
      </c>
      <c r="AI9" s="55">
        <v>0</v>
      </c>
      <c r="AJ9" s="58">
        <v>0</v>
      </c>
    </row>
    <row r="10" spans="1:36">
      <c r="A10" s="83" t="s">
        <v>850</v>
      </c>
      <c r="B10" s="56">
        <v>0</v>
      </c>
      <c r="C10" s="56">
        <v>0</v>
      </c>
      <c r="D10" s="56">
        <v>0</v>
      </c>
      <c r="E10" s="56">
        <v>0</v>
      </c>
      <c r="F10" s="5"/>
      <c r="G10" s="56">
        <v>0</v>
      </c>
      <c r="H10" s="56">
        <v>0.01</v>
      </c>
      <c r="I10" s="56">
        <v>0</v>
      </c>
      <c r="J10" s="56">
        <v>0</v>
      </c>
      <c r="K10" s="56">
        <v>0</v>
      </c>
      <c r="L10" s="56">
        <v>0</v>
      </c>
      <c r="M10" s="56">
        <v>0</v>
      </c>
      <c r="N10" s="56">
        <v>0</v>
      </c>
      <c r="O10" s="56">
        <v>0</v>
      </c>
      <c r="P10" s="56">
        <v>0</v>
      </c>
      <c r="Q10" s="56">
        <v>0</v>
      </c>
      <c r="R10" s="56">
        <v>0</v>
      </c>
      <c r="S10" s="56">
        <v>0</v>
      </c>
      <c r="T10" s="56">
        <v>0</v>
      </c>
      <c r="U10" s="56">
        <v>0</v>
      </c>
      <c r="V10" s="56">
        <v>0.01</v>
      </c>
      <c r="W10" s="56">
        <v>0</v>
      </c>
      <c r="X10" s="56">
        <v>0</v>
      </c>
      <c r="Y10" s="56">
        <v>0</v>
      </c>
      <c r="Z10" s="56">
        <v>0</v>
      </c>
      <c r="AA10" s="5"/>
      <c r="AB10" s="56">
        <v>0</v>
      </c>
      <c r="AC10" s="56">
        <v>0</v>
      </c>
      <c r="AD10" s="56">
        <v>0</v>
      </c>
      <c r="AE10" s="56">
        <v>0</v>
      </c>
      <c r="AF10" s="5"/>
      <c r="AG10" s="5"/>
      <c r="AH10" s="56">
        <v>0</v>
      </c>
      <c r="AI10" s="56">
        <v>0</v>
      </c>
      <c r="AJ10" s="59">
        <v>0</v>
      </c>
    </row>
    <row r="11" spans="1:36">
      <c r="A11" s="82" t="s">
        <v>851</v>
      </c>
      <c r="B11" s="55">
        <v>0</v>
      </c>
      <c r="C11" s="55">
        <v>0</v>
      </c>
      <c r="D11" s="55">
        <v>0</v>
      </c>
      <c r="E11" s="55">
        <v>0</v>
      </c>
      <c r="F11" s="3"/>
      <c r="G11" s="55">
        <v>0</v>
      </c>
      <c r="H11" s="55">
        <v>0</v>
      </c>
      <c r="I11" s="55">
        <v>0</v>
      </c>
      <c r="J11" s="55">
        <v>0</v>
      </c>
      <c r="K11" s="55">
        <v>0</v>
      </c>
      <c r="L11" s="55">
        <v>0</v>
      </c>
      <c r="M11" s="55">
        <v>0</v>
      </c>
      <c r="N11" s="55">
        <v>0</v>
      </c>
      <c r="O11" s="55">
        <v>0</v>
      </c>
      <c r="P11" s="55">
        <v>0</v>
      </c>
      <c r="Q11" s="55">
        <v>0</v>
      </c>
      <c r="R11" s="55">
        <v>0</v>
      </c>
      <c r="S11" s="55">
        <v>0</v>
      </c>
      <c r="T11" s="55">
        <v>0</v>
      </c>
      <c r="U11" s="55">
        <v>0</v>
      </c>
      <c r="V11" s="55">
        <v>0</v>
      </c>
      <c r="W11" s="55">
        <v>0</v>
      </c>
      <c r="X11" s="55">
        <v>0</v>
      </c>
      <c r="Y11" s="55">
        <v>0</v>
      </c>
      <c r="Z11" s="55">
        <v>0</v>
      </c>
      <c r="AA11" s="3"/>
      <c r="AB11" s="55">
        <v>0</v>
      </c>
      <c r="AC11" s="55">
        <v>0</v>
      </c>
      <c r="AD11" s="55">
        <v>0</v>
      </c>
      <c r="AE11" s="55">
        <v>0.01</v>
      </c>
      <c r="AF11" s="3"/>
      <c r="AG11" s="3"/>
      <c r="AH11" s="55">
        <v>0</v>
      </c>
      <c r="AI11" s="55">
        <v>0</v>
      </c>
      <c r="AJ11" s="58">
        <v>0</v>
      </c>
    </row>
    <row r="12" spans="1:36" ht="15.95" thickBot="1">
      <c r="A12" s="84" t="s">
        <v>852</v>
      </c>
      <c r="B12" s="60">
        <v>0</v>
      </c>
      <c r="C12" s="60">
        <v>0</v>
      </c>
      <c r="D12" s="60">
        <v>0</v>
      </c>
      <c r="E12" s="60">
        <v>0</v>
      </c>
      <c r="F12" s="27"/>
      <c r="G12" s="60">
        <v>0</v>
      </c>
      <c r="H12" s="60">
        <v>0</v>
      </c>
      <c r="I12" s="60">
        <v>0</v>
      </c>
      <c r="J12" s="60">
        <v>0</v>
      </c>
      <c r="K12" s="60">
        <v>0.01</v>
      </c>
      <c r="L12" s="60">
        <v>0</v>
      </c>
      <c r="M12" s="60">
        <v>0</v>
      </c>
      <c r="N12" s="60">
        <v>0</v>
      </c>
      <c r="O12" s="60">
        <v>0</v>
      </c>
      <c r="P12" s="60">
        <v>0</v>
      </c>
      <c r="Q12" s="60">
        <v>0</v>
      </c>
      <c r="R12" s="60">
        <v>0</v>
      </c>
      <c r="S12" s="60">
        <v>0</v>
      </c>
      <c r="T12" s="60">
        <v>0.01</v>
      </c>
      <c r="U12" s="60">
        <v>0</v>
      </c>
      <c r="V12" s="60">
        <v>0</v>
      </c>
      <c r="W12" s="60">
        <v>0</v>
      </c>
      <c r="X12" s="60">
        <v>0</v>
      </c>
      <c r="Y12" s="60">
        <v>0</v>
      </c>
      <c r="Z12" s="60">
        <v>0</v>
      </c>
      <c r="AA12" s="27"/>
      <c r="AB12" s="60">
        <v>0</v>
      </c>
      <c r="AC12" s="60">
        <v>0</v>
      </c>
      <c r="AD12" s="60">
        <v>0.13</v>
      </c>
      <c r="AE12" s="60">
        <v>0.08</v>
      </c>
      <c r="AF12" s="27"/>
      <c r="AG12" s="27"/>
      <c r="AH12" s="60">
        <v>0</v>
      </c>
      <c r="AI12" s="60">
        <v>0</v>
      </c>
      <c r="AJ12" s="6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10"/>
  <sheetViews>
    <sheetView workbookViewId="0">
      <selection activeCell="A3" sqref="A3"/>
    </sheetView>
  </sheetViews>
  <sheetFormatPr defaultColWidth="8.85546875" defaultRowHeight="15"/>
  <cols>
    <col min="1" max="1" width="9.7109375" bestFit="1" customWidth="1"/>
    <col min="28" max="28" width="11" customWidth="1"/>
    <col min="29" max="29" width="11.28515625" customWidth="1"/>
    <col min="30" max="30" width="11.7109375" customWidth="1"/>
    <col min="31" max="31" width="12.28515625" customWidth="1"/>
  </cols>
  <sheetData>
    <row r="1" spans="1:37">
      <c r="A1" s="97" t="s">
        <v>72</v>
      </c>
      <c r="B1" s="38" t="s">
        <v>73</v>
      </c>
      <c r="C1" s="38" t="s">
        <v>74</v>
      </c>
      <c r="D1" s="38" t="s">
        <v>75</v>
      </c>
      <c r="E1" s="38" t="s">
        <v>76</v>
      </c>
      <c r="F1" s="38" t="s">
        <v>77</v>
      </c>
      <c r="G1" s="38" t="s">
        <v>78</v>
      </c>
      <c r="H1" s="38" t="s">
        <v>79</v>
      </c>
      <c r="I1" s="38" t="s">
        <v>80</v>
      </c>
      <c r="J1" s="38" t="s">
        <v>81</v>
      </c>
      <c r="K1" s="38" t="s">
        <v>82</v>
      </c>
      <c r="L1" s="38" t="s">
        <v>83</v>
      </c>
      <c r="M1" s="38" t="s">
        <v>84</v>
      </c>
      <c r="N1" s="38" t="s">
        <v>85</v>
      </c>
      <c r="O1" s="38" t="s">
        <v>86</v>
      </c>
      <c r="P1" s="38" t="s">
        <v>87</v>
      </c>
      <c r="Q1" s="38" t="s">
        <v>88</v>
      </c>
      <c r="R1" s="38" t="s">
        <v>89</v>
      </c>
      <c r="S1" s="38" t="s">
        <v>90</v>
      </c>
      <c r="T1" s="38" t="s">
        <v>91</v>
      </c>
      <c r="U1" s="38" t="s">
        <v>92</v>
      </c>
      <c r="V1" s="38" t="s">
        <v>93</v>
      </c>
      <c r="W1" s="38" t="s">
        <v>94</v>
      </c>
      <c r="X1" s="38" t="s">
        <v>95</v>
      </c>
      <c r="Y1" s="38" t="s">
        <v>96</v>
      </c>
      <c r="Z1" s="38" t="s">
        <v>97</v>
      </c>
      <c r="AA1" s="40"/>
      <c r="AB1" s="38" t="s">
        <v>98</v>
      </c>
      <c r="AC1" s="38" t="s">
        <v>99</v>
      </c>
      <c r="AD1" s="38" t="s">
        <v>100</v>
      </c>
      <c r="AE1" s="38" t="s">
        <v>101</v>
      </c>
      <c r="AF1" s="38" t="s">
        <v>102</v>
      </c>
      <c r="AG1" s="40"/>
      <c r="AH1" s="38" t="s">
        <v>105</v>
      </c>
      <c r="AI1" s="38" t="s">
        <v>106</v>
      </c>
      <c r="AJ1" s="38" t="s">
        <v>107</v>
      </c>
      <c r="AK1" s="57" t="s">
        <v>212</v>
      </c>
    </row>
    <row r="2" spans="1:37">
      <c r="A2" s="73"/>
      <c r="B2" s="79" t="s">
        <v>111</v>
      </c>
      <c r="C2" s="79" t="s">
        <v>112</v>
      </c>
      <c r="D2" s="79" t="s">
        <v>113</v>
      </c>
      <c r="E2" s="79" t="s">
        <v>114</v>
      </c>
      <c r="F2" s="79" t="s">
        <v>115</v>
      </c>
      <c r="G2" s="79" t="s">
        <v>116</v>
      </c>
      <c r="H2" s="79" t="s">
        <v>117</v>
      </c>
      <c r="I2" s="79" t="s">
        <v>118</v>
      </c>
      <c r="J2" s="79" t="s">
        <v>119</v>
      </c>
      <c r="K2" s="79" t="s">
        <v>120</v>
      </c>
      <c r="L2" s="79" t="s">
        <v>121</v>
      </c>
      <c r="M2" s="79" t="s">
        <v>122</v>
      </c>
      <c r="N2" s="79" t="s">
        <v>123</v>
      </c>
      <c r="O2" s="79" t="s">
        <v>124</v>
      </c>
      <c r="P2" s="79" t="s">
        <v>125</v>
      </c>
      <c r="Q2" s="79" t="s">
        <v>126</v>
      </c>
      <c r="R2" s="79" t="s">
        <v>127</v>
      </c>
      <c r="S2" s="79" t="s">
        <v>128</v>
      </c>
      <c r="T2" s="79" t="s">
        <v>129</v>
      </c>
      <c r="U2" s="79" t="s">
        <v>130</v>
      </c>
      <c r="V2" s="79" t="s">
        <v>131</v>
      </c>
      <c r="W2" s="79" t="s">
        <v>132</v>
      </c>
      <c r="X2" s="79" t="s">
        <v>133</v>
      </c>
      <c r="Y2" s="79" t="s">
        <v>134</v>
      </c>
      <c r="Z2" s="79" t="s">
        <v>135</v>
      </c>
      <c r="AA2" s="69"/>
      <c r="AB2" s="79" t="s">
        <v>136</v>
      </c>
      <c r="AC2" s="79" t="s">
        <v>137</v>
      </c>
      <c r="AD2" s="79" t="s">
        <v>138</v>
      </c>
      <c r="AE2" s="79" t="s">
        <v>139</v>
      </c>
      <c r="AF2" s="80"/>
      <c r="AG2" s="69"/>
      <c r="AH2" s="79" t="s">
        <v>142</v>
      </c>
      <c r="AI2" s="79" t="s">
        <v>143</v>
      </c>
      <c r="AJ2" s="79" t="s">
        <v>144</v>
      </c>
      <c r="AK2" s="81" t="s">
        <v>214</v>
      </c>
    </row>
    <row r="3" spans="1:37">
      <c r="A3" s="13" t="s">
        <v>853</v>
      </c>
      <c r="B3" s="35">
        <v>5.9899999999999997E-3</v>
      </c>
      <c r="C3" s="35">
        <v>7.43E-3</v>
      </c>
      <c r="D3" s="35">
        <v>8.9599999999999992E-3</v>
      </c>
      <c r="E3" s="35">
        <v>0.127</v>
      </c>
      <c r="F3" s="35">
        <v>1.6299999999999999E-2</v>
      </c>
      <c r="G3" s="35">
        <v>9.8300000000000002E-3</v>
      </c>
      <c r="H3" s="35">
        <v>1.04E-2</v>
      </c>
      <c r="I3" s="35">
        <v>7.2399999999999999E-3</v>
      </c>
      <c r="J3" s="35">
        <v>8.7900000000000006E-2</v>
      </c>
      <c r="K3" s="35">
        <v>4.6499999999999996E-3</v>
      </c>
      <c r="L3" s="35">
        <v>4.9399999999999999E-3</v>
      </c>
      <c r="M3" s="35">
        <v>1.2200000000000001E-2</v>
      </c>
      <c r="N3" s="35">
        <v>1.12E-2</v>
      </c>
      <c r="O3" s="35">
        <v>1.97E-3</v>
      </c>
      <c r="P3" s="35">
        <v>0</v>
      </c>
      <c r="Q3" s="35">
        <v>9.5899999999999996E-3</v>
      </c>
      <c r="R3" s="35">
        <v>6.9499999999999996E-3</v>
      </c>
      <c r="S3" s="35">
        <v>1.5100000000000001E-2</v>
      </c>
      <c r="T3" s="35">
        <v>3.4499999999999999E-3</v>
      </c>
      <c r="U3" s="35">
        <v>9.2999999999999992E-3</v>
      </c>
      <c r="V3" s="35">
        <v>9.0100000000000006E-3</v>
      </c>
      <c r="W3" s="35">
        <v>5.7000000000000002E-3</v>
      </c>
      <c r="X3" s="35">
        <v>8.5299999999999994E-3</v>
      </c>
      <c r="Y3" s="35">
        <v>9.92E-3</v>
      </c>
      <c r="Z3" s="35">
        <v>9.5399999999999999E-3</v>
      </c>
      <c r="AA3" s="3"/>
      <c r="AB3" s="35">
        <v>3.31E-3</v>
      </c>
      <c r="AC3" s="35">
        <v>4.5500000000000002E-3</v>
      </c>
      <c r="AD3" s="35">
        <v>4.0699999999999998E-3</v>
      </c>
      <c r="AE3" s="35">
        <v>0.67900000000000005</v>
      </c>
      <c r="AF3" s="3"/>
      <c r="AG3" s="3"/>
      <c r="AH3" s="35">
        <v>6.3299999999999997E-3</v>
      </c>
      <c r="AI3" s="35">
        <v>1.0500000000000001E-2</v>
      </c>
      <c r="AJ3" s="35">
        <v>1.41E-2</v>
      </c>
      <c r="AK3" s="45">
        <v>4.5100000000000001E-3</v>
      </c>
    </row>
    <row r="4" spans="1:37">
      <c r="A4" s="13" t="s">
        <v>854</v>
      </c>
      <c r="B4" s="36">
        <v>0</v>
      </c>
      <c r="C4" s="36">
        <v>0</v>
      </c>
      <c r="D4" s="36">
        <v>0</v>
      </c>
      <c r="E4" s="36">
        <v>2.35E-2</v>
      </c>
      <c r="F4" s="36">
        <v>3.6499999999999998E-2</v>
      </c>
      <c r="G4" s="36">
        <v>0</v>
      </c>
      <c r="H4" s="36">
        <v>8.9999999999999993E-3</v>
      </c>
      <c r="I4" s="36">
        <v>0</v>
      </c>
      <c r="J4" s="36">
        <v>1.5E-3</v>
      </c>
      <c r="K4" s="36">
        <v>1.7999999999999999E-2</v>
      </c>
      <c r="L4" s="36">
        <v>1.6500000000000001E-2</v>
      </c>
      <c r="M4" s="36">
        <v>0</v>
      </c>
      <c r="N4" s="36">
        <v>0</v>
      </c>
      <c r="O4" s="36">
        <v>0</v>
      </c>
      <c r="P4" s="36">
        <v>0</v>
      </c>
      <c r="Q4" s="36">
        <v>9.5000000000000001E-2</v>
      </c>
      <c r="R4" s="36">
        <v>0</v>
      </c>
      <c r="S4" s="36">
        <v>8.9999999999999993E-3</v>
      </c>
      <c r="T4" s="36">
        <v>0.32400000000000001</v>
      </c>
      <c r="U4" s="36">
        <v>0</v>
      </c>
      <c r="V4" s="36">
        <v>7.2499999999999995E-2</v>
      </c>
      <c r="W4" s="36">
        <v>0</v>
      </c>
      <c r="X4" s="36">
        <v>0</v>
      </c>
      <c r="Y4" s="36">
        <v>0</v>
      </c>
      <c r="Z4" s="36">
        <v>0</v>
      </c>
      <c r="AA4" s="5"/>
      <c r="AB4" s="36">
        <v>0</v>
      </c>
      <c r="AC4" s="36">
        <v>8.0000000000000002E-3</v>
      </c>
      <c r="AD4" s="36">
        <v>0.49</v>
      </c>
      <c r="AE4" s="36">
        <v>0.248</v>
      </c>
      <c r="AF4" s="5"/>
      <c r="AG4" s="5"/>
      <c r="AH4" s="36">
        <v>0</v>
      </c>
      <c r="AI4" s="36">
        <v>2.9499999999999998E-2</v>
      </c>
      <c r="AJ4" s="36">
        <v>1.4500000000000001E-2</v>
      </c>
      <c r="AK4" s="46">
        <v>6.0000000000000001E-3</v>
      </c>
    </row>
    <row r="5" spans="1:37">
      <c r="A5" s="13" t="s">
        <v>855</v>
      </c>
      <c r="B5" s="35">
        <v>6.4900000000000001E-3</v>
      </c>
      <c r="C5" s="35">
        <v>3.7100000000000002E-3</v>
      </c>
      <c r="D5" s="35">
        <v>5.8999999999999999E-3</v>
      </c>
      <c r="E5" s="35">
        <v>4.1700000000000001E-3</v>
      </c>
      <c r="F5" s="35">
        <v>0</v>
      </c>
      <c r="G5" s="35">
        <v>3.2200000000000002E-3</v>
      </c>
      <c r="H5" s="35">
        <v>5.3400000000000001E-3</v>
      </c>
      <c r="I5" s="35">
        <v>3.5000000000000001E-3</v>
      </c>
      <c r="J5" s="35">
        <v>4.64E-3</v>
      </c>
      <c r="K5" s="35">
        <v>3.6900000000000001E-3</v>
      </c>
      <c r="L5" s="35">
        <v>0</v>
      </c>
      <c r="M5" s="35">
        <v>0</v>
      </c>
      <c r="N5" s="35">
        <v>8.94E-3</v>
      </c>
      <c r="O5" s="35">
        <v>4.9500000000000004E-3</v>
      </c>
      <c r="P5" s="35">
        <v>6.1000000000000004E-3</v>
      </c>
      <c r="Q5" s="35">
        <v>0</v>
      </c>
      <c r="R5" s="35">
        <v>1.44E-2</v>
      </c>
      <c r="S5" s="35">
        <v>5.0600000000000003E-3</v>
      </c>
      <c r="T5" s="35">
        <v>8.5000000000000006E-3</v>
      </c>
      <c r="U5" s="35">
        <v>5.7999999999999996E-3</v>
      </c>
      <c r="V5" s="35">
        <v>0</v>
      </c>
      <c r="W5" s="35">
        <v>9.4999999999999998E-3</v>
      </c>
      <c r="X5" s="35">
        <v>0</v>
      </c>
      <c r="Y5" s="35">
        <v>4.8999999999999998E-3</v>
      </c>
      <c r="Z5" s="35">
        <v>5.3200000000000001E-3</v>
      </c>
      <c r="AA5" s="3"/>
      <c r="AB5" s="35">
        <v>4.79E-3</v>
      </c>
      <c r="AC5" s="35">
        <v>2.4199999999999999E-2</v>
      </c>
      <c r="AD5" s="35">
        <v>1.64</v>
      </c>
      <c r="AE5" s="35">
        <v>3.12</v>
      </c>
      <c r="AF5" s="3"/>
      <c r="AG5" s="3"/>
      <c r="AH5" s="35">
        <v>3.0400000000000002E-4</v>
      </c>
      <c r="AI5" s="35">
        <v>0</v>
      </c>
      <c r="AJ5" s="35">
        <v>5.7499999999999999E-3</v>
      </c>
      <c r="AK5" s="45">
        <v>4.47E-3</v>
      </c>
    </row>
    <row r="6" spans="1:37">
      <c r="A6" s="13" t="s">
        <v>856</v>
      </c>
      <c r="B6" s="36">
        <v>0</v>
      </c>
      <c r="C6" s="36">
        <v>2.13E-4</v>
      </c>
      <c r="D6" s="36">
        <v>1.4200000000000001E-4</v>
      </c>
      <c r="E6" s="36">
        <v>0</v>
      </c>
      <c r="F6" s="36">
        <v>0</v>
      </c>
      <c r="G6" s="36">
        <v>0</v>
      </c>
      <c r="H6" s="36">
        <v>0</v>
      </c>
      <c r="I6" s="36">
        <v>4.9799999999999996E-4</v>
      </c>
      <c r="J6" s="36">
        <v>9.2400000000000002E-4</v>
      </c>
      <c r="K6" s="36">
        <v>4.9799999999999996E-4</v>
      </c>
      <c r="L6" s="36">
        <v>0</v>
      </c>
      <c r="M6" s="36">
        <v>0</v>
      </c>
      <c r="N6" s="36">
        <v>0</v>
      </c>
      <c r="O6" s="36">
        <v>0</v>
      </c>
      <c r="P6" s="36">
        <v>0</v>
      </c>
      <c r="Q6" s="36">
        <v>0</v>
      </c>
      <c r="R6" s="36">
        <v>3.2000000000000002E-3</v>
      </c>
      <c r="S6" s="36">
        <v>0</v>
      </c>
      <c r="T6" s="36">
        <v>1.0500000000000001E-2</v>
      </c>
      <c r="U6" s="36">
        <v>0</v>
      </c>
      <c r="V6" s="36">
        <v>0</v>
      </c>
      <c r="W6" s="36">
        <v>0</v>
      </c>
      <c r="X6" s="36">
        <v>0</v>
      </c>
      <c r="Y6" s="36">
        <v>3.4399999999999999E-3</v>
      </c>
      <c r="Z6" s="36">
        <v>0</v>
      </c>
      <c r="AA6" s="5"/>
      <c r="AB6" s="36">
        <v>0</v>
      </c>
      <c r="AC6" s="36">
        <v>0</v>
      </c>
      <c r="AD6" s="36">
        <v>0</v>
      </c>
      <c r="AE6" s="36">
        <v>6.6800000000000002E-3</v>
      </c>
      <c r="AF6" s="5"/>
      <c r="AG6" s="5"/>
      <c r="AH6" s="36">
        <v>0</v>
      </c>
      <c r="AI6" s="36">
        <v>0</v>
      </c>
      <c r="AJ6" s="36">
        <v>0</v>
      </c>
      <c r="AK6" s="46">
        <v>0</v>
      </c>
    </row>
    <row r="7" spans="1:37">
      <c r="A7" s="13" t="s">
        <v>857</v>
      </c>
      <c r="B7" s="35">
        <v>0</v>
      </c>
      <c r="C7" s="35">
        <v>1.3600000000000001E-3</v>
      </c>
      <c r="D7" s="35">
        <v>0</v>
      </c>
      <c r="E7" s="35">
        <v>2.15E-3</v>
      </c>
      <c r="F7" s="35">
        <v>2.65E-3</v>
      </c>
      <c r="G7" s="35">
        <v>9.8700000000000003E-4</v>
      </c>
      <c r="H7" s="35">
        <v>1.2899999999999999E-3</v>
      </c>
      <c r="I7" s="35">
        <v>7.8899999999999999E-4</v>
      </c>
      <c r="J7" s="35">
        <v>1.2899999999999999E-3</v>
      </c>
      <c r="K7" s="35">
        <v>2.5100000000000001E-3</v>
      </c>
      <c r="L7" s="35">
        <v>2.8699999999999998E-4</v>
      </c>
      <c r="M7" s="35">
        <v>4.3E-3</v>
      </c>
      <c r="N7" s="35">
        <v>2.7499999999999998E-3</v>
      </c>
      <c r="O7" s="35">
        <v>1.08E-3</v>
      </c>
      <c r="P7" s="35">
        <v>1.8699999999999999E-3</v>
      </c>
      <c r="Q7" s="35">
        <v>6.3400000000000001E-3</v>
      </c>
      <c r="R7" s="35">
        <v>6.8199999999999997E-3</v>
      </c>
      <c r="S7" s="35">
        <v>1.15E-3</v>
      </c>
      <c r="T7" s="35">
        <v>3.3700000000000001E-2</v>
      </c>
      <c r="U7" s="35">
        <v>3.09E-2</v>
      </c>
      <c r="V7" s="35">
        <v>1.14E-2</v>
      </c>
      <c r="W7" s="35">
        <v>2.15E-3</v>
      </c>
      <c r="X7" s="35">
        <v>0</v>
      </c>
      <c r="Y7" s="35">
        <v>4.3E-3</v>
      </c>
      <c r="Z7" s="35">
        <v>1.5499999999999999E-3</v>
      </c>
      <c r="AA7" s="3"/>
      <c r="AB7" s="35">
        <v>1E-3</v>
      </c>
      <c r="AC7" s="35">
        <v>1E-3</v>
      </c>
      <c r="AD7" s="35">
        <v>0</v>
      </c>
      <c r="AE7" s="35">
        <v>1.7899999999999999E-4</v>
      </c>
      <c r="AF7" s="3"/>
      <c r="AG7" s="3"/>
      <c r="AH7" s="35">
        <v>2.63E-3</v>
      </c>
      <c r="AI7" s="35">
        <v>0</v>
      </c>
      <c r="AJ7" s="35">
        <v>1.72E-3</v>
      </c>
      <c r="AK7" s="45">
        <v>4.4799999999999999E-4</v>
      </c>
    </row>
    <row r="8" spans="1:37">
      <c r="A8" s="13" t="s">
        <v>243</v>
      </c>
      <c r="B8" s="36">
        <v>2.2700000000000001E-2</v>
      </c>
      <c r="C8" s="36">
        <v>5.8500000000000002E-3</v>
      </c>
      <c r="D8" s="36">
        <v>2.92E-2</v>
      </c>
      <c r="E8" s="36">
        <v>7.3099999999999997E-3</v>
      </c>
      <c r="F8" s="36">
        <v>7.7999999999999996E-3</v>
      </c>
      <c r="G8" s="36">
        <v>8.77E-3</v>
      </c>
      <c r="H8" s="36">
        <v>8.14E-2</v>
      </c>
      <c r="I8" s="36">
        <v>0</v>
      </c>
      <c r="J8" s="36">
        <v>0</v>
      </c>
      <c r="K8" s="36">
        <v>2.4399999999999999E-3</v>
      </c>
      <c r="L8" s="36">
        <v>1.61E-2</v>
      </c>
      <c r="M8" s="36">
        <v>0</v>
      </c>
      <c r="N8" s="36">
        <v>1.46E-2</v>
      </c>
      <c r="O8" s="36">
        <v>4.3E-3</v>
      </c>
      <c r="P8" s="36">
        <v>0</v>
      </c>
      <c r="Q8" s="36">
        <v>0</v>
      </c>
      <c r="R8" s="36">
        <v>0</v>
      </c>
      <c r="S8" s="36">
        <v>1.9499999999999999E-3</v>
      </c>
      <c r="T8" s="36">
        <v>2.2700000000000001E-2</v>
      </c>
      <c r="U8" s="36">
        <v>0</v>
      </c>
      <c r="V8" s="36">
        <v>3.9800000000000002E-2</v>
      </c>
      <c r="W8" s="36">
        <v>0</v>
      </c>
      <c r="X8" s="36">
        <v>0</v>
      </c>
      <c r="Y8" s="36">
        <v>1.15E-2</v>
      </c>
      <c r="Z8" s="36">
        <v>1.04E-2</v>
      </c>
      <c r="AA8" s="5"/>
      <c r="AB8" s="36">
        <v>6.8199999999999997E-3</v>
      </c>
      <c r="AC8" s="36">
        <v>1.61E-2</v>
      </c>
      <c r="AD8" s="36">
        <v>0</v>
      </c>
      <c r="AE8" s="36">
        <v>0</v>
      </c>
      <c r="AF8" s="5"/>
      <c r="AG8" s="5"/>
      <c r="AH8" s="36">
        <v>3.4099999999999998E-3</v>
      </c>
      <c r="AI8" s="36">
        <v>2.7300000000000001E-2</v>
      </c>
      <c r="AJ8" s="36">
        <v>8.77E-3</v>
      </c>
      <c r="AK8" s="46">
        <v>0</v>
      </c>
    </row>
    <row r="9" spans="1:37">
      <c r="A9" s="13" t="s">
        <v>219</v>
      </c>
      <c r="B9" s="35">
        <v>6.28E-3</v>
      </c>
      <c r="C9" s="35">
        <v>4.9500000000000004E-3</v>
      </c>
      <c r="D9" s="35">
        <v>2.7299999999999998E-3</v>
      </c>
      <c r="E9" s="35">
        <v>2.9199999999999999E-3</v>
      </c>
      <c r="F9" s="35">
        <v>4.2599999999999999E-3</v>
      </c>
      <c r="G9" s="35">
        <v>1.7799999999999999E-3</v>
      </c>
      <c r="H9" s="35">
        <v>1.9300000000000001E-3</v>
      </c>
      <c r="I9" s="35">
        <v>4.0600000000000002E-3</v>
      </c>
      <c r="J9" s="35">
        <v>2.9199999999999999E-3</v>
      </c>
      <c r="K9" s="35">
        <v>6.5900000000000004E-3</v>
      </c>
      <c r="L9" s="35">
        <v>4.0600000000000002E-3</v>
      </c>
      <c r="M9" s="35">
        <v>2.0600000000000002E-3</v>
      </c>
      <c r="N9" s="35">
        <v>3.3899999999999998E-3</v>
      </c>
      <c r="O9" s="35">
        <v>1.32E-3</v>
      </c>
      <c r="P9" s="35">
        <v>4.0499999999999998E-3</v>
      </c>
      <c r="Q9" s="35">
        <v>4.2900000000000004E-3</v>
      </c>
      <c r="R9" s="35">
        <v>0</v>
      </c>
      <c r="S9" s="35">
        <v>1.8799999999999999E-3</v>
      </c>
      <c r="T9" s="35">
        <v>8.6700000000000006E-3</v>
      </c>
      <c r="U9" s="35">
        <v>7.6E-3</v>
      </c>
      <c r="V9" s="35">
        <v>9.4999999999999998E-3</v>
      </c>
      <c r="W9" s="35">
        <v>6.1900000000000002E-3</v>
      </c>
      <c r="X9" s="35">
        <v>4.2100000000000002E-3</v>
      </c>
      <c r="Y9" s="35">
        <v>0</v>
      </c>
      <c r="Z9" s="35">
        <v>1.65E-3</v>
      </c>
      <c r="AA9" s="3"/>
      <c r="AB9" s="35">
        <v>1.2899999999999999E-3</v>
      </c>
      <c r="AC9" s="35">
        <v>2.1800000000000001E-3</v>
      </c>
      <c r="AD9" s="35">
        <v>3.6700000000000001E-3</v>
      </c>
      <c r="AE9" s="35">
        <v>9.0200000000000002E-3</v>
      </c>
      <c r="AF9" s="3"/>
      <c r="AG9" s="3"/>
      <c r="AH9" s="35">
        <v>7.4299999999999995E-4</v>
      </c>
      <c r="AI9" s="35">
        <v>3.7699999999999999E-3</v>
      </c>
      <c r="AJ9" s="35">
        <v>7.9299999999999998E-4</v>
      </c>
      <c r="AK9" s="45">
        <v>1.5399999999999999E-3</v>
      </c>
    </row>
    <row r="10" spans="1:37" ht="15.95" thickBot="1">
      <c r="A10" s="47" t="s">
        <v>858</v>
      </c>
      <c r="B10" s="54">
        <v>0</v>
      </c>
      <c r="C10" s="54">
        <v>1.95E-2</v>
      </c>
      <c r="D10" s="54">
        <v>0</v>
      </c>
      <c r="E10" s="54">
        <v>1.6799999999999999E-2</v>
      </c>
      <c r="F10" s="54">
        <v>1.16E-3</v>
      </c>
      <c r="G10" s="54">
        <v>2.42E-4</v>
      </c>
      <c r="H10" s="54">
        <v>0</v>
      </c>
      <c r="I10" s="54">
        <v>0</v>
      </c>
      <c r="J10" s="54">
        <v>0</v>
      </c>
      <c r="K10" s="54">
        <v>5.2299999999999999E-2</v>
      </c>
      <c r="L10" s="54">
        <v>0</v>
      </c>
      <c r="M10" s="54">
        <v>0</v>
      </c>
      <c r="N10" s="54">
        <v>8.3099999999999997E-3</v>
      </c>
      <c r="O10" s="54">
        <v>2.8200000000000002E-4</v>
      </c>
      <c r="P10" s="54">
        <v>0</v>
      </c>
      <c r="Q10" s="54">
        <v>0</v>
      </c>
      <c r="R10" s="54">
        <v>1.9300000000000001E-2</v>
      </c>
      <c r="S10" s="54">
        <v>2.5899999999999999E-2</v>
      </c>
      <c r="T10" s="54">
        <v>3.6200000000000003E-2</v>
      </c>
      <c r="U10" s="54">
        <v>8.0400000000000003E-3</v>
      </c>
      <c r="V10" s="54">
        <v>1.9400000000000001E-3</v>
      </c>
      <c r="W10" s="54">
        <v>5.7299999999999999E-3</v>
      </c>
      <c r="X10" s="54">
        <v>4.3600000000000002E-3</v>
      </c>
      <c r="Y10" s="54">
        <v>4.84E-4</v>
      </c>
      <c r="Z10" s="54">
        <v>1.2099999999999999E-3</v>
      </c>
      <c r="AA10" s="27"/>
      <c r="AB10" s="54">
        <v>0</v>
      </c>
      <c r="AC10" s="54">
        <v>1.3100000000000001E-2</v>
      </c>
      <c r="AD10" s="54">
        <v>0.42199999999999999</v>
      </c>
      <c r="AE10" s="54">
        <v>0.129</v>
      </c>
      <c r="AF10" s="27"/>
      <c r="AG10" s="27"/>
      <c r="AH10" s="54">
        <v>0</v>
      </c>
      <c r="AI10" s="54">
        <v>0</v>
      </c>
      <c r="AJ10" s="54">
        <v>0</v>
      </c>
      <c r="AK10" s="62">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71"/>
  <sheetViews>
    <sheetView workbookViewId="0">
      <selection activeCell="B278" sqref="B278"/>
    </sheetView>
  </sheetViews>
  <sheetFormatPr defaultColWidth="8.85546875" defaultRowHeight="15"/>
  <cols>
    <col min="1" max="1" width="24.140625" bestFit="1" customWidth="1"/>
    <col min="2" max="2" width="35.28515625" customWidth="1"/>
  </cols>
  <sheetData>
    <row r="1" spans="1:2">
      <c r="A1" s="132" t="s">
        <v>859</v>
      </c>
      <c r="B1" t="s">
        <v>860</v>
      </c>
    </row>
    <row r="2" spans="1:2">
      <c r="A2" s="133" t="s">
        <v>112</v>
      </c>
      <c r="B2" s="85" t="s">
        <v>861</v>
      </c>
    </row>
    <row r="3" spans="1:2">
      <c r="A3" s="133"/>
      <c r="B3" s="85" t="s">
        <v>862</v>
      </c>
    </row>
    <row r="4" spans="1:2">
      <c r="A4" s="133"/>
      <c r="B4" s="85" t="s">
        <v>863</v>
      </c>
    </row>
    <row r="5" spans="1:2">
      <c r="A5" s="133"/>
      <c r="B5" s="86" t="s">
        <v>864</v>
      </c>
    </row>
    <row r="6" spans="1:2">
      <c r="A6" s="133"/>
      <c r="B6" s="86" t="s">
        <v>865</v>
      </c>
    </row>
    <row r="7" spans="1:2">
      <c r="A7" s="133"/>
      <c r="B7" s="86" t="s">
        <v>866</v>
      </c>
    </row>
    <row r="8" spans="1:2">
      <c r="A8" s="133" t="s">
        <v>867</v>
      </c>
      <c r="B8" s="87" t="s">
        <v>868</v>
      </c>
    </row>
    <row r="9" spans="1:2">
      <c r="A9" s="133"/>
      <c r="B9" s="86" t="s">
        <v>869</v>
      </c>
    </row>
    <row r="10" spans="1:2">
      <c r="A10" s="133"/>
      <c r="B10" s="85" t="s">
        <v>870</v>
      </c>
    </row>
    <row r="11" spans="1:2">
      <c r="A11" s="133"/>
      <c r="B11" t="s">
        <v>871</v>
      </c>
    </row>
    <row r="12" spans="1:2">
      <c r="A12" s="133" t="s">
        <v>124</v>
      </c>
      <c r="B12" s="85" t="s">
        <v>872</v>
      </c>
    </row>
    <row r="13" spans="1:2">
      <c r="A13" s="133"/>
      <c r="B13" s="85" t="s">
        <v>873</v>
      </c>
    </row>
    <row r="14" spans="1:2">
      <c r="A14" s="133"/>
      <c r="B14" s="85" t="s">
        <v>874</v>
      </c>
    </row>
    <row r="15" spans="1:2">
      <c r="A15" s="133"/>
      <c r="B15" s="86" t="s">
        <v>875</v>
      </c>
    </row>
    <row r="16" spans="1:2">
      <c r="A16" s="133"/>
      <c r="B16" s="86" t="s">
        <v>876</v>
      </c>
    </row>
    <row r="17" spans="1:2">
      <c r="A17" s="133"/>
      <c r="B17" s="86" t="s">
        <v>877</v>
      </c>
    </row>
    <row r="18" spans="1:2">
      <c r="A18" s="133" t="s">
        <v>123</v>
      </c>
      <c r="B18" s="85" t="s">
        <v>878</v>
      </c>
    </row>
    <row r="19" spans="1:2">
      <c r="A19" s="133"/>
      <c r="B19" s="85" t="s">
        <v>879</v>
      </c>
    </row>
    <row r="20" spans="1:2">
      <c r="A20" s="133"/>
      <c r="B20" s="86" t="s">
        <v>880</v>
      </c>
    </row>
    <row r="21" spans="1:2">
      <c r="A21" s="133"/>
      <c r="B21" s="85" t="s">
        <v>881</v>
      </c>
    </row>
    <row r="22" spans="1:2">
      <c r="A22" s="133" t="s">
        <v>882</v>
      </c>
      <c r="B22" s="85" t="s">
        <v>883</v>
      </c>
    </row>
    <row r="23" spans="1:2">
      <c r="A23" s="133"/>
      <c r="B23" s="85" t="s">
        <v>884</v>
      </c>
    </row>
    <row r="24" spans="1:2">
      <c r="A24" s="133"/>
      <c r="B24" s="86" t="s">
        <v>885</v>
      </c>
    </row>
    <row r="25" spans="1:2">
      <c r="A25" s="133"/>
      <c r="B25" s="86" t="s">
        <v>886</v>
      </c>
    </row>
    <row r="26" spans="1:2">
      <c r="A26" s="133" t="s">
        <v>130</v>
      </c>
      <c r="B26" s="85" t="s">
        <v>887</v>
      </c>
    </row>
    <row r="27" spans="1:2">
      <c r="A27" s="133"/>
      <c r="B27" s="85" t="s">
        <v>888</v>
      </c>
    </row>
    <row r="28" spans="1:2">
      <c r="A28" s="133"/>
      <c r="B28" s="85" t="s">
        <v>889</v>
      </c>
    </row>
    <row r="29" spans="1:2">
      <c r="A29" s="133"/>
      <c r="B29" s="86" t="s">
        <v>890</v>
      </c>
    </row>
    <row r="30" spans="1:2">
      <c r="A30" s="133"/>
      <c r="B30" s="86" t="s">
        <v>891</v>
      </c>
    </row>
    <row r="31" spans="1:2">
      <c r="A31" s="133" t="s">
        <v>132</v>
      </c>
      <c r="B31" s="85" t="s">
        <v>892</v>
      </c>
    </row>
    <row r="32" spans="1:2">
      <c r="A32" s="133"/>
      <c r="B32" s="86" t="s">
        <v>893</v>
      </c>
    </row>
    <row r="33" spans="1:2">
      <c r="A33" s="133"/>
      <c r="B33" s="85" t="s">
        <v>894</v>
      </c>
    </row>
    <row r="34" spans="1:2">
      <c r="A34" s="133"/>
      <c r="B34" s="85" t="s">
        <v>895</v>
      </c>
    </row>
    <row r="35" spans="1:2">
      <c r="A35" s="133"/>
      <c r="B35" s="86" t="s">
        <v>896</v>
      </c>
    </row>
    <row r="36" spans="1:2">
      <c r="A36" s="133"/>
      <c r="B36" s="85" t="s">
        <v>897</v>
      </c>
    </row>
    <row r="37" spans="1:2">
      <c r="A37" s="133"/>
      <c r="B37" s="85" t="s">
        <v>898</v>
      </c>
    </row>
    <row r="38" spans="1:2">
      <c r="A38" s="133"/>
      <c r="B38" s="86" t="s">
        <v>891</v>
      </c>
    </row>
    <row r="39" spans="1:2">
      <c r="A39" s="133"/>
      <c r="B39" s="86" t="s">
        <v>899</v>
      </c>
    </row>
    <row r="40" spans="1:2">
      <c r="A40" s="133" t="s">
        <v>133</v>
      </c>
      <c r="B40" s="86" t="s">
        <v>900</v>
      </c>
    </row>
    <row r="41" spans="1:2">
      <c r="A41" s="133"/>
      <c r="B41" s="85" t="s">
        <v>901</v>
      </c>
    </row>
    <row r="42" spans="1:2">
      <c r="A42" s="133"/>
      <c r="B42" s="85" t="s">
        <v>902</v>
      </c>
    </row>
    <row r="43" spans="1:2">
      <c r="A43" s="133"/>
      <c r="B43" s="85" t="s">
        <v>903</v>
      </c>
    </row>
    <row r="44" spans="1:2">
      <c r="A44" s="133"/>
      <c r="B44" s="86" t="s">
        <v>904</v>
      </c>
    </row>
    <row r="45" spans="1:2" ht="15.95" thickBot="1">
      <c r="A45" s="134"/>
      <c r="B45" s="86" t="s">
        <v>891</v>
      </c>
    </row>
    <row r="46" spans="1:2">
      <c r="A46" t="s">
        <v>134</v>
      </c>
      <c r="B46" s="85" t="s">
        <v>905</v>
      </c>
    </row>
    <row r="47" spans="1:2">
      <c r="B47" s="85" t="s">
        <v>906</v>
      </c>
    </row>
    <row r="48" spans="1:2" ht="15.95">
      <c r="B48" s="85" t="s">
        <v>907</v>
      </c>
    </row>
    <row r="49" spans="1:4">
      <c r="B49" s="86" t="s">
        <v>908</v>
      </c>
    </row>
    <row r="50" spans="1:4">
      <c r="B50" s="86" t="s">
        <v>909</v>
      </c>
    </row>
    <row r="51" spans="1:4">
      <c r="A51" t="s">
        <v>135</v>
      </c>
      <c r="B51" s="85" t="s">
        <v>910</v>
      </c>
    </row>
    <row r="52" spans="1:4">
      <c r="B52" s="85" t="s">
        <v>911</v>
      </c>
    </row>
    <row r="53" spans="1:4">
      <c r="B53" s="85" t="s">
        <v>912</v>
      </c>
    </row>
    <row r="54" spans="1:4">
      <c r="B54" s="86" t="s">
        <v>913</v>
      </c>
    </row>
    <row r="55" spans="1:4">
      <c r="B55" s="86" t="s">
        <v>914</v>
      </c>
    </row>
    <row r="56" spans="1:4">
      <c r="B56" s="86" t="s">
        <v>909</v>
      </c>
    </row>
    <row r="57" spans="1:4">
      <c r="A57" t="s">
        <v>191</v>
      </c>
      <c r="B57" s="85" t="s">
        <v>915</v>
      </c>
    </row>
    <row r="58" spans="1:4">
      <c r="B58" s="85" t="s">
        <v>916</v>
      </c>
    </row>
    <row r="59" spans="1:4">
      <c r="B59" s="85" t="s">
        <v>917</v>
      </c>
    </row>
    <row r="60" spans="1:4">
      <c r="B60" s="85" t="s">
        <v>918</v>
      </c>
    </row>
    <row r="61" spans="1:4">
      <c r="B61" s="88" t="s">
        <v>919</v>
      </c>
      <c r="C61" s="88"/>
      <c r="D61" s="88" t="s">
        <v>920</v>
      </c>
    </row>
    <row r="62" spans="1:4">
      <c r="B62" s="86" t="s">
        <v>921</v>
      </c>
    </row>
    <row r="63" spans="1:4">
      <c r="B63" s="86" t="s">
        <v>922</v>
      </c>
    </row>
    <row r="64" spans="1:4">
      <c r="A64" t="s">
        <v>167</v>
      </c>
      <c r="B64" s="86" t="s">
        <v>923</v>
      </c>
    </row>
    <row r="65" spans="1:2">
      <c r="B65" s="85" t="s">
        <v>924</v>
      </c>
    </row>
    <row r="66" spans="1:2">
      <c r="B66" s="85" t="s">
        <v>925</v>
      </c>
    </row>
    <row r="67" spans="1:2">
      <c r="B67" s="85" t="s">
        <v>926</v>
      </c>
    </row>
    <row r="68" spans="1:2">
      <c r="B68" s="86" t="s">
        <v>927</v>
      </c>
    </row>
    <row r="69" spans="1:2">
      <c r="B69" s="85" t="s">
        <v>928</v>
      </c>
    </row>
    <row r="70" spans="1:2">
      <c r="B70" s="86" t="s">
        <v>929</v>
      </c>
    </row>
    <row r="71" spans="1:2">
      <c r="B71" s="85" t="s">
        <v>918</v>
      </c>
    </row>
    <row r="72" spans="1:2">
      <c r="A72" t="s">
        <v>168</v>
      </c>
      <c r="B72" s="85" t="s">
        <v>930</v>
      </c>
    </row>
    <row r="73" spans="1:2">
      <c r="B73" s="85" t="s">
        <v>931</v>
      </c>
    </row>
    <row r="74" spans="1:2" ht="15.95">
      <c r="B74" s="85" t="s">
        <v>932</v>
      </c>
    </row>
    <row r="75" spans="1:2">
      <c r="B75" s="86" t="s">
        <v>933</v>
      </c>
    </row>
    <row r="76" spans="1:2">
      <c r="B76" s="86" t="s">
        <v>934</v>
      </c>
    </row>
    <row r="77" spans="1:2">
      <c r="B77" s="85" t="s">
        <v>935</v>
      </c>
    </row>
    <row r="78" spans="1:2">
      <c r="B78" s="85" t="s">
        <v>936</v>
      </c>
    </row>
    <row r="79" spans="1:2">
      <c r="B79" s="85" t="s">
        <v>928</v>
      </c>
    </row>
    <row r="80" spans="1:2">
      <c r="A80" t="s">
        <v>937</v>
      </c>
      <c r="B80" s="85" t="s">
        <v>938</v>
      </c>
    </row>
    <row r="81" spans="1:2">
      <c r="B81" s="85" t="s">
        <v>939</v>
      </c>
    </row>
    <row r="82" spans="1:2">
      <c r="B82" s="86" t="s">
        <v>940</v>
      </c>
    </row>
    <row r="83" spans="1:2">
      <c r="B83" s="86" t="s">
        <v>941</v>
      </c>
    </row>
    <row r="84" spans="1:2">
      <c r="B84" s="86" t="s">
        <v>942</v>
      </c>
    </row>
    <row r="85" spans="1:2">
      <c r="B85" s="85" t="s">
        <v>943</v>
      </c>
    </row>
    <row r="86" spans="1:2">
      <c r="B86" s="85" t="s">
        <v>944</v>
      </c>
    </row>
    <row r="87" spans="1:2">
      <c r="B87" s="85" t="s">
        <v>918</v>
      </c>
    </row>
    <row r="88" spans="1:2">
      <c r="A88" t="s">
        <v>945</v>
      </c>
      <c r="B88" s="89" t="s">
        <v>946</v>
      </c>
    </row>
    <row r="89" spans="1:2">
      <c r="B89" s="89" t="s">
        <v>947</v>
      </c>
    </row>
    <row r="90" spans="1:2">
      <c r="B90" s="90" t="s">
        <v>948</v>
      </c>
    </row>
    <row r="91" spans="1:2">
      <c r="B91" s="89" t="s">
        <v>949</v>
      </c>
    </row>
    <row r="92" spans="1:2">
      <c r="B92" s="86" t="s">
        <v>950</v>
      </c>
    </row>
    <row r="93" spans="1:2">
      <c r="B93" s="89" t="s">
        <v>951</v>
      </c>
    </row>
    <row r="94" spans="1:2">
      <c r="B94" s="89" t="s">
        <v>952</v>
      </c>
    </row>
    <row r="95" spans="1:2">
      <c r="A95" t="s">
        <v>953</v>
      </c>
      <c r="B95" s="85" t="s">
        <v>954</v>
      </c>
    </row>
    <row r="96" spans="1:2" ht="17.100000000000001">
      <c r="B96" s="85" t="s">
        <v>955</v>
      </c>
    </row>
    <row r="97" spans="1:2">
      <c r="B97" s="86" t="s">
        <v>956</v>
      </c>
    </row>
    <row r="98" spans="1:2">
      <c r="B98" s="85" t="s">
        <v>957</v>
      </c>
    </row>
    <row r="99" spans="1:2">
      <c r="A99" t="s">
        <v>958</v>
      </c>
      <c r="B99" s="85" t="s">
        <v>959</v>
      </c>
    </row>
    <row r="100" spans="1:2">
      <c r="B100" s="87" t="s">
        <v>960</v>
      </c>
    </row>
    <row r="101" spans="1:2">
      <c r="B101" s="85" t="s">
        <v>961</v>
      </c>
    </row>
    <row r="102" spans="1:2">
      <c r="B102" s="85" t="s">
        <v>962</v>
      </c>
    </row>
    <row r="103" spans="1:2">
      <c r="B103" s="85" t="s">
        <v>963</v>
      </c>
    </row>
    <row r="104" spans="1:2">
      <c r="B104" s="86" t="s">
        <v>964</v>
      </c>
    </row>
    <row r="105" spans="1:2">
      <c r="A105" t="s">
        <v>183</v>
      </c>
      <c r="B105" s="85" t="s">
        <v>965</v>
      </c>
    </row>
    <row r="106" spans="1:2">
      <c r="B106" s="85" t="s">
        <v>966</v>
      </c>
    </row>
    <row r="107" spans="1:2">
      <c r="B107" s="85" t="s">
        <v>967</v>
      </c>
    </row>
    <row r="108" spans="1:2">
      <c r="B108" s="85" t="s">
        <v>968</v>
      </c>
    </row>
    <row r="109" spans="1:2">
      <c r="A109" t="s">
        <v>184</v>
      </c>
      <c r="B109" s="85" t="s">
        <v>969</v>
      </c>
    </row>
    <row r="110" spans="1:2">
      <c r="B110" s="85" t="s">
        <v>970</v>
      </c>
    </row>
    <row r="111" spans="1:2">
      <c r="B111" s="85" t="s">
        <v>971</v>
      </c>
    </row>
    <row r="112" spans="1:2">
      <c r="B112" s="85" t="s">
        <v>972</v>
      </c>
    </row>
    <row r="113" spans="1:2">
      <c r="A113" t="s">
        <v>185</v>
      </c>
      <c r="B113" s="86" t="s">
        <v>973</v>
      </c>
    </row>
    <row r="114" spans="1:2">
      <c r="B114" s="85" t="s">
        <v>974</v>
      </c>
    </row>
    <row r="115" spans="1:2">
      <c r="B115" s="85" t="s">
        <v>975</v>
      </c>
    </row>
    <row r="116" spans="1:2">
      <c r="B116" s="85" t="s">
        <v>971</v>
      </c>
    </row>
    <row r="117" spans="1:2">
      <c r="B117" s="87" t="s">
        <v>976</v>
      </c>
    </row>
    <row r="118" spans="1:2" ht="15.95">
      <c r="A118" t="s">
        <v>186</v>
      </c>
      <c r="B118" s="85" t="s">
        <v>977</v>
      </c>
    </row>
    <row r="119" spans="1:2">
      <c r="B119" s="85" t="s">
        <v>978</v>
      </c>
    </row>
    <row r="120" spans="1:2">
      <c r="B120" s="85" t="s">
        <v>979</v>
      </c>
    </row>
    <row r="121" spans="1:2">
      <c r="B121" s="86" t="s">
        <v>980</v>
      </c>
    </row>
    <row r="122" spans="1:2">
      <c r="A122" t="s">
        <v>192</v>
      </c>
      <c r="B122" s="85" t="s">
        <v>981</v>
      </c>
    </row>
    <row r="123" spans="1:2">
      <c r="B123" s="87" t="s">
        <v>982</v>
      </c>
    </row>
    <row r="124" spans="1:2" ht="15.95">
      <c r="B124" s="85" t="s">
        <v>983</v>
      </c>
    </row>
    <row r="125" spans="1:2">
      <c r="B125" s="87" t="s">
        <v>984</v>
      </c>
    </row>
    <row r="126" spans="1:2">
      <c r="B126" s="85" t="s">
        <v>985</v>
      </c>
    </row>
    <row r="127" spans="1:2">
      <c r="B127" s="85" t="s">
        <v>918</v>
      </c>
    </row>
    <row r="128" spans="1:2" ht="15.95">
      <c r="A128" t="s">
        <v>200</v>
      </c>
      <c r="B128" s="85" t="s">
        <v>986</v>
      </c>
    </row>
    <row r="129" spans="1:2">
      <c r="B129" s="85" t="s">
        <v>987</v>
      </c>
    </row>
    <row r="130" spans="1:2">
      <c r="B130" s="85" t="s">
        <v>988</v>
      </c>
    </row>
    <row r="131" spans="1:2" ht="17.100000000000001">
      <c r="B131" s="85" t="s">
        <v>989</v>
      </c>
    </row>
    <row r="132" spans="1:2">
      <c r="B132" s="85" t="s">
        <v>990</v>
      </c>
    </row>
    <row r="133" spans="1:2">
      <c r="B133" s="85" t="s">
        <v>991</v>
      </c>
    </row>
    <row r="134" spans="1:2">
      <c r="B134" s="85" t="s">
        <v>992</v>
      </c>
    </row>
    <row r="135" spans="1:2">
      <c r="A135" t="s">
        <v>196</v>
      </c>
      <c r="B135" s="85" t="s">
        <v>993</v>
      </c>
    </row>
    <row r="136" spans="1:2">
      <c r="B136" s="85" t="s">
        <v>994</v>
      </c>
    </row>
    <row r="137" spans="1:2">
      <c r="B137" s="85" t="s">
        <v>995</v>
      </c>
    </row>
    <row r="138" spans="1:2">
      <c r="B138" s="85" t="s">
        <v>996</v>
      </c>
    </row>
    <row r="139" spans="1:2">
      <c r="B139" s="85" t="s">
        <v>997</v>
      </c>
    </row>
    <row r="140" spans="1:2">
      <c r="B140" s="85" t="s">
        <v>998</v>
      </c>
    </row>
    <row r="141" spans="1:2">
      <c r="B141" s="85" t="s">
        <v>999</v>
      </c>
    </row>
    <row r="142" spans="1:2">
      <c r="B142" s="85" t="s">
        <v>1000</v>
      </c>
    </row>
    <row r="143" spans="1:2">
      <c r="A143" t="s">
        <v>1001</v>
      </c>
      <c r="B143" s="85" t="s">
        <v>1002</v>
      </c>
    </row>
    <row r="144" spans="1:2">
      <c r="A144" t="s">
        <v>1003</v>
      </c>
      <c r="B144" s="86" t="s">
        <v>1004</v>
      </c>
    </row>
    <row r="145" spans="1:2">
      <c r="B145" s="85" t="s">
        <v>1005</v>
      </c>
    </row>
    <row r="146" spans="1:2">
      <c r="B146" s="85" t="s">
        <v>1006</v>
      </c>
    </row>
    <row r="147" spans="1:2">
      <c r="B147" s="86" t="s">
        <v>1007</v>
      </c>
    </row>
    <row r="148" spans="1:2">
      <c r="B148" s="86" t="s">
        <v>1008</v>
      </c>
    </row>
    <row r="149" spans="1:2">
      <c r="B149" s="85" t="s">
        <v>1009</v>
      </c>
    </row>
    <row r="150" spans="1:2">
      <c r="A150" t="s">
        <v>201</v>
      </c>
      <c r="B150" s="85" t="s">
        <v>1010</v>
      </c>
    </row>
    <row r="151" spans="1:2">
      <c r="B151" s="86" t="s">
        <v>1011</v>
      </c>
    </row>
    <row r="152" spans="1:2">
      <c r="B152" s="85" t="s">
        <v>1012</v>
      </c>
    </row>
    <row r="153" spans="1:2">
      <c r="B153" s="85" t="s">
        <v>1013</v>
      </c>
    </row>
    <row r="154" spans="1:2">
      <c r="B154" s="85" t="s">
        <v>1014</v>
      </c>
    </row>
    <row r="155" spans="1:2">
      <c r="B155" s="86" t="s">
        <v>1015</v>
      </c>
    </row>
    <row r="156" spans="1:2">
      <c r="B156" s="85" t="s">
        <v>1016</v>
      </c>
    </row>
    <row r="157" spans="1:2">
      <c r="A157" t="s">
        <v>202</v>
      </c>
      <c r="B157" s="85" t="s">
        <v>1017</v>
      </c>
    </row>
    <row r="158" spans="1:2">
      <c r="A158" t="s">
        <v>1018</v>
      </c>
      <c r="B158" s="85" t="s">
        <v>1019</v>
      </c>
    </row>
    <row r="159" spans="1:2">
      <c r="B159" s="86" t="s">
        <v>1020</v>
      </c>
    </row>
    <row r="160" spans="1:2">
      <c r="B160" s="87" t="s">
        <v>1021</v>
      </c>
    </row>
    <row r="161" spans="1:2">
      <c r="B161" s="85" t="s">
        <v>1022</v>
      </c>
    </row>
    <row r="162" spans="1:2">
      <c r="B162" s="85" t="s">
        <v>1023</v>
      </c>
    </row>
    <row r="163" spans="1:2">
      <c r="B163" s="85" t="s">
        <v>1024</v>
      </c>
    </row>
    <row r="164" spans="1:2">
      <c r="B164" s="85" t="s">
        <v>1025</v>
      </c>
    </row>
    <row r="165" spans="1:2">
      <c r="B165" t="s">
        <v>1026</v>
      </c>
    </row>
    <row r="166" spans="1:2">
      <c r="A166" t="s">
        <v>190</v>
      </c>
      <c r="B166" s="85" t="s">
        <v>1027</v>
      </c>
    </row>
    <row r="167" spans="1:2">
      <c r="B167" s="85" t="s">
        <v>1028</v>
      </c>
    </row>
    <row r="168" spans="1:2">
      <c r="B168" s="85" t="s">
        <v>1029</v>
      </c>
    </row>
    <row r="169" spans="1:2">
      <c r="B169" s="86" t="s">
        <v>1030</v>
      </c>
    </row>
    <row r="170" spans="1:2">
      <c r="B170" s="86" t="s">
        <v>1031</v>
      </c>
    </row>
    <row r="171" spans="1:2">
      <c r="B171" s="85" t="s">
        <v>1032</v>
      </c>
    </row>
    <row r="172" spans="1:2">
      <c r="B172" s="85" t="s">
        <v>1033</v>
      </c>
    </row>
    <row r="173" spans="1:2">
      <c r="B173" s="86" t="s">
        <v>1034</v>
      </c>
    </row>
    <row r="174" spans="1:2">
      <c r="B174" s="85" t="s">
        <v>918</v>
      </c>
    </row>
    <row r="175" spans="1:2" ht="17.100000000000001">
      <c r="A175" t="s">
        <v>195</v>
      </c>
      <c r="B175" s="85" t="s">
        <v>1035</v>
      </c>
    </row>
    <row r="176" spans="1:2">
      <c r="A176" t="s">
        <v>1036</v>
      </c>
      <c r="B176" s="85" t="s">
        <v>1037</v>
      </c>
    </row>
    <row r="177" spans="1:2">
      <c r="A177" t="s">
        <v>1038</v>
      </c>
      <c r="B177" s="85" t="s">
        <v>1039</v>
      </c>
    </row>
    <row r="178" spans="1:2">
      <c r="B178" s="85" t="s">
        <v>1040</v>
      </c>
    </row>
    <row r="179" spans="1:2">
      <c r="B179" s="85" t="s">
        <v>1041</v>
      </c>
    </row>
    <row r="180" spans="1:2">
      <c r="B180" s="85" t="s">
        <v>1042</v>
      </c>
    </row>
    <row r="181" spans="1:2" ht="15.95">
      <c r="B181" s="85" t="s">
        <v>1043</v>
      </c>
    </row>
    <row r="182" spans="1:2">
      <c r="B182" s="85" t="s">
        <v>1044</v>
      </c>
    </row>
    <row r="183" spans="1:2">
      <c r="B183" s="86" t="s">
        <v>1045</v>
      </c>
    </row>
    <row r="184" spans="1:2">
      <c r="A184" t="s">
        <v>1046</v>
      </c>
      <c r="B184" s="86" t="s">
        <v>1047</v>
      </c>
    </row>
    <row r="185" spans="1:2">
      <c r="B185" s="86" t="s">
        <v>1048</v>
      </c>
    </row>
    <row r="186" spans="1:2" ht="15.95">
      <c r="B186" s="85" t="s">
        <v>1049</v>
      </c>
    </row>
    <row r="187" spans="1:2">
      <c r="B187" s="85" t="s">
        <v>1050</v>
      </c>
    </row>
    <row r="188" spans="1:2">
      <c r="B188" s="85" t="s">
        <v>1051</v>
      </c>
    </row>
    <row r="189" spans="1:2">
      <c r="B189" s="85" t="s">
        <v>1052</v>
      </c>
    </row>
    <row r="190" spans="1:2">
      <c r="B190" s="85" t="s">
        <v>1053</v>
      </c>
    </row>
    <row r="191" spans="1:2">
      <c r="B191" s="85" t="s">
        <v>1054</v>
      </c>
    </row>
    <row r="192" spans="1:2" ht="17.100000000000001">
      <c r="A192" t="s">
        <v>163</v>
      </c>
      <c r="B192" s="85" t="s">
        <v>1055</v>
      </c>
    </row>
    <row r="193" spans="1:2">
      <c r="B193" s="85" t="s">
        <v>1056</v>
      </c>
    </row>
    <row r="194" spans="1:2">
      <c r="B194" s="86" t="s">
        <v>1057</v>
      </c>
    </row>
    <row r="195" spans="1:2">
      <c r="B195" s="86" t="s">
        <v>1058</v>
      </c>
    </row>
    <row r="196" spans="1:2" ht="15.95">
      <c r="B196" s="85" t="s">
        <v>1059</v>
      </c>
    </row>
    <row r="197" spans="1:2">
      <c r="B197" s="85" t="s">
        <v>1060</v>
      </c>
    </row>
    <row r="198" spans="1:2">
      <c r="B198" s="85" t="s">
        <v>1061</v>
      </c>
    </row>
    <row r="199" spans="1:2">
      <c r="B199" s="85" t="s">
        <v>918</v>
      </c>
    </row>
    <row r="200" spans="1:2">
      <c r="A200" t="s">
        <v>164</v>
      </c>
      <c r="B200" s="85" t="s">
        <v>1062</v>
      </c>
    </row>
    <row r="201" spans="1:2">
      <c r="B201" s="85" t="s">
        <v>1063</v>
      </c>
    </row>
    <row r="202" spans="1:2">
      <c r="B202" s="86" t="s">
        <v>1064</v>
      </c>
    </row>
    <row r="203" spans="1:2">
      <c r="B203" s="85" t="s">
        <v>1065</v>
      </c>
    </row>
    <row r="204" spans="1:2">
      <c r="A204" t="s">
        <v>1066</v>
      </c>
      <c r="B204" s="87" t="s">
        <v>1067</v>
      </c>
    </row>
    <row r="205" spans="1:2">
      <c r="B205" s="86" t="s">
        <v>1068</v>
      </c>
    </row>
    <row r="206" spans="1:2" ht="15.95">
      <c r="B206" s="85" t="s">
        <v>1069</v>
      </c>
    </row>
    <row r="207" spans="1:2">
      <c r="B207" s="86" t="s">
        <v>1070</v>
      </c>
    </row>
    <row r="208" spans="1:2">
      <c r="B208" s="85" t="s">
        <v>1071</v>
      </c>
    </row>
    <row r="209" spans="1:2">
      <c r="B209" s="86" t="s">
        <v>1072</v>
      </c>
    </row>
    <row r="210" spans="1:2">
      <c r="B210" s="85" t="s">
        <v>918</v>
      </c>
    </row>
    <row r="211" spans="1:2">
      <c r="A211" t="s">
        <v>203</v>
      </c>
      <c r="B211" s="85" t="s">
        <v>1073</v>
      </c>
    </row>
    <row r="212" spans="1:2">
      <c r="B212" s="86" t="s">
        <v>1074</v>
      </c>
    </row>
    <row r="213" spans="1:2" ht="15.95">
      <c r="B213" s="85" t="s">
        <v>1075</v>
      </c>
    </row>
    <row r="214" spans="1:2">
      <c r="B214" s="85" t="s">
        <v>1076</v>
      </c>
    </row>
    <row r="215" spans="1:2">
      <c r="B215" s="85" t="s">
        <v>1077</v>
      </c>
    </row>
    <row r="216" spans="1:2">
      <c r="B216" s="85" t="s">
        <v>1078</v>
      </c>
    </row>
    <row r="217" spans="1:2">
      <c r="B217" s="85" t="s">
        <v>1079</v>
      </c>
    </row>
    <row r="218" spans="1:2" ht="17.100000000000001">
      <c r="B218" s="85" t="s">
        <v>1080</v>
      </c>
    </row>
    <row r="219" spans="1:2">
      <c r="B219" s="86" t="s">
        <v>1081</v>
      </c>
    </row>
    <row r="220" spans="1:2">
      <c r="B220" s="85" t="s">
        <v>1082</v>
      </c>
    </row>
    <row r="221" spans="1:2">
      <c r="B221" s="86" t="s">
        <v>1083</v>
      </c>
    </row>
    <row r="222" spans="1:2">
      <c r="B222" s="86" t="s">
        <v>1084</v>
      </c>
    </row>
    <row r="223" spans="1:2">
      <c r="B223" s="85" t="s">
        <v>918</v>
      </c>
    </row>
    <row r="224" spans="1:2">
      <c r="A224" t="s">
        <v>1085</v>
      </c>
      <c r="B224" s="85" t="s">
        <v>1086</v>
      </c>
    </row>
    <row r="225" spans="1:2">
      <c r="B225" s="85" t="s">
        <v>1087</v>
      </c>
    </row>
    <row r="226" spans="1:2" ht="15.95">
      <c r="B226" s="85" t="s">
        <v>1088</v>
      </c>
    </row>
    <row r="227" spans="1:2" ht="15.95">
      <c r="B227" s="85" t="s">
        <v>1089</v>
      </c>
    </row>
    <row r="228" spans="1:2">
      <c r="B228" s="85" t="s">
        <v>1090</v>
      </c>
    </row>
    <row r="229" spans="1:2">
      <c r="B229" s="85" t="s">
        <v>1091</v>
      </c>
    </row>
    <row r="230" spans="1:2">
      <c r="B230" s="86" t="s">
        <v>1092</v>
      </c>
    </row>
    <row r="231" spans="1:2">
      <c r="B231" s="85" t="s">
        <v>1093</v>
      </c>
    </row>
    <row r="232" spans="1:2" ht="15.95">
      <c r="B232" s="85" t="s">
        <v>1094</v>
      </c>
    </row>
    <row r="233" spans="1:2" ht="17.100000000000001">
      <c r="B233" s="85" t="s">
        <v>1095</v>
      </c>
    </row>
    <row r="234" spans="1:2" ht="15.95">
      <c r="B234" s="85" t="s">
        <v>1096</v>
      </c>
    </row>
    <row r="235" spans="1:2">
      <c r="B235" s="85" t="s">
        <v>1097</v>
      </c>
    </row>
    <row r="236" spans="1:2">
      <c r="B236" s="85" t="s">
        <v>1098</v>
      </c>
    </row>
    <row r="237" spans="1:2">
      <c r="B237" s="85" t="s">
        <v>1099</v>
      </c>
    </row>
    <row r="238" spans="1:2">
      <c r="A238" t="s">
        <v>1100</v>
      </c>
      <c r="B238" s="87" t="s">
        <v>1101</v>
      </c>
    </row>
    <row r="239" spans="1:2">
      <c r="B239" s="85" t="s">
        <v>1102</v>
      </c>
    </row>
    <row r="240" spans="1:2">
      <c r="B240" s="87" t="s">
        <v>1103</v>
      </c>
    </row>
    <row r="241" spans="1:2">
      <c r="B241" s="86" t="s">
        <v>1104</v>
      </c>
    </row>
    <row r="242" spans="1:2">
      <c r="B242" s="85" t="s">
        <v>1105</v>
      </c>
    </row>
    <row r="243" spans="1:2">
      <c r="A243" t="s">
        <v>193</v>
      </c>
      <c r="B243" s="85" t="s">
        <v>1106</v>
      </c>
    </row>
    <row r="244" spans="1:2">
      <c r="B244" s="85" t="s">
        <v>1107</v>
      </c>
    </row>
    <row r="245" spans="1:2" ht="15.95">
      <c r="B245" s="85" t="s">
        <v>1108</v>
      </c>
    </row>
    <row r="246" spans="1:2">
      <c r="B246" s="85" t="s">
        <v>1109</v>
      </c>
    </row>
    <row r="247" spans="1:2">
      <c r="B247" s="85" t="s">
        <v>1110</v>
      </c>
    </row>
    <row r="248" spans="1:2">
      <c r="B248" s="87" t="s">
        <v>1111</v>
      </c>
    </row>
    <row r="249" spans="1:2">
      <c r="A249" t="s">
        <v>194</v>
      </c>
      <c r="B249" s="85" t="s">
        <v>1112</v>
      </c>
    </row>
    <row r="250" spans="1:2">
      <c r="B250" s="85" t="s">
        <v>1113</v>
      </c>
    </row>
    <row r="251" spans="1:2">
      <c r="B251" s="85" t="s">
        <v>1114</v>
      </c>
    </row>
    <row r="252" spans="1:2">
      <c r="A252" s="194" t="s">
        <v>1115</v>
      </c>
      <c r="B252" s="87" t="s">
        <v>1116</v>
      </c>
    </row>
    <row r="253" spans="1:2">
      <c r="B253" s="86" t="s">
        <v>1117</v>
      </c>
    </row>
    <row r="254" spans="1:2">
      <c r="B254" s="85" t="s">
        <v>1118</v>
      </c>
    </row>
    <row r="255" spans="1:2">
      <c r="B255" s="86" t="s">
        <v>1119</v>
      </c>
    </row>
    <row r="256" spans="1:2" ht="15.95">
      <c r="A256" t="s">
        <v>209</v>
      </c>
      <c r="B256" s="85" t="s">
        <v>1120</v>
      </c>
    </row>
    <row r="257" spans="1:2" ht="15.95">
      <c r="B257" s="85" t="s">
        <v>1121</v>
      </c>
    </row>
    <row r="258" spans="1:2" ht="17.100000000000001">
      <c r="B258" s="85" t="s">
        <v>1122</v>
      </c>
    </row>
    <row r="259" spans="1:2" ht="15.95">
      <c r="B259" s="85" t="s">
        <v>1123</v>
      </c>
    </row>
    <row r="260" spans="1:2" ht="17.100000000000001">
      <c r="B260" s="85" t="s">
        <v>1124</v>
      </c>
    </row>
    <row r="261" spans="1:2" ht="15.95">
      <c r="B261" s="85" t="s">
        <v>1125</v>
      </c>
    </row>
    <row r="262" spans="1:2" ht="15.95">
      <c r="B262" s="85" t="s">
        <v>1126</v>
      </c>
    </row>
    <row r="263" spans="1:2">
      <c r="B263" s="86" t="s">
        <v>1127</v>
      </c>
    </row>
    <row r="264" spans="1:2">
      <c r="B264" s="85" t="s">
        <v>1128</v>
      </c>
    </row>
    <row r="265" spans="1:2">
      <c r="B265" s="87" t="s">
        <v>1129</v>
      </c>
    </row>
    <row r="266" spans="1:2" ht="15.95">
      <c r="A266" t="s">
        <v>210</v>
      </c>
      <c r="B266" s="85" t="s">
        <v>1130</v>
      </c>
    </row>
    <row r="267" spans="1:2" ht="15.95">
      <c r="B267" s="85" t="s">
        <v>1131</v>
      </c>
    </row>
    <row r="268" spans="1:2">
      <c r="B268" s="85" t="s">
        <v>1132</v>
      </c>
    </row>
    <row r="269" spans="1:2">
      <c r="B269" s="85" t="s">
        <v>1133</v>
      </c>
    </row>
    <row r="270" spans="1:2">
      <c r="B270" s="85" t="s">
        <v>1134</v>
      </c>
    </row>
    <row r="271" spans="1:2">
      <c r="B271" s="85" t="s">
        <v>1135</v>
      </c>
    </row>
  </sheetData>
  <hyperlinks>
    <hyperlink ref="B5" r:id="rId1" display="http://www.ncbi.nlm.nih.gov/pubmed/7786044" xr:uid="{00000000-0004-0000-0700-000000000000}"/>
    <hyperlink ref="B6" r:id="rId2" display="http://www.ncbi.nlm.nih.gov/pubmed/19028900" xr:uid="{00000000-0004-0000-0700-000001000000}"/>
    <hyperlink ref="B7" r:id="rId3" display="http://www.ncbi.nlm.nih.gov/pubmed/17766388" xr:uid="{00000000-0004-0000-0700-000002000000}"/>
    <hyperlink ref="B9" r:id="rId4" display="http://www.ncbi.nlm.nih.gov/pubmed/9260967" xr:uid="{00000000-0004-0000-0700-000003000000}"/>
    <hyperlink ref="B15" r:id="rId5" display="http://www.ncbi.nlm.nih.gov/pubmed/24580753" xr:uid="{00000000-0004-0000-0700-000004000000}"/>
    <hyperlink ref="B16" r:id="rId6" display="http://www.ncbi.nlm.nih.gov/pubmed/4582155" xr:uid="{00000000-0004-0000-0700-000005000000}"/>
    <hyperlink ref="B17" r:id="rId7" display="http://biocyc.org/ECOLI/NEW-IMAGE?type=PATHWAY&amp;object=GLYCOLYSIS" xr:uid="{00000000-0004-0000-0700-000006000000}"/>
    <hyperlink ref="B20" r:id="rId8" display="http://www.ncbi.nlm.nih.gov/pubmed/15988767" xr:uid="{00000000-0004-0000-0700-000007000000}"/>
    <hyperlink ref="B24" r:id="rId9" display="http://www.ncbi.nlm.nih.gov/pubmed/3332999" xr:uid="{00000000-0004-0000-0700-000008000000}"/>
    <hyperlink ref="B25" r:id="rId10" display="http://www.ncbi.nlm.nih.gov/pubmed/2227213" xr:uid="{00000000-0004-0000-0700-000009000000}"/>
    <hyperlink ref="B29" r:id="rId11" display="http://www.ncbi.nlm.nih.gov/pubmed/4598000" xr:uid="{00000000-0004-0000-0700-00000A000000}"/>
    <hyperlink ref="B30" r:id="rId12" display="http://www.ncbi.nlm.nih.gov/pubmed/8572885" xr:uid="{00000000-0004-0000-0700-00000B000000}"/>
    <hyperlink ref="B32" r:id="rId13" display="http://www.ncbi.nlm.nih.gov/pubmed/16135230" xr:uid="{00000000-0004-0000-0700-00000C000000}"/>
    <hyperlink ref="B35" r:id="rId14" display="http://www.ncbi.nlm.nih.gov/pubmed/22802628" xr:uid="{00000000-0004-0000-0700-00000D000000}"/>
    <hyperlink ref="B38" r:id="rId15" display="http://www.ncbi.nlm.nih.gov/pubmed/8572885" xr:uid="{00000000-0004-0000-0700-00000E000000}"/>
    <hyperlink ref="B39" r:id="rId16" display="http://www.ncbi.nlm.nih.gov/pubmed/17850260" xr:uid="{00000000-0004-0000-0700-00000F000000}"/>
    <hyperlink ref="B40" r:id="rId17" display="http://www.ncbi.nlm.nih.gov/pubmed/8396116" xr:uid="{00000000-0004-0000-0700-000010000000}"/>
    <hyperlink ref="B44" r:id="rId18" display="http://www.ncbi.nlm.nih.gov/pubmed/7607225" xr:uid="{00000000-0004-0000-0700-000011000000}"/>
    <hyperlink ref="B45" r:id="rId19" display="http://www.ncbi.nlm.nih.gov/pubmed/8572885" xr:uid="{00000000-0004-0000-0700-000012000000}"/>
    <hyperlink ref="B49" r:id="rId20" display="http://www.ncbi.nlm.nih.gov/pubmed/8396116" xr:uid="{00000000-0004-0000-0700-000013000000}"/>
    <hyperlink ref="B50" r:id="rId21" display="http://www.ncbi.nlm.nih.gov/pubmed/19401148" xr:uid="{00000000-0004-0000-0700-000014000000}"/>
    <hyperlink ref="B54" r:id="rId22" display="http://www.ncbi.nlm.nih.gov/pubmed/11298760" xr:uid="{00000000-0004-0000-0700-000015000000}"/>
    <hyperlink ref="B55" r:id="rId23" display="http://www.ncbi.nlm.nih.gov/pubmed/7592346" xr:uid="{00000000-0004-0000-0700-000016000000}"/>
    <hyperlink ref="B56" r:id="rId24" display="http://www.ncbi.nlm.nih.gov/pubmed/19401148" xr:uid="{00000000-0004-0000-0700-000017000000}"/>
    <hyperlink ref="B62" r:id="rId25" display="http://www.ncbi.nlm.nih.gov/pubmed/9325432" xr:uid="{00000000-0004-0000-0700-000018000000}"/>
    <hyperlink ref="B63" r:id="rId26" display="http://www.ncbi.nlm.nih.gov/pubmed/8508809" xr:uid="{00000000-0004-0000-0700-000019000000}"/>
    <hyperlink ref="B64" r:id="rId27" display="http://www.ncbi.nlm.nih.gov/pubmed/10589714" xr:uid="{00000000-0004-0000-0700-00001A000000}"/>
    <hyperlink ref="B68" r:id="rId28" display="http://www.ncbi.nlm.nih.gov/pubmed/12076823" xr:uid="{00000000-0004-0000-0700-00001B000000}"/>
    <hyperlink ref="B70" r:id="rId29" display="http://www.ncbi.nlm.nih.gov/pubmed/1541275" xr:uid="{00000000-0004-0000-0700-00001C000000}"/>
    <hyperlink ref="B75" r:id="rId30" display="http://www.ncbi.nlm.nih.gov/pubmed/19309314" xr:uid="{00000000-0004-0000-0700-00001D000000}"/>
    <hyperlink ref="B76" r:id="rId31" display="http://www.ncbi.nlm.nih.gov/pubmed/11992126" xr:uid="{00000000-0004-0000-0700-00001E000000}"/>
    <hyperlink ref="B82" r:id="rId32" display="http://www.ncbi.nlm.nih.gov/pubmed/17142397" xr:uid="{00000000-0004-0000-0700-00001F000000}"/>
    <hyperlink ref="B83" r:id="rId33" display="http://www.ncbi.nlm.nih.gov/pubmed/2661545" xr:uid="{00000000-0004-0000-0700-000020000000}"/>
    <hyperlink ref="B84" r:id="rId34" display="http://www.ncbi.nlm.nih.gov/pubmed/24580753" xr:uid="{00000000-0004-0000-0700-000021000000}"/>
    <hyperlink ref="B92" r:id="rId35" display="http://www.ncbi.nlm.nih.gov/pubmed/16338405" xr:uid="{00000000-0004-0000-0700-000022000000}"/>
    <hyperlink ref="B97" r:id="rId36" display="http://www.ncbi.nlm.nih.gov/pubmed/3002435" xr:uid="{00000000-0004-0000-0700-000023000000}"/>
    <hyperlink ref="B104" r:id="rId37" display="http://www.ncbi.nlm.nih.gov/pubmed/9210286" xr:uid="{00000000-0004-0000-0700-000024000000}"/>
    <hyperlink ref="B113" r:id="rId38" display="http://www.ncbi.nlm.nih.gov/pubmed/3282546" xr:uid="{00000000-0004-0000-0700-000025000000}"/>
    <hyperlink ref="B121" r:id="rId39" display="http://www.ncbi.nlm.nih.gov/pubmed/23224554" xr:uid="{00000000-0004-0000-0700-000026000000}"/>
    <hyperlink ref="B144" r:id="rId40" display="http://www.ncbi.nlm.nih.gov/pubmed/9484901" xr:uid="{00000000-0004-0000-0700-000027000000}"/>
    <hyperlink ref="B147" r:id="rId41" display="http://www.ncbi.nlm.nih.gov/pubmed/9484901" xr:uid="{00000000-0004-0000-0700-000028000000}"/>
    <hyperlink ref="B148" r:id="rId42" display="http://www.ncbi.nlm.nih.gov/pubmed/17954980" xr:uid="{00000000-0004-0000-0700-000029000000}"/>
    <hyperlink ref="B151" r:id="rId43" display="http://www.ncbi.nlm.nih.gov/pubmed/20236319" xr:uid="{00000000-0004-0000-0700-00002A000000}"/>
    <hyperlink ref="B155" r:id="rId44" display="http://www.ncbi.nlm.nih.gov/pubmed/21941" xr:uid="{00000000-0004-0000-0700-00002B000000}"/>
    <hyperlink ref="B159" r:id="rId45" display="http://www.ncbi.nlm.nih.gov/pubmed/11350954" xr:uid="{00000000-0004-0000-0700-00002C000000}"/>
    <hyperlink ref="B169" r:id="rId46" display="http://www.ncbi.nlm.nih.gov/pubmed/12952533" xr:uid="{00000000-0004-0000-0700-00002D000000}"/>
    <hyperlink ref="B170" r:id="rId47" display="http://www.ncbi.nlm.nih.gov/pubmed/7751300" xr:uid="{00000000-0004-0000-0700-00002E000000}"/>
    <hyperlink ref="B173" r:id="rId48" display="http://www.ncbi.nlm.nih.gov/pubmed/14563880" xr:uid="{00000000-0004-0000-0700-00002F000000}"/>
    <hyperlink ref="B183" r:id="rId49" display="http://www.ncbi.nlm.nih.gov/pubmed/19476487" xr:uid="{00000000-0004-0000-0700-000030000000}"/>
    <hyperlink ref="B184" r:id="rId50" display="http://www.ncbi.nlm.nih.gov/pubmed/8226637" xr:uid="{00000000-0004-0000-0700-000031000000}"/>
    <hyperlink ref="B185" r:id="rId51" display="http://www.ncbi.nlm.nih.gov/pubmed/6986370" xr:uid="{00000000-0004-0000-0700-000032000000}"/>
    <hyperlink ref="B194" r:id="rId52" display="http://www.ncbi.nlm.nih.gov/pubmed/17012394" xr:uid="{00000000-0004-0000-0700-000033000000}"/>
    <hyperlink ref="B195" r:id="rId53" display="http://www.ncbi.nlm.nih.gov/pubmed/7490260" xr:uid="{00000000-0004-0000-0700-000034000000}"/>
    <hyperlink ref="B202" r:id="rId54" display="http://www.ncbi.nlm.nih.gov/pubmed/17557829" xr:uid="{00000000-0004-0000-0700-000035000000}"/>
    <hyperlink ref="B205" r:id="rId55" display="http://www.ncbi.nlm.nih.gov/pubmed/225306" xr:uid="{00000000-0004-0000-0700-000036000000}"/>
    <hyperlink ref="B207" r:id="rId56" display="http://www.ncbi.nlm.nih.gov/pubmed/9212416" xr:uid="{00000000-0004-0000-0700-000037000000}"/>
    <hyperlink ref="B209" r:id="rId57" display="http://www.ncbi.nlm.nih.gov/pubmed/2199308" xr:uid="{00000000-0004-0000-0700-000038000000}"/>
    <hyperlink ref="B212" r:id="rId58" display="http://www.ncbi.nlm.nih.gov/pubmed/2997739" xr:uid="{00000000-0004-0000-0700-000039000000}"/>
    <hyperlink ref="B219" r:id="rId59" display="http://www.ncbi.nlm.nih.gov/pubmed/4910856" xr:uid="{00000000-0004-0000-0700-00003A000000}"/>
    <hyperlink ref="B221" r:id="rId60" display="http://www.ncbi.nlm.nih.gov/pubmed/6243627" xr:uid="{00000000-0004-0000-0700-00003B000000}"/>
    <hyperlink ref="B222" r:id="rId61" display="http://www.ncbi.nlm.nih.gov/pubmed/18075575" xr:uid="{00000000-0004-0000-0700-00003C000000}"/>
    <hyperlink ref="B230" r:id="rId62" display="http://www.ncbi.nlm.nih.gov/pubmed/21040753" xr:uid="{00000000-0004-0000-0700-00003D000000}"/>
    <hyperlink ref="B241" r:id="rId63" display="http://www.ncbi.nlm.nih.gov/pubmed/14660605" xr:uid="{00000000-0004-0000-0700-00003E000000}"/>
    <hyperlink ref="B253" r:id="rId64" display="http://www.ncbi.nlm.nih.gov/pubmed/9922271" xr:uid="{00000000-0004-0000-0700-00003F000000}"/>
    <hyperlink ref="B255" r:id="rId65" display="http://www.ncbi.nlm.nih.gov/pubmed/14660605" xr:uid="{00000000-0004-0000-0700-000040000000}"/>
    <hyperlink ref="B263" r:id="rId66" display="http://www.ncbi.nlm.nih.gov/pubmed/25049088" xr:uid="{00000000-0004-0000-0700-000041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98"/>
  <sheetViews>
    <sheetView zoomScale="150" zoomScaleNormal="150" workbookViewId="0">
      <selection activeCell="A22" sqref="A22"/>
    </sheetView>
  </sheetViews>
  <sheetFormatPr defaultColWidth="8.85546875" defaultRowHeight="15"/>
  <cols>
    <col min="1" max="1" width="31.140625" bestFit="1" customWidth="1"/>
    <col min="24" max="27" width="10.140625" bestFit="1" customWidth="1"/>
  </cols>
  <sheetData>
    <row r="1" spans="1:32">
      <c r="A1" s="129" t="s">
        <v>72</v>
      </c>
      <c r="B1" s="102" t="s">
        <v>74</v>
      </c>
      <c r="C1" s="103" t="s">
        <v>75</v>
      </c>
      <c r="D1" s="103" t="s">
        <v>76</v>
      </c>
      <c r="E1" s="103" t="s">
        <v>78</v>
      </c>
      <c r="F1" s="103" t="s">
        <v>79</v>
      </c>
      <c r="G1" s="103" t="s">
        <v>80</v>
      </c>
      <c r="H1" s="103" t="s">
        <v>81</v>
      </c>
      <c r="I1" s="103" t="s">
        <v>83</v>
      </c>
      <c r="J1" s="103" t="s">
        <v>84</v>
      </c>
      <c r="K1" s="103" t="s">
        <v>85</v>
      </c>
      <c r="L1" s="103" t="s">
        <v>86</v>
      </c>
      <c r="M1" s="103" t="s">
        <v>87</v>
      </c>
      <c r="N1" s="103" t="s">
        <v>88</v>
      </c>
      <c r="O1" s="103" t="s">
        <v>89</v>
      </c>
      <c r="P1" s="103" t="s">
        <v>90</v>
      </c>
      <c r="Q1" s="103" t="s">
        <v>91</v>
      </c>
      <c r="R1" s="103" t="s">
        <v>92</v>
      </c>
      <c r="S1" s="103" t="s">
        <v>93</v>
      </c>
      <c r="T1" s="103" t="s">
        <v>94</v>
      </c>
      <c r="U1" s="103" t="s">
        <v>95</v>
      </c>
      <c r="V1" s="103" t="s">
        <v>96</v>
      </c>
      <c r="W1" s="104" t="s">
        <v>97</v>
      </c>
      <c r="X1" s="102" t="s">
        <v>98</v>
      </c>
      <c r="Y1" s="103" t="s">
        <v>99</v>
      </c>
      <c r="Z1" s="103" t="s">
        <v>100</v>
      </c>
      <c r="AA1" s="104" t="s">
        <v>101</v>
      </c>
      <c r="AB1" s="102" t="s">
        <v>105</v>
      </c>
      <c r="AC1" s="103" t="s">
        <v>107</v>
      </c>
      <c r="AD1" s="104" t="s">
        <v>212</v>
      </c>
    </row>
    <row r="2" spans="1:32">
      <c r="A2" s="130" t="s">
        <v>1136</v>
      </c>
      <c r="B2" s="105" t="s">
        <v>112</v>
      </c>
      <c r="C2" s="143" t="s">
        <v>113</v>
      </c>
      <c r="D2" s="79" t="s">
        <v>114</v>
      </c>
      <c r="E2" s="79" t="s">
        <v>116</v>
      </c>
      <c r="F2" s="79" t="s">
        <v>117</v>
      </c>
      <c r="G2" s="79" t="s">
        <v>118</v>
      </c>
      <c r="H2" s="79" t="s">
        <v>119</v>
      </c>
      <c r="I2" s="79" t="s">
        <v>121</v>
      </c>
      <c r="J2" s="79" t="s">
        <v>122</v>
      </c>
      <c r="K2" s="79" t="s">
        <v>123</v>
      </c>
      <c r="L2" s="79" t="s">
        <v>124</v>
      </c>
      <c r="M2" s="79" t="s">
        <v>125</v>
      </c>
      <c r="N2" s="79" t="s">
        <v>126</v>
      </c>
      <c r="O2" s="79" t="s">
        <v>127</v>
      </c>
      <c r="P2" s="79" t="s">
        <v>128</v>
      </c>
      <c r="Q2" s="79" t="s">
        <v>129</v>
      </c>
      <c r="R2" s="79" t="s">
        <v>130</v>
      </c>
      <c r="S2" s="79" t="s">
        <v>131</v>
      </c>
      <c r="T2" s="79" t="s">
        <v>132</v>
      </c>
      <c r="U2" s="79" t="s">
        <v>133</v>
      </c>
      <c r="V2" s="79" t="s">
        <v>134</v>
      </c>
      <c r="W2" s="106" t="s">
        <v>135</v>
      </c>
      <c r="X2" s="105" t="s">
        <v>136</v>
      </c>
      <c r="Y2" s="79" t="s">
        <v>137</v>
      </c>
      <c r="Z2" s="79" t="s">
        <v>138</v>
      </c>
      <c r="AA2" s="106" t="s">
        <v>139</v>
      </c>
      <c r="AB2" s="105" t="s">
        <v>142</v>
      </c>
      <c r="AC2" s="79" t="s">
        <v>144</v>
      </c>
      <c r="AD2" s="106" t="s">
        <v>214</v>
      </c>
    </row>
    <row r="3" spans="1:32">
      <c r="A3" s="130" t="s">
        <v>793</v>
      </c>
      <c r="B3" s="119">
        <v>3.14</v>
      </c>
      <c r="C3" s="99">
        <v>3.06</v>
      </c>
      <c r="D3" s="99">
        <v>2.73</v>
      </c>
      <c r="E3" s="99">
        <v>2.72</v>
      </c>
      <c r="F3" s="99">
        <v>2.84</v>
      </c>
      <c r="G3" s="99">
        <v>2.7</v>
      </c>
      <c r="H3" s="99">
        <v>2.76</v>
      </c>
      <c r="I3" s="99">
        <v>2.7</v>
      </c>
      <c r="J3" s="99">
        <v>3.33</v>
      </c>
      <c r="K3" s="99">
        <v>2.82</v>
      </c>
      <c r="L3" s="99">
        <v>2.8</v>
      </c>
      <c r="M3" s="99">
        <v>3</v>
      </c>
      <c r="N3" s="99">
        <v>3.18</v>
      </c>
      <c r="O3" s="99">
        <v>3.36</v>
      </c>
      <c r="P3" s="99">
        <v>2.92</v>
      </c>
      <c r="Q3" s="99">
        <v>3.63</v>
      </c>
      <c r="R3" s="99">
        <v>3.18</v>
      </c>
      <c r="S3" s="99">
        <v>4.1500000000000004</v>
      </c>
      <c r="T3" s="99">
        <v>4.49</v>
      </c>
      <c r="U3" s="99">
        <v>2.97</v>
      </c>
      <c r="V3" s="99">
        <v>2.8</v>
      </c>
      <c r="W3" s="120">
        <v>2.94</v>
      </c>
      <c r="X3" s="119">
        <v>1.34</v>
      </c>
      <c r="Y3" s="99">
        <v>5.05</v>
      </c>
      <c r="Z3" s="99">
        <v>6.63</v>
      </c>
      <c r="AA3" s="120">
        <v>13.34</v>
      </c>
      <c r="AB3" s="119">
        <v>3.28</v>
      </c>
      <c r="AC3" s="99">
        <v>2.86</v>
      </c>
      <c r="AD3" s="120">
        <v>2.67</v>
      </c>
    </row>
    <row r="4" spans="1:32">
      <c r="A4" s="130" t="s">
        <v>794</v>
      </c>
      <c r="B4" s="119">
        <v>2.7318000000000002</v>
      </c>
      <c r="C4" s="99">
        <v>2.3868</v>
      </c>
      <c r="D4" s="99" t="s">
        <v>795</v>
      </c>
      <c r="E4" s="99">
        <v>2.2848000000000002</v>
      </c>
      <c r="F4" s="99">
        <v>1.4767999999999999</v>
      </c>
      <c r="G4" s="99">
        <v>2.2949999999999999</v>
      </c>
      <c r="H4" s="99">
        <v>2.0147999999999997</v>
      </c>
      <c r="I4" s="99">
        <v>2.2410000000000001</v>
      </c>
      <c r="J4" s="99">
        <v>2.9304000000000001</v>
      </c>
      <c r="K4" s="99">
        <v>2.0867999999999998</v>
      </c>
      <c r="L4" s="99">
        <v>1.3159999999999998</v>
      </c>
      <c r="M4" s="99">
        <v>2.04</v>
      </c>
      <c r="N4" s="99">
        <v>3.1482000000000001</v>
      </c>
      <c r="O4" s="99">
        <v>2.6208</v>
      </c>
      <c r="P4" s="99">
        <v>2.8908</v>
      </c>
      <c r="Q4" s="99">
        <v>3.3395999999999999</v>
      </c>
      <c r="R4" s="99">
        <v>2.1306000000000003</v>
      </c>
      <c r="S4" s="99">
        <v>2.1165000000000003</v>
      </c>
      <c r="T4" s="99">
        <v>3.5022000000000002</v>
      </c>
      <c r="U4" s="99">
        <v>2.5542000000000002</v>
      </c>
      <c r="V4" s="99">
        <v>2.38</v>
      </c>
      <c r="W4" s="120">
        <v>2.5284</v>
      </c>
      <c r="X4" s="119">
        <v>0.83080000000000009</v>
      </c>
      <c r="Y4" s="99">
        <v>3.1814999999999998</v>
      </c>
      <c r="Z4" s="99">
        <v>5.5028999999999995</v>
      </c>
      <c r="AA4" s="120">
        <v>7.4704000000000006</v>
      </c>
      <c r="AB4" s="119">
        <v>2.8535999999999997</v>
      </c>
      <c r="AC4" s="99">
        <v>2.2879999999999998</v>
      </c>
      <c r="AD4" s="120">
        <v>1.6019999999999999</v>
      </c>
    </row>
    <row r="5" spans="1:32">
      <c r="A5" s="130" t="s">
        <v>796</v>
      </c>
      <c r="B5" s="119">
        <v>2.7946</v>
      </c>
      <c r="C5" s="99">
        <v>2.6316000000000002</v>
      </c>
      <c r="D5" s="99">
        <v>0.92820000000000003</v>
      </c>
      <c r="E5" s="99">
        <v>2.3664000000000001</v>
      </c>
      <c r="F5" s="99">
        <v>2.1867999999999999</v>
      </c>
      <c r="G5" s="99">
        <v>2.3490000000000002</v>
      </c>
      <c r="H5" s="99">
        <v>2.2907999999999995</v>
      </c>
      <c r="I5" s="99">
        <v>2.3220000000000001</v>
      </c>
      <c r="J5" s="99">
        <v>2.9970000000000003</v>
      </c>
      <c r="K5" s="99">
        <v>2.3687999999999998</v>
      </c>
      <c r="L5" s="99">
        <v>2.0999999999999996</v>
      </c>
      <c r="M5" s="99">
        <v>2.46</v>
      </c>
      <c r="N5" s="99">
        <v>2.9574000000000003</v>
      </c>
      <c r="O5" s="99">
        <v>2.8895999999999997</v>
      </c>
      <c r="P5" s="99">
        <v>2.7156000000000002</v>
      </c>
      <c r="Q5" s="99">
        <v>3.3395999999999999</v>
      </c>
      <c r="R5" s="99">
        <v>2.1941999999999999</v>
      </c>
      <c r="S5" s="99">
        <v>3.2785000000000006</v>
      </c>
      <c r="T5" s="99">
        <v>3.5471000000000004</v>
      </c>
      <c r="U5" s="99">
        <v>2.6136000000000004</v>
      </c>
      <c r="V5" s="99">
        <v>2.4359999999999999</v>
      </c>
      <c r="W5" s="120">
        <v>2.5872000000000002</v>
      </c>
      <c r="X5" s="119">
        <v>1.0720000000000001</v>
      </c>
      <c r="Y5" s="99">
        <v>3.9895</v>
      </c>
      <c r="Z5" s="99">
        <v>5.7680999999999996</v>
      </c>
      <c r="AA5" s="120">
        <v>10.672000000000001</v>
      </c>
      <c r="AB5" s="119">
        <v>2.9192</v>
      </c>
      <c r="AC5" s="99">
        <v>2.4596</v>
      </c>
      <c r="AD5" s="120">
        <v>2.1093000000000002</v>
      </c>
    </row>
    <row r="6" spans="1:32">
      <c r="A6" s="130" t="s">
        <v>797</v>
      </c>
      <c r="B6" s="119">
        <v>2.7946</v>
      </c>
      <c r="C6" s="99">
        <v>2.6316000000000002</v>
      </c>
      <c r="D6" s="99">
        <v>0.92820000000000003</v>
      </c>
      <c r="E6" s="99">
        <v>2.3664000000000001</v>
      </c>
      <c r="F6" s="99">
        <v>2.1867999999999999</v>
      </c>
      <c r="G6" s="99">
        <v>2.3490000000000002</v>
      </c>
      <c r="H6" s="99">
        <v>2.2907999999999995</v>
      </c>
      <c r="I6" s="99">
        <v>2.3220000000000001</v>
      </c>
      <c r="J6" s="99">
        <v>2.9970000000000003</v>
      </c>
      <c r="K6" s="99">
        <v>2.3687999999999998</v>
      </c>
      <c r="L6" s="99">
        <v>2.0999999999999996</v>
      </c>
      <c r="M6" s="99">
        <v>2.46</v>
      </c>
      <c r="N6" s="99">
        <v>2.9574000000000003</v>
      </c>
      <c r="O6" s="99">
        <v>2.8895999999999997</v>
      </c>
      <c r="P6" s="99">
        <v>2.7156000000000002</v>
      </c>
      <c r="Q6" s="99">
        <v>3.3395999999999999</v>
      </c>
      <c r="R6" s="99">
        <v>2.1941999999999999</v>
      </c>
      <c r="S6" s="99">
        <v>3.2785000000000006</v>
      </c>
      <c r="T6" s="99">
        <v>3.5471000000000004</v>
      </c>
      <c r="U6" s="99">
        <v>2.6136000000000004</v>
      </c>
      <c r="V6" s="99">
        <v>2.4359999999999999</v>
      </c>
      <c r="W6" s="120">
        <v>2.5872000000000002</v>
      </c>
      <c r="X6" s="119">
        <v>1.0720000000000001</v>
      </c>
      <c r="Y6" s="99">
        <v>3.9895</v>
      </c>
      <c r="Z6" s="99">
        <v>5.7680999999999996</v>
      </c>
      <c r="AA6" s="120">
        <v>10.672000000000001</v>
      </c>
      <c r="AB6" s="119">
        <v>2.9192</v>
      </c>
      <c r="AC6" s="99">
        <v>2.4596</v>
      </c>
      <c r="AD6" s="120">
        <v>2.1093000000000002</v>
      </c>
    </row>
    <row r="7" spans="1:32">
      <c r="A7" s="130" t="s">
        <v>798</v>
      </c>
      <c r="B7" s="119">
        <v>2.7946</v>
      </c>
      <c r="C7" s="99">
        <v>2.6316000000000002</v>
      </c>
      <c r="D7" s="99">
        <v>0.92820000000000003</v>
      </c>
      <c r="E7" s="99">
        <v>2.3664000000000001</v>
      </c>
      <c r="F7" s="99">
        <v>2.1867999999999999</v>
      </c>
      <c r="G7" s="99">
        <v>2.3490000000000002</v>
      </c>
      <c r="H7" s="99">
        <v>2.2907999999999995</v>
      </c>
      <c r="I7" s="99">
        <v>2.3220000000000001</v>
      </c>
      <c r="J7" s="99">
        <v>2.9970000000000003</v>
      </c>
      <c r="K7" s="99">
        <v>2.3687999999999998</v>
      </c>
      <c r="L7" s="99">
        <v>2.0999999999999996</v>
      </c>
      <c r="M7" s="99">
        <v>2.46</v>
      </c>
      <c r="N7" s="99">
        <v>2.9574000000000003</v>
      </c>
      <c r="O7" s="99">
        <v>2.8895999999999997</v>
      </c>
      <c r="P7" s="99">
        <v>2.7156000000000002</v>
      </c>
      <c r="Q7" s="99">
        <v>3.3395999999999999</v>
      </c>
      <c r="R7" s="99">
        <v>2.1941999999999999</v>
      </c>
      <c r="S7" s="99">
        <v>3.2785000000000006</v>
      </c>
      <c r="T7" s="99">
        <v>3.5471000000000004</v>
      </c>
      <c r="U7" s="99">
        <v>2.6136000000000004</v>
      </c>
      <c r="V7" s="99">
        <v>2.4359999999999999</v>
      </c>
      <c r="W7" s="120">
        <v>2.5872000000000002</v>
      </c>
      <c r="X7" s="119">
        <v>1.0720000000000001</v>
      </c>
      <c r="Y7" s="99">
        <v>3.9895</v>
      </c>
      <c r="Z7" s="99">
        <v>5.7680999999999996</v>
      </c>
      <c r="AA7" s="120">
        <v>10.672000000000001</v>
      </c>
      <c r="AB7" s="119">
        <v>2.9192</v>
      </c>
      <c r="AC7" s="99">
        <v>2.4596</v>
      </c>
      <c r="AD7" s="120">
        <v>2.1093000000000002</v>
      </c>
    </row>
    <row r="8" spans="1:32">
      <c r="A8" s="130" t="s">
        <v>1137</v>
      </c>
      <c r="B8" s="119">
        <v>5.5578000000000003</v>
      </c>
      <c r="C8" s="99">
        <v>5.2938000000000001</v>
      </c>
      <c r="D8" s="99">
        <v>3.2759999999999998</v>
      </c>
      <c r="E8" s="99">
        <v>4.7056000000000004</v>
      </c>
      <c r="F8" s="99">
        <v>4.6291999999999991</v>
      </c>
      <c r="G8" s="99">
        <v>4.6710000000000003</v>
      </c>
      <c r="H8" s="99">
        <v>4.6643999999999997</v>
      </c>
      <c r="I8" s="99">
        <v>4.6440000000000001</v>
      </c>
      <c r="J8" s="99">
        <v>5.9274000000000004</v>
      </c>
      <c r="K8" s="99">
        <v>4.7939999999999996</v>
      </c>
      <c r="L8" s="99">
        <v>4.508</v>
      </c>
      <c r="M8" s="99">
        <v>5.0999999999999996</v>
      </c>
      <c r="N8" s="99">
        <v>5.7558000000000007</v>
      </c>
      <c r="O8" s="99">
        <v>5.8127999999999993</v>
      </c>
      <c r="P8" s="99">
        <v>5.3144</v>
      </c>
      <c r="Q8" s="99">
        <v>6.5702999999999996</v>
      </c>
      <c r="R8" s="99">
        <v>4.9926000000000004</v>
      </c>
      <c r="S8" s="99">
        <v>7.0135000000000005</v>
      </c>
      <c r="T8" s="99">
        <v>7.6779000000000002</v>
      </c>
      <c r="U8" s="99">
        <v>5.1975000000000007</v>
      </c>
      <c r="V8" s="99">
        <v>4.8719999999999999</v>
      </c>
      <c r="W8" s="120">
        <v>5.1449999999999996</v>
      </c>
      <c r="X8" s="119">
        <v>2.2378</v>
      </c>
      <c r="Y8" s="99">
        <v>8.3324999999999996</v>
      </c>
      <c r="Z8" s="99">
        <v>11.469899999999999</v>
      </c>
      <c r="AA8" s="120">
        <v>22.678000000000001</v>
      </c>
      <c r="AB8" s="119">
        <v>5.8384</v>
      </c>
      <c r="AC8" s="99">
        <v>4.9478</v>
      </c>
      <c r="AD8" s="120">
        <v>4.3788</v>
      </c>
    </row>
    <row r="9" spans="1:32">
      <c r="A9" s="242" t="s">
        <v>1138</v>
      </c>
      <c r="B9" s="119">
        <v>5.2438000000000002</v>
      </c>
      <c r="C9" s="99">
        <v>5.0183999999999997</v>
      </c>
      <c r="D9" s="99">
        <v>2.9757000000000002</v>
      </c>
      <c r="E9" s="99">
        <v>4.4064000000000005</v>
      </c>
      <c r="F9" s="99">
        <v>4.3452000000000002</v>
      </c>
      <c r="G9" s="99">
        <v>4.3740000000000006</v>
      </c>
      <c r="H9" s="99">
        <v>4.3883999999999999</v>
      </c>
      <c r="I9" s="99">
        <v>4.3470000000000004</v>
      </c>
      <c r="J9" s="99">
        <v>5.6276999999999999</v>
      </c>
      <c r="K9" s="99">
        <v>4.5119999999999996</v>
      </c>
      <c r="L9" s="99">
        <v>4.1999999999999993</v>
      </c>
      <c r="M9" s="99">
        <v>4.8000000000000007</v>
      </c>
      <c r="N9" s="99">
        <v>5.4378000000000002</v>
      </c>
      <c r="O9" s="99">
        <v>5.4432</v>
      </c>
      <c r="P9" s="99">
        <v>5.0515999999999996</v>
      </c>
      <c r="Q9" s="99">
        <v>6.2798999999999996</v>
      </c>
      <c r="R9" s="99">
        <v>4.7064000000000004</v>
      </c>
      <c r="S9" s="99">
        <v>6.7230000000000008</v>
      </c>
      <c r="T9" s="99">
        <v>7.3635999999999999</v>
      </c>
      <c r="U9" s="99">
        <v>4.9005000000000001</v>
      </c>
      <c r="V9" s="99">
        <v>4.5639999999999992</v>
      </c>
      <c r="W9" s="120">
        <v>4.851</v>
      </c>
      <c r="X9" s="119">
        <v>2.1038000000000001</v>
      </c>
      <c r="Y9" s="99">
        <v>7.7264999999999997</v>
      </c>
      <c r="Z9" s="99">
        <v>10.740600000000001</v>
      </c>
      <c r="AA9" s="120">
        <v>21.610800000000001</v>
      </c>
      <c r="AB9" s="119">
        <v>5.5431999999999997</v>
      </c>
      <c r="AC9" s="99">
        <v>4.6332000000000004</v>
      </c>
      <c r="AD9" s="120">
        <v>4.0850999999999997</v>
      </c>
    </row>
    <row r="10" spans="1:32">
      <c r="A10" s="130" t="s">
        <v>801</v>
      </c>
      <c r="B10" s="119">
        <v>1.6014000000000002</v>
      </c>
      <c r="C10" s="99">
        <v>1.53</v>
      </c>
      <c r="D10" s="99">
        <v>0.13650000000000001</v>
      </c>
      <c r="E10" s="99">
        <v>1.1696</v>
      </c>
      <c r="F10" s="99">
        <v>1.3915999999999999</v>
      </c>
      <c r="G10" s="99">
        <v>1.5389999999999999</v>
      </c>
      <c r="H10" s="99">
        <v>1.242</v>
      </c>
      <c r="I10" s="99">
        <v>1.107</v>
      </c>
      <c r="J10" s="99">
        <v>1.8315000000000001</v>
      </c>
      <c r="K10" s="99">
        <v>1.4381999999999999</v>
      </c>
      <c r="L10" s="99">
        <v>1.288</v>
      </c>
      <c r="M10" s="99">
        <v>1.0499999999999998</v>
      </c>
      <c r="N10" s="99">
        <v>2.1624000000000003</v>
      </c>
      <c r="O10" s="99">
        <v>1.7136</v>
      </c>
      <c r="P10" s="99">
        <v>1.9564000000000001</v>
      </c>
      <c r="Q10" s="99">
        <v>2.5409999999999999</v>
      </c>
      <c r="R10" s="99">
        <v>1.431</v>
      </c>
      <c r="S10" s="99">
        <v>2.1580000000000004</v>
      </c>
      <c r="T10" s="99">
        <v>2.1552000000000002</v>
      </c>
      <c r="U10" s="99">
        <v>1.1880000000000002</v>
      </c>
      <c r="V10" s="99">
        <v>1.0919999999999999</v>
      </c>
      <c r="W10" s="120">
        <v>1.2053999999999998</v>
      </c>
      <c r="X10" s="119">
        <v>0.71020000000000005</v>
      </c>
      <c r="Y10" s="99">
        <v>1.2625</v>
      </c>
      <c r="Z10" s="99">
        <v>2.2542</v>
      </c>
      <c r="AA10" s="120">
        <v>5.7362000000000002</v>
      </c>
      <c r="AB10" s="119">
        <v>1.5743999999999998</v>
      </c>
      <c r="AC10" s="99">
        <v>1.3156000000000001</v>
      </c>
      <c r="AD10" s="120">
        <v>1.3083</v>
      </c>
    </row>
    <row r="11" spans="1:32">
      <c r="A11" s="130" t="s">
        <v>802</v>
      </c>
      <c r="B11" s="119">
        <v>4.1448</v>
      </c>
      <c r="C11" s="99">
        <v>3.9780000000000002</v>
      </c>
      <c r="D11" s="99">
        <v>3.3306</v>
      </c>
      <c r="E11" s="99">
        <v>3.2640000000000002</v>
      </c>
      <c r="F11" s="99">
        <v>3.6919999999999997</v>
      </c>
      <c r="G11" s="99">
        <v>3.8340000000000001</v>
      </c>
      <c r="H11" s="99">
        <v>3.3947999999999996</v>
      </c>
      <c r="I11" s="99">
        <v>3.1859999999999999</v>
      </c>
      <c r="J11" s="99">
        <v>4.5621</v>
      </c>
      <c r="K11" s="99">
        <v>3.6377999999999999</v>
      </c>
      <c r="L11" s="99">
        <v>3.6959999999999997</v>
      </c>
      <c r="M11" s="99">
        <v>3.42</v>
      </c>
      <c r="N11" s="99">
        <v>4.9608000000000008</v>
      </c>
      <c r="O11" s="99">
        <v>4.4016000000000002</v>
      </c>
      <c r="P11" s="99">
        <v>4.3507999999999996</v>
      </c>
      <c r="Q11" s="99">
        <v>5.5538999999999996</v>
      </c>
      <c r="R11" s="99">
        <v>4.6109999999999998</v>
      </c>
      <c r="S11" s="99">
        <v>5.7270000000000003</v>
      </c>
      <c r="T11" s="99">
        <v>6.6002999999999998</v>
      </c>
      <c r="U11" s="99">
        <v>3.5640000000000001</v>
      </c>
      <c r="V11" s="99">
        <v>3.2759999999999998</v>
      </c>
      <c r="W11" s="120">
        <v>3.5573999999999999</v>
      </c>
      <c r="X11" s="119">
        <v>1.8224000000000002</v>
      </c>
      <c r="Y11" s="99">
        <v>5.1005000000000003</v>
      </c>
      <c r="Z11" s="99">
        <v>7.4256000000000002</v>
      </c>
      <c r="AA11" s="120">
        <v>16.941800000000001</v>
      </c>
      <c r="AB11" s="119">
        <v>4.2640000000000002</v>
      </c>
      <c r="AC11" s="99">
        <v>3.5749999999999997</v>
      </c>
      <c r="AD11" s="120">
        <v>3.3641999999999999</v>
      </c>
    </row>
    <row r="12" spans="1:32">
      <c r="A12" s="130" t="s">
        <v>803</v>
      </c>
      <c r="B12" s="119">
        <v>0.37680000000000002</v>
      </c>
      <c r="C12" s="99">
        <v>0.64259999999999995</v>
      </c>
      <c r="D12" s="99">
        <v>2.6753999999999998</v>
      </c>
      <c r="E12" s="99">
        <v>0.38080000000000008</v>
      </c>
      <c r="F12" s="99">
        <v>1.3347999999999998</v>
      </c>
      <c r="G12" s="99">
        <v>0.37800000000000006</v>
      </c>
      <c r="H12" s="99">
        <v>0.69</v>
      </c>
      <c r="I12" s="99">
        <v>0.43200000000000005</v>
      </c>
      <c r="J12" s="99">
        <v>0.36630000000000001</v>
      </c>
      <c r="K12" s="99">
        <v>0.67679999999999996</v>
      </c>
      <c r="L12" s="99">
        <v>1.456</v>
      </c>
      <c r="M12" s="99">
        <v>0.92999999999999994</v>
      </c>
      <c r="N12" s="99" t="s">
        <v>795</v>
      </c>
      <c r="O12" s="99">
        <v>0.67200000000000004</v>
      </c>
      <c r="P12" s="99">
        <v>0</v>
      </c>
      <c r="Q12" s="99">
        <v>0.25409999999999999</v>
      </c>
      <c r="R12" s="99">
        <v>0.98580000000000001</v>
      </c>
      <c r="S12" s="99">
        <v>1.992</v>
      </c>
      <c r="T12" s="99">
        <v>0.94289999999999996</v>
      </c>
      <c r="U12" s="99">
        <v>0.38610000000000005</v>
      </c>
      <c r="V12" s="99">
        <v>0.36399999999999999</v>
      </c>
      <c r="W12" s="120">
        <v>0.38219999999999998</v>
      </c>
      <c r="X12" s="119">
        <v>0.4824</v>
      </c>
      <c r="Y12" s="99">
        <v>1.8179999999999998</v>
      </c>
      <c r="Z12" s="99">
        <v>0.99449999999999994</v>
      </c>
      <c r="AA12" s="120">
        <v>5.6027999999999993</v>
      </c>
      <c r="AB12" s="119">
        <v>0.36079999999999995</v>
      </c>
      <c r="AC12" s="99">
        <v>0.51479999999999992</v>
      </c>
      <c r="AD12" s="120">
        <v>1.0413000000000001</v>
      </c>
      <c r="AF12" s="100"/>
    </row>
    <row r="13" spans="1:32">
      <c r="A13" s="130" t="s">
        <v>804</v>
      </c>
      <c r="B13" s="119">
        <v>0.37680000000000002</v>
      </c>
      <c r="C13" s="99">
        <v>0.64259999999999995</v>
      </c>
      <c r="D13" s="99">
        <v>1.6653</v>
      </c>
      <c r="E13" s="99">
        <v>0.38080000000000008</v>
      </c>
      <c r="F13" s="99">
        <v>1.3347999999999998</v>
      </c>
      <c r="G13" s="99">
        <v>0.37800000000000006</v>
      </c>
      <c r="H13" s="99">
        <v>0.69</v>
      </c>
      <c r="I13" s="99">
        <v>0.43200000000000005</v>
      </c>
      <c r="J13" s="99">
        <v>0.36630000000000001</v>
      </c>
      <c r="K13" s="99">
        <v>0.67679999999999996</v>
      </c>
      <c r="L13" s="99">
        <v>1.456</v>
      </c>
      <c r="M13" s="99">
        <v>0.92999999999999994</v>
      </c>
      <c r="N13" s="99">
        <v>0</v>
      </c>
      <c r="O13" s="99">
        <v>0.67200000000000004</v>
      </c>
      <c r="P13" s="99" t="s">
        <v>795</v>
      </c>
      <c r="Q13" s="99">
        <v>0.25409999999999999</v>
      </c>
      <c r="R13" s="99">
        <v>0.38159999999999999</v>
      </c>
      <c r="S13" s="99">
        <v>1.992</v>
      </c>
      <c r="T13" s="99">
        <v>0.35920000000000002</v>
      </c>
      <c r="U13" s="99">
        <v>0.38610000000000005</v>
      </c>
      <c r="V13" s="99">
        <v>0.36399999999999999</v>
      </c>
      <c r="W13" s="120">
        <v>0.38219999999999998</v>
      </c>
      <c r="X13" s="119">
        <v>0.4824</v>
      </c>
      <c r="Y13" s="99">
        <v>1.8179999999999998</v>
      </c>
      <c r="Z13" s="99">
        <v>0.99449999999999994</v>
      </c>
      <c r="AA13" s="120">
        <v>5.6027999999999993</v>
      </c>
      <c r="AB13" s="119">
        <v>0.36079999999999995</v>
      </c>
      <c r="AC13" s="99">
        <v>0.51479999999999992</v>
      </c>
      <c r="AD13" s="120">
        <v>1.0413000000000001</v>
      </c>
    </row>
    <row r="14" spans="1:32">
      <c r="A14" s="130" t="s">
        <v>805</v>
      </c>
      <c r="B14" s="119">
        <v>9.4200000000000006E-2</v>
      </c>
      <c r="C14" s="99">
        <v>0.24480000000000002</v>
      </c>
      <c r="D14" s="99">
        <v>0.9554999999999999</v>
      </c>
      <c r="E14" s="99">
        <v>8.1600000000000006E-2</v>
      </c>
      <c r="F14" s="99">
        <v>0.71</v>
      </c>
      <c r="G14" s="99">
        <v>8.1000000000000003E-2</v>
      </c>
      <c r="H14" s="99">
        <v>0.30359999999999998</v>
      </c>
      <c r="I14" s="99">
        <v>0.13500000000000001</v>
      </c>
      <c r="J14" s="99">
        <v>9.9900000000000003E-2</v>
      </c>
      <c r="K14" s="99">
        <v>0.28199999999999997</v>
      </c>
      <c r="L14" s="99">
        <v>0.81199999999999994</v>
      </c>
      <c r="M14" s="99">
        <v>0.44999999999999996</v>
      </c>
      <c r="N14" s="99">
        <v>-0.15900000000000003</v>
      </c>
      <c r="O14" s="99">
        <v>0.26879999999999998</v>
      </c>
      <c r="P14" s="99">
        <v>-0.14599999999999999</v>
      </c>
      <c r="Q14" s="99" t="s">
        <v>795</v>
      </c>
      <c r="R14" s="99">
        <v>9.5399999999999999E-2</v>
      </c>
      <c r="S14" s="99">
        <v>1.1620000000000001</v>
      </c>
      <c r="T14" s="99">
        <v>8.9800000000000005E-2</v>
      </c>
      <c r="U14" s="99">
        <v>8.9099999999999999E-2</v>
      </c>
      <c r="V14" s="99">
        <v>8.3999999999999991E-2</v>
      </c>
      <c r="W14" s="120">
        <v>8.8200000000000001E-2</v>
      </c>
      <c r="X14" s="119">
        <v>0.25459999999999999</v>
      </c>
      <c r="Y14" s="99">
        <v>0.90899999999999992</v>
      </c>
      <c r="Z14" s="99">
        <v>0.26519999999999999</v>
      </c>
      <c r="AA14" s="120">
        <v>3.2016</v>
      </c>
      <c r="AB14" s="119">
        <v>9.8399999999999987E-2</v>
      </c>
      <c r="AC14" s="99">
        <v>0.20020000000000002</v>
      </c>
      <c r="AD14" s="120">
        <v>0.53400000000000003</v>
      </c>
    </row>
    <row r="15" spans="1:32">
      <c r="A15" s="130" t="s">
        <v>806</v>
      </c>
      <c r="B15" s="119">
        <v>0.28260000000000002</v>
      </c>
      <c r="C15" s="99">
        <v>0.36719999999999997</v>
      </c>
      <c r="D15" s="99">
        <v>0.70979999999999999</v>
      </c>
      <c r="E15" s="99">
        <v>0.29920000000000002</v>
      </c>
      <c r="F15" s="99">
        <v>0.59639999999999993</v>
      </c>
      <c r="G15" s="99">
        <v>0.29700000000000004</v>
      </c>
      <c r="H15" s="99">
        <v>0.38640000000000002</v>
      </c>
      <c r="I15" s="99">
        <v>0.29700000000000004</v>
      </c>
      <c r="J15" s="99">
        <v>0.29970000000000002</v>
      </c>
      <c r="K15" s="99">
        <v>0.39480000000000004</v>
      </c>
      <c r="L15" s="99">
        <v>0.64400000000000002</v>
      </c>
      <c r="M15" s="99">
        <v>0.48</v>
      </c>
      <c r="N15" s="99">
        <v>0.15900000000000003</v>
      </c>
      <c r="O15" s="99">
        <v>0.40319999999999995</v>
      </c>
      <c r="P15" s="99">
        <v>0.14599999999999999</v>
      </c>
      <c r="Q15" s="99">
        <v>0.25409999999999999</v>
      </c>
      <c r="R15" s="99">
        <v>0.28620000000000001</v>
      </c>
      <c r="S15" s="99">
        <v>0.83000000000000007</v>
      </c>
      <c r="T15" s="99">
        <v>0.26940000000000003</v>
      </c>
      <c r="U15" s="99">
        <v>0.29700000000000004</v>
      </c>
      <c r="V15" s="99">
        <v>0.27999999999999997</v>
      </c>
      <c r="W15" s="120">
        <v>0.29399999999999998</v>
      </c>
      <c r="X15" s="119">
        <v>0.2412</v>
      </c>
      <c r="Y15" s="99">
        <v>0.90899999999999992</v>
      </c>
      <c r="Z15" s="99">
        <v>0.72929999999999995</v>
      </c>
      <c r="AA15" s="120">
        <v>2.4011999999999998</v>
      </c>
      <c r="AB15" s="119">
        <v>0.29519999999999996</v>
      </c>
      <c r="AC15" s="99">
        <v>0.34319999999999995</v>
      </c>
      <c r="AD15" s="120">
        <v>0.50729999999999997</v>
      </c>
    </row>
    <row r="16" spans="1:32">
      <c r="A16" s="130" t="s">
        <v>807</v>
      </c>
      <c r="B16" s="119">
        <v>9.4200000000000006E-2</v>
      </c>
      <c r="C16" s="99">
        <v>0.18359999999999999</v>
      </c>
      <c r="D16" s="99">
        <v>0.51870000000000005</v>
      </c>
      <c r="E16" s="99">
        <v>8.1600000000000006E-2</v>
      </c>
      <c r="F16" s="99">
        <v>0.39760000000000001</v>
      </c>
      <c r="G16" s="99">
        <v>8.1000000000000003E-2</v>
      </c>
      <c r="H16" s="99">
        <v>0.19320000000000001</v>
      </c>
      <c r="I16" s="99">
        <v>0.10800000000000001</v>
      </c>
      <c r="J16" s="99">
        <v>9.9900000000000003E-2</v>
      </c>
      <c r="K16" s="99">
        <v>0.19740000000000002</v>
      </c>
      <c r="L16" s="99">
        <v>0.44799999999999995</v>
      </c>
      <c r="M16" s="99">
        <v>0.27</v>
      </c>
      <c r="N16" s="99">
        <v>-3.1800000000000002E-2</v>
      </c>
      <c r="O16" s="99">
        <v>0.20159999999999997</v>
      </c>
      <c r="P16" s="99">
        <v>-2.92E-2</v>
      </c>
      <c r="Q16" s="99">
        <v>3.6299999999999999E-2</v>
      </c>
      <c r="R16" s="99">
        <v>9.5399999999999999E-2</v>
      </c>
      <c r="S16" s="99">
        <v>0.62250000000000005</v>
      </c>
      <c r="T16" s="99">
        <v>8.9800000000000005E-2</v>
      </c>
      <c r="U16" s="99">
        <v>8.9099999999999999E-2</v>
      </c>
      <c r="V16" s="99">
        <v>8.3999999999999991E-2</v>
      </c>
      <c r="W16" s="120">
        <v>8.8200000000000001E-2</v>
      </c>
      <c r="X16" s="119">
        <v>0.1474</v>
      </c>
      <c r="Y16" s="99">
        <v>0.55549999999999999</v>
      </c>
      <c r="Z16" s="99">
        <v>0.26519999999999999</v>
      </c>
      <c r="AA16" s="120">
        <v>1.7342</v>
      </c>
      <c r="AB16" s="119">
        <v>9.8399999999999987E-2</v>
      </c>
      <c r="AC16" s="99">
        <v>0.14299999999999999</v>
      </c>
      <c r="AD16" s="120">
        <v>0.32039999999999996</v>
      </c>
    </row>
    <row r="17" spans="1:30">
      <c r="A17" s="130" t="s">
        <v>808</v>
      </c>
      <c r="B17" s="119">
        <v>9.4200000000000006E-2</v>
      </c>
      <c r="C17" s="99">
        <v>0.18359999999999999</v>
      </c>
      <c r="D17" s="99">
        <v>0.51870000000000005</v>
      </c>
      <c r="E17" s="99">
        <v>8.1600000000000006E-2</v>
      </c>
      <c r="F17" s="99">
        <v>0.39760000000000001</v>
      </c>
      <c r="G17" s="99">
        <v>8.1000000000000003E-2</v>
      </c>
      <c r="H17" s="99">
        <v>0.19320000000000001</v>
      </c>
      <c r="I17" s="99">
        <v>0.10800000000000001</v>
      </c>
      <c r="J17" s="99">
        <v>9.9900000000000003E-2</v>
      </c>
      <c r="K17" s="99">
        <v>0.19740000000000002</v>
      </c>
      <c r="L17" s="99">
        <v>0.44799999999999995</v>
      </c>
      <c r="M17" s="99">
        <v>0.27</v>
      </c>
      <c r="N17" s="99">
        <v>-3.1800000000000002E-2</v>
      </c>
      <c r="O17" s="99">
        <v>0.20159999999999997</v>
      </c>
      <c r="P17" s="99">
        <v>-2.92E-2</v>
      </c>
      <c r="Q17" s="99">
        <v>3.6299999999999999E-2</v>
      </c>
      <c r="R17" s="99">
        <v>9.5399999999999999E-2</v>
      </c>
      <c r="S17" s="99">
        <v>0.62250000000000005</v>
      </c>
      <c r="T17" s="99">
        <v>8.9800000000000005E-2</v>
      </c>
      <c r="U17" s="99">
        <v>8.9099999999999999E-2</v>
      </c>
      <c r="V17" s="99">
        <v>8.3999999999999991E-2</v>
      </c>
      <c r="W17" s="120">
        <v>8.8200000000000001E-2</v>
      </c>
      <c r="X17" s="119">
        <v>0.1474</v>
      </c>
      <c r="Y17" s="99">
        <v>0.55549999999999999</v>
      </c>
      <c r="Z17" s="99">
        <v>0.26519999999999999</v>
      </c>
      <c r="AA17" s="120">
        <v>1.7342</v>
      </c>
      <c r="AB17" s="119">
        <v>9.8399999999999987E-2</v>
      </c>
      <c r="AC17" s="99">
        <v>0.14299999999999999</v>
      </c>
      <c r="AD17" s="120">
        <v>0.32039999999999996</v>
      </c>
    </row>
    <row r="18" spans="1:30">
      <c r="A18" s="130" t="s">
        <v>809</v>
      </c>
      <c r="B18" s="119">
        <v>0</v>
      </c>
      <c r="C18" s="99">
        <v>9.1799999999999993E-2</v>
      </c>
      <c r="D18" s="99">
        <v>0.43680000000000002</v>
      </c>
      <c r="E18" s="99">
        <v>0</v>
      </c>
      <c r="F18" s="99">
        <v>0.31240000000000001</v>
      </c>
      <c r="G18" s="99">
        <v>0</v>
      </c>
      <c r="H18" s="99">
        <v>0.1104</v>
      </c>
      <c r="I18" s="99">
        <v>2.7000000000000003E-2</v>
      </c>
      <c r="J18" s="99">
        <v>0</v>
      </c>
      <c r="K18" s="99">
        <v>0.1128</v>
      </c>
      <c r="L18" s="99">
        <v>0.36399999999999999</v>
      </c>
      <c r="M18" s="99">
        <v>0.18</v>
      </c>
      <c r="N18" s="99">
        <v>-0.12720000000000001</v>
      </c>
      <c r="O18" s="99">
        <v>0.10079999999999999</v>
      </c>
      <c r="P18" s="99">
        <v>-0.1168</v>
      </c>
      <c r="Q18" s="99">
        <v>-3.6299999999999999E-2</v>
      </c>
      <c r="R18" s="99">
        <v>0</v>
      </c>
      <c r="S18" s="99">
        <v>0.53950000000000009</v>
      </c>
      <c r="T18" s="99">
        <v>0</v>
      </c>
      <c r="U18" s="99">
        <v>0</v>
      </c>
      <c r="V18" s="99">
        <v>0</v>
      </c>
      <c r="W18" s="120">
        <v>0</v>
      </c>
      <c r="X18" s="119">
        <v>0.1072</v>
      </c>
      <c r="Y18" s="99">
        <v>0.35350000000000004</v>
      </c>
      <c r="Z18" s="99">
        <v>0</v>
      </c>
      <c r="AA18" s="120">
        <v>1.4674</v>
      </c>
      <c r="AB18" s="119">
        <v>0</v>
      </c>
      <c r="AC18" s="99">
        <v>5.7200000000000001E-2</v>
      </c>
      <c r="AD18" s="120">
        <v>0.21360000000000001</v>
      </c>
    </row>
    <row r="19" spans="1:30">
      <c r="A19" s="130" t="s">
        <v>810</v>
      </c>
      <c r="B19" s="119">
        <v>3.0771999999999999</v>
      </c>
      <c r="C19" s="99">
        <v>2.8458000000000001</v>
      </c>
      <c r="D19" s="99">
        <v>1.8291000000000002</v>
      </c>
      <c r="E19" s="99">
        <v>2.2303999999999999</v>
      </c>
      <c r="F19" s="99">
        <v>2.1583999999999999</v>
      </c>
      <c r="G19" s="99">
        <v>2.214</v>
      </c>
      <c r="H19" s="99">
        <v>2.2079999999999997</v>
      </c>
      <c r="I19" s="99">
        <v>2.16</v>
      </c>
      <c r="J19" s="99">
        <v>3.4632000000000001</v>
      </c>
      <c r="K19" s="99">
        <v>2.3405999999999998</v>
      </c>
      <c r="L19" s="99">
        <v>2.044</v>
      </c>
      <c r="M19" s="99">
        <v>2.61</v>
      </c>
      <c r="N19" s="99">
        <v>3.2754000000000003</v>
      </c>
      <c r="O19" s="99">
        <v>2.9567999999999999</v>
      </c>
      <c r="P19" s="99">
        <v>3.1536</v>
      </c>
      <c r="Q19" s="99">
        <v>4.0293000000000001</v>
      </c>
      <c r="R19" s="99">
        <v>3.1482000000000001</v>
      </c>
      <c r="S19" s="99">
        <v>4.5650000000000004</v>
      </c>
      <c r="T19" s="99">
        <v>5.7921000000000005</v>
      </c>
      <c r="U19" s="99">
        <v>2.7324000000000002</v>
      </c>
      <c r="V19" s="99">
        <v>2.4079999999999999</v>
      </c>
      <c r="W19" s="120">
        <v>2.6754000000000002</v>
      </c>
      <c r="X19" s="119">
        <v>1.0988</v>
      </c>
      <c r="Y19" s="99">
        <v>3.5349999999999997</v>
      </c>
      <c r="Z19" s="99">
        <v>4.7736000000000001</v>
      </c>
      <c r="AA19" s="120">
        <v>11.8726</v>
      </c>
      <c r="AB19" s="119">
        <v>3.3455999999999997</v>
      </c>
      <c r="AC19" s="99">
        <v>2.4596</v>
      </c>
      <c r="AD19" s="120">
        <v>1.9223999999999999</v>
      </c>
    </row>
    <row r="20" spans="1:30">
      <c r="A20" s="130" t="s">
        <v>811</v>
      </c>
      <c r="B20" s="119">
        <v>3.0771999999999999</v>
      </c>
      <c r="C20" s="99">
        <v>2.8458000000000001</v>
      </c>
      <c r="D20" s="99">
        <v>1.8291000000000002</v>
      </c>
      <c r="E20" s="99">
        <v>2.2303999999999999</v>
      </c>
      <c r="F20" s="99">
        <v>2.1583999999999999</v>
      </c>
      <c r="G20" s="99">
        <v>2.214</v>
      </c>
      <c r="H20" s="99">
        <v>2.2079999999999997</v>
      </c>
      <c r="I20" s="99">
        <v>2.16</v>
      </c>
      <c r="J20" s="99">
        <v>3.4632000000000001</v>
      </c>
      <c r="K20" s="99">
        <v>2.3405999999999998</v>
      </c>
      <c r="L20" s="99">
        <v>2.044</v>
      </c>
      <c r="M20" s="99">
        <v>2.61</v>
      </c>
      <c r="N20" s="99">
        <v>3.2754000000000003</v>
      </c>
      <c r="O20" s="99">
        <v>2.9567999999999999</v>
      </c>
      <c r="P20" s="99">
        <v>3.1536</v>
      </c>
      <c r="Q20" s="99">
        <v>4.0293000000000001</v>
      </c>
      <c r="R20" s="99">
        <v>3.1482000000000001</v>
      </c>
      <c r="S20" s="99">
        <v>4.5650000000000004</v>
      </c>
      <c r="T20" s="99">
        <v>5.7921000000000005</v>
      </c>
      <c r="U20" s="99">
        <v>2.7324000000000002</v>
      </c>
      <c r="V20" s="99">
        <v>2.4079999999999999</v>
      </c>
      <c r="W20" s="120">
        <v>2.6754000000000002</v>
      </c>
      <c r="X20" s="119">
        <v>1.0988</v>
      </c>
      <c r="Y20" s="99">
        <v>3.5349999999999997</v>
      </c>
      <c r="Z20" s="99">
        <v>4.7736000000000001</v>
      </c>
      <c r="AA20" s="120">
        <v>11.8726</v>
      </c>
      <c r="AB20" s="119">
        <v>3.3455999999999997</v>
      </c>
      <c r="AC20" s="99">
        <v>2.4596</v>
      </c>
      <c r="AD20" s="120">
        <v>1.9223999999999999</v>
      </c>
    </row>
    <row r="21" spans="1:30">
      <c r="A21" s="130" t="s">
        <v>812</v>
      </c>
      <c r="B21" s="119">
        <v>2.8574000000000002</v>
      </c>
      <c r="C21" s="99">
        <v>2.5091999999999999</v>
      </c>
      <c r="D21" s="99">
        <v>1.1193</v>
      </c>
      <c r="E21" s="99">
        <v>1.9856</v>
      </c>
      <c r="F21" s="99">
        <v>1.4483999999999999</v>
      </c>
      <c r="G21" s="99">
        <v>1.4040000000000001</v>
      </c>
      <c r="H21" s="99">
        <v>1.8492</v>
      </c>
      <c r="I21" s="99">
        <v>1.9710000000000001</v>
      </c>
      <c r="J21" s="99">
        <v>3.1968000000000001</v>
      </c>
      <c r="K21" s="99">
        <v>1.833</v>
      </c>
      <c r="L21" s="99">
        <v>1.204</v>
      </c>
      <c r="M21" s="99">
        <v>2.61</v>
      </c>
      <c r="N21" s="99">
        <v>2.4168000000000003</v>
      </c>
      <c r="O21" s="99">
        <v>2.4527999999999999</v>
      </c>
      <c r="P21" s="99">
        <v>2.7156000000000002</v>
      </c>
      <c r="Q21" s="99">
        <v>3.4121999999999999</v>
      </c>
      <c r="R21" s="99">
        <v>2.5122000000000004</v>
      </c>
      <c r="S21" s="99">
        <v>4.1915000000000004</v>
      </c>
      <c r="T21" s="99">
        <v>5.7921000000000005</v>
      </c>
      <c r="U21" s="99">
        <v>2.7324000000000002</v>
      </c>
      <c r="V21" s="99">
        <v>2.3239999999999998</v>
      </c>
      <c r="W21" s="120">
        <v>2.6166</v>
      </c>
      <c r="X21" s="119">
        <v>0.75040000000000007</v>
      </c>
      <c r="Y21" s="99">
        <v>3.5349999999999997</v>
      </c>
      <c r="Z21" s="99">
        <v>4.7736000000000001</v>
      </c>
      <c r="AA21" s="120">
        <v>11.8726</v>
      </c>
      <c r="AB21" s="119">
        <v>3.28</v>
      </c>
      <c r="AC21" s="99">
        <v>2.1736</v>
      </c>
      <c r="AD21" s="120">
        <v>1.3083</v>
      </c>
    </row>
    <row r="22" spans="1:30">
      <c r="A22" s="130" t="s">
        <v>813</v>
      </c>
      <c r="B22" s="119">
        <v>2.6061999999999999</v>
      </c>
      <c r="C22" s="99">
        <v>2.2644000000000002</v>
      </c>
      <c r="D22" s="99">
        <v>0.90090000000000003</v>
      </c>
      <c r="E22" s="99">
        <v>1.7408000000000001</v>
      </c>
      <c r="F22" s="99">
        <v>1.2211999999999998</v>
      </c>
      <c r="G22" s="99">
        <v>1.161</v>
      </c>
      <c r="H22" s="99">
        <v>1.6007999999999998</v>
      </c>
      <c r="I22" s="99">
        <v>1.7280000000000002</v>
      </c>
      <c r="J22" s="99">
        <v>2.9637000000000002</v>
      </c>
      <c r="K22" s="99">
        <v>1.6073999999999997</v>
      </c>
      <c r="L22" s="99">
        <v>0.95199999999999996</v>
      </c>
      <c r="M22" s="99">
        <v>2.37</v>
      </c>
      <c r="N22" s="99">
        <v>2.1624000000000003</v>
      </c>
      <c r="O22" s="99">
        <v>2.1840000000000002</v>
      </c>
      <c r="P22" s="99">
        <v>2.4819999999999998</v>
      </c>
      <c r="Q22" s="99">
        <v>3.1580999999999997</v>
      </c>
      <c r="R22" s="99">
        <v>2.2896000000000001</v>
      </c>
      <c r="S22" s="99">
        <v>3.9425000000000003</v>
      </c>
      <c r="T22" s="99">
        <v>5.5227000000000004</v>
      </c>
      <c r="U22" s="99">
        <v>2.4948000000000001</v>
      </c>
      <c r="V22" s="99">
        <v>2.0999999999999996</v>
      </c>
      <c r="W22" s="120">
        <v>2.3814000000000002</v>
      </c>
      <c r="X22" s="119">
        <v>0.64319999999999999</v>
      </c>
      <c r="Y22" s="99">
        <v>3.03</v>
      </c>
      <c r="Z22" s="99">
        <v>4.1768999999999998</v>
      </c>
      <c r="AA22" s="120">
        <v>11.072199999999999</v>
      </c>
      <c r="AB22" s="119">
        <v>3.0175999999999998</v>
      </c>
      <c r="AC22" s="99">
        <v>1.9448000000000001</v>
      </c>
      <c r="AD22" s="120">
        <v>1.0680000000000001</v>
      </c>
    </row>
    <row r="23" spans="1:30">
      <c r="A23" s="130" t="s">
        <v>814</v>
      </c>
      <c r="B23" s="119">
        <v>2.8574000000000002</v>
      </c>
      <c r="C23" s="99">
        <v>2.601</v>
      </c>
      <c r="D23" s="99">
        <v>1.5833999999999999</v>
      </c>
      <c r="E23" s="99">
        <v>1.9856</v>
      </c>
      <c r="F23" s="99">
        <v>1.9312</v>
      </c>
      <c r="G23" s="99">
        <v>1.9710000000000001</v>
      </c>
      <c r="H23" s="99">
        <v>1.9595999999999998</v>
      </c>
      <c r="I23" s="99">
        <v>1.944</v>
      </c>
      <c r="J23" s="99">
        <v>3.2301000000000002</v>
      </c>
      <c r="K23" s="99">
        <v>2.0867999999999998</v>
      </c>
      <c r="L23" s="99">
        <v>1.7919999999999998</v>
      </c>
      <c r="M23" s="99">
        <v>2.37</v>
      </c>
      <c r="N23" s="99">
        <v>3.0209999999999999</v>
      </c>
      <c r="O23" s="99">
        <v>2.6880000000000002</v>
      </c>
      <c r="P23" s="99">
        <v>2.9491999999999998</v>
      </c>
      <c r="Q23" s="99">
        <v>3.8115000000000001</v>
      </c>
      <c r="R23" s="99">
        <v>2.9256000000000002</v>
      </c>
      <c r="S23" s="99">
        <v>4.3160000000000007</v>
      </c>
      <c r="T23" s="99">
        <v>5.5227000000000004</v>
      </c>
      <c r="U23" s="99">
        <v>2.4948000000000001</v>
      </c>
      <c r="V23" s="99">
        <v>2.1559999999999997</v>
      </c>
      <c r="W23" s="120">
        <v>2.4401999999999999</v>
      </c>
      <c r="X23" s="119">
        <v>0.99160000000000004</v>
      </c>
      <c r="Y23" s="99">
        <v>3.03</v>
      </c>
      <c r="Z23" s="99">
        <v>4.1768999999999998</v>
      </c>
      <c r="AA23" s="120">
        <v>11.072199999999999</v>
      </c>
      <c r="AB23" s="119">
        <v>3.1159999999999997</v>
      </c>
      <c r="AC23" s="99">
        <v>2.2307999999999999</v>
      </c>
      <c r="AD23" s="120">
        <v>1.6820999999999999</v>
      </c>
    </row>
    <row r="24" spans="1:30">
      <c r="A24" s="130" t="s">
        <v>815</v>
      </c>
      <c r="B24" s="119">
        <v>2.8574000000000002</v>
      </c>
      <c r="C24" s="99">
        <v>2.601</v>
      </c>
      <c r="D24" s="99">
        <v>1.5833999999999999</v>
      </c>
      <c r="E24" s="99">
        <v>1.9856</v>
      </c>
      <c r="F24" s="99">
        <v>1.9312</v>
      </c>
      <c r="G24" s="99">
        <v>1.9710000000000001</v>
      </c>
      <c r="H24" s="99">
        <v>1.9595999999999998</v>
      </c>
      <c r="I24" s="99">
        <v>1.944</v>
      </c>
      <c r="J24" s="99">
        <v>3.2301000000000002</v>
      </c>
      <c r="K24" s="99">
        <v>2.0867999999999998</v>
      </c>
      <c r="L24" s="99">
        <v>1.7919999999999998</v>
      </c>
      <c r="M24" s="99">
        <v>2.37</v>
      </c>
      <c r="N24" s="99">
        <v>3.0209999999999999</v>
      </c>
      <c r="O24" s="99">
        <v>2.6880000000000002</v>
      </c>
      <c r="P24" s="99">
        <v>2.9491999999999998</v>
      </c>
      <c r="Q24" s="99">
        <v>3.8115000000000001</v>
      </c>
      <c r="R24" s="99">
        <v>2.9256000000000002</v>
      </c>
      <c r="S24" s="99">
        <v>4.3160000000000007</v>
      </c>
      <c r="T24" s="99">
        <v>5.5227000000000004</v>
      </c>
      <c r="U24" s="99">
        <v>2.4948000000000001</v>
      </c>
      <c r="V24" s="99">
        <v>2.1559999999999997</v>
      </c>
      <c r="W24" s="120">
        <v>2.4401999999999999</v>
      </c>
      <c r="X24" s="119">
        <v>0.99160000000000004</v>
      </c>
      <c r="Y24" s="99">
        <v>3.03</v>
      </c>
      <c r="Z24" s="99">
        <v>4.1768999999999998</v>
      </c>
      <c r="AA24" s="120">
        <v>11.072199999999999</v>
      </c>
      <c r="AB24" s="119">
        <v>3.1159999999999997</v>
      </c>
      <c r="AC24" s="99">
        <v>2.2307999999999999</v>
      </c>
      <c r="AD24" s="120">
        <v>1.6820999999999999</v>
      </c>
    </row>
    <row r="25" spans="1:30">
      <c r="A25" s="130" t="s">
        <v>816</v>
      </c>
      <c r="B25" s="119">
        <v>3.0771999999999999</v>
      </c>
      <c r="C25" s="99">
        <v>2.9375999999999998</v>
      </c>
      <c r="D25" s="99">
        <v>2.2113</v>
      </c>
      <c r="E25" s="99">
        <v>2.2032000000000003</v>
      </c>
      <c r="F25" s="99">
        <v>2.556</v>
      </c>
      <c r="G25" s="99">
        <v>2.5649999999999999</v>
      </c>
      <c r="H25" s="99">
        <v>2.3459999999999996</v>
      </c>
      <c r="I25" s="99">
        <v>2.1330000000000005</v>
      </c>
      <c r="J25" s="99">
        <v>3.4965000000000002</v>
      </c>
      <c r="K25" s="99">
        <v>2.5943999999999998</v>
      </c>
      <c r="L25" s="99">
        <v>2.4359999999999999</v>
      </c>
      <c r="M25" s="99">
        <v>2.37</v>
      </c>
      <c r="N25" s="99">
        <v>3.657</v>
      </c>
      <c r="O25" s="99">
        <v>3.1583999999999999</v>
      </c>
      <c r="P25" s="99">
        <v>3.4163999999999999</v>
      </c>
      <c r="Q25" s="99">
        <v>4.4285999999999994</v>
      </c>
      <c r="R25" s="99">
        <v>3.5298000000000003</v>
      </c>
      <c r="S25" s="99">
        <v>4.6480000000000006</v>
      </c>
      <c r="T25" s="99">
        <v>5.5227000000000004</v>
      </c>
      <c r="U25" s="99">
        <v>2.4948000000000001</v>
      </c>
      <c r="V25" s="99">
        <v>2.2119999999999997</v>
      </c>
      <c r="W25" s="120">
        <v>2.4990000000000001</v>
      </c>
      <c r="X25" s="119">
        <v>1.2864</v>
      </c>
      <c r="Y25" s="99">
        <v>3.03</v>
      </c>
      <c r="Z25" s="99">
        <v>4.1768999999999998</v>
      </c>
      <c r="AA25" s="120">
        <v>11.072199999999999</v>
      </c>
      <c r="AB25" s="119">
        <v>3.1815999999999995</v>
      </c>
      <c r="AC25" s="99">
        <v>2.4882</v>
      </c>
      <c r="AD25" s="120">
        <v>2.2961999999999998</v>
      </c>
    </row>
    <row r="26" spans="1:30">
      <c r="A26" s="130" t="s">
        <v>817</v>
      </c>
      <c r="B26" s="119">
        <v>0.40820000000000001</v>
      </c>
      <c r="C26" s="99">
        <v>0.30600000000000005</v>
      </c>
      <c r="D26" s="99">
        <v>0</v>
      </c>
      <c r="E26" s="99">
        <v>0.40800000000000003</v>
      </c>
      <c r="F26" s="99">
        <v>0</v>
      </c>
      <c r="G26" s="99">
        <v>2.7000000000000003E-2</v>
      </c>
      <c r="H26" s="99">
        <v>0.27599999999999997</v>
      </c>
      <c r="I26" s="99">
        <v>0.43200000000000005</v>
      </c>
      <c r="J26" s="99">
        <v>0.36630000000000001</v>
      </c>
      <c r="K26" s="99">
        <v>0.14099999999999999</v>
      </c>
      <c r="L26" s="99">
        <v>0</v>
      </c>
      <c r="M26" s="99">
        <v>0.63</v>
      </c>
      <c r="N26" s="99">
        <v>0</v>
      </c>
      <c r="O26" s="99">
        <v>0.23520000000000002</v>
      </c>
      <c r="P26" s="99">
        <v>8.7599999999999997E-2</v>
      </c>
      <c r="Q26" s="99">
        <v>0</v>
      </c>
      <c r="R26" s="99">
        <v>0</v>
      </c>
      <c r="S26" s="99">
        <v>0.29050000000000004</v>
      </c>
      <c r="T26" s="99">
        <v>0.62860000000000005</v>
      </c>
      <c r="U26" s="99">
        <v>0.62370000000000003</v>
      </c>
      <c r="V26" s="99">
        <v>0.55999999999999994</v>
      </c>
      <c r="W26" s="120">
        <v>0.58799999999999997</v>
      </c>
      <c r="X26" s="119">
        <v>0</v>
      </c>
      <c r="Y26" s="99">
        <v>1.2625</v>
      </c>
      <c r="Z26" s="99">
        <v>1.5911999999999999</v>
      </c>
      <c r="AA26" s="120">
        <v>2.2678000000000003</v>
      </c>
      <c r="AB26" s="119">
        <v>0.55759999999999998</v>
      </c>
      <c r="AC26" s="99">
        <v>0.37180000000000002</v>
      </c>
      <c r="AD26" s="120">
        <v>0</v>
      </c>
    </row>
    <row r="27" spans="1:30">
      <c r="A27" s="130" t="s">
        <v>818</v>
      </c>
      <c r="B27" s="119">
        <v>0</v>
      </c>
      <c r="C27" s="99">
        <v>0</v>
      </c>
      <c r="D27" s="99">
        <v>5.4600000000000003E-2</v>
      </c>
      <c r="E27" s="99">
        <v>0</v>
      </c>
      <c r="F27" s="99">
        <v>8.5199999999999998E-2</v>
      </c>
      <c r="G27" s="99">
        <v>0.21600000000000003</v>
      </c>
      <c r="H27" s="99">
        <v>0</v>
      </c>
      <c r="I27" s="99">
        <v>0</v>
      </c>
      <c r="J27" s="99">
        <v>0</v>
      </c>
      <c r="K27" s="99">
        <v>0</v>
      </c>
      <c r="L27" s="99">
        <v>0.19600000000000001</v>
      </c>
      <c r="M27" s="99">
        <v>0</v>
      </c>
      <c r="N27" s="99">
        <v>0.22260000000000002</v>
      </c>
      <c r="O27" s="99">
        <v>0</v>
      </c>
      <c r="P27" s="99">
        <v>0</v>
      </c>
      <c r="Q27" s="99">
        <v>0</v>
      </c>
      <c r="R27" s="99">
        <v>0</v>
      </c>
      <c r="S27" s="99">
        <v>0</v>
      </c>
      <c r="T27" s="99">
        <v>0</v>
      </c>
      <c r="U27" s="99">
        <v>0</v>
      </c>
      <c r="V27" s="99">
        <v>0</v>
      </c>
      <c r="W27" s="120">
        <v>0</v>
      </c>
      <c r="X27" s="119">
        <v>5.3600000000000002E-2</v>
      </c>
      <c r="Y27" s="99">
        <v>0</v>
      </c>
      <c r="Z27" s="99">
        <v>0</v>
      </c>
      <c r="AA27" s="120">
        <v>0</v>
      </c>
      <c r="AB27" s="119">
        <v>0</v>
      </c>
      <c r="AC27" s="99">
        <v>0</v>
      </c>
      <c r="AD27" s="120">
        <v>0</v>
      </c>
    </row>
    <row r="28" spans="1:30">
      <c r="A28" s="130" t="s">
        <v>819</v>
      </c>
      <c r="B28" s="119">
        <v>0.21980000000000002</v>
      </c>
      <c r="C28" s="99">
        <v>0.33660000000000001</v>
      </c>
      <c r="D28" s="99">
        <v>0.6825</v>
      </c>
      <c r="E28" s="99">
        <v>0.21760000000000002</v>
      </c>
      <c r="F28" s="99">
        <v>0.71</v>
      </c>
      <c r="G28" s="99">
        <v>0.81</v>
      </c>
      <c r="H28" s="99">
        <v>0.35880000000000001</v>
      </c>
      <c r="I28" s="99">
        <v>0.18900000000000003</v>
      </c>
      <c r="J28" s="99">
        <v>0.26640000000000003</v>
      </c>
      <c r="K28" s="99">
        <v>0.50759999999999994</v>
      </c>
      <c r="L28" s="99">
        <v>0.84</v>
      </c>
      <c r="M28" s="99">
        <v>0</v>
      </c>
      <c r="N28" s="99">
        <v>0.85860000000000014</v>
      </c>
      <c r="O28" s="99">
        <v>0.504</v>
      </c>
      <c r="P28" s="99">
        <v>0.4672</v>
      </c>
      <c r="Q28" s="99">
        <v>0.61709999999999998</v>
      </c>
      <c r="R28" s="99">
        <v>0.63600000000000012</v>
      </c>
      <c r="S28" s="99">
        <v>0.33200000000000002</v>
      </c>
      <c r="T28" s="99">
        <v>0</v>
      </c>
      <c r="U28" s="99">
        <v>0</v>
      </c>
      <c r="V28" s="99">
        <v>5.5999999999999994E-2</v>
      </c>
      <c r="W28" s="120">
        <v>5.8799999999999998E-2</v>
      </c>
      <c r="X28" s="119">
        <v>0.34840000000000004</v>
      </c>
      <c r="Y28" s="99" t="s">
        <v>795</v>
      </c>
      <c r="Z28" s="99" t="s">
        <v>795</v>
      </c>
      <c r="AA28" s="120" t="s">
        <v>795</v>
      </c>
      <c r="AB28" s="119">
        <v>6.5599999999999992E-2</v>
      </c>
      <c r="AC28" s="99">
        <v>0.28599999999999998</v>
      </c>
      <c r="AD28" s="120">
        <v>0.61409999999999998</v>
      </c>
    </row>
    <row r="29" spans="1:30">
      <c r="A29" s="130" t="s">
        <v>820</v>
      </c>
      <c r="B29" s="119">
        <v>0.21980000000000002</v>
      </c>
      <c r="C29" s="99">
        <v>0.33660000000000001</v>
      </c>
      <c r="D29" s="99">
        <v>0.6825</v>
      </c>
      <c r="E29" s="99">
        <v>0.21760000000000002</v>
      </c>
      <c r="F29" s="99">
        <v>0.71</v>
      </c>
      <c r="G29" s="99">
        <v>0.81</v>
      </c>
      <c r="H29" s="99">
        <v>0.35880000000000001</v>
      </c>
      <c r="I29" s="99">
        <v>0.18900000000000003</v>
      </c>
      <c r="J29" s="99">
        <v>0.26640000000000003</v>
      </c>
      <c r="K29" s="99">
        <v>0.50759999999999994</v>
      </c>
      <c r="L29" s="99">
        <v>0.84</v>
      </c>
      <c r="M29" s="99">
        <v>0</v>
      </c>
      <c r="N29" s="99">
        <v>0.85860000000000014</v>
      </c>
      <c r="O29" s="99">
        <v>0.504</v>
      </c>
      <c r="P29" s="99">
        <v>0.4672</v>
      </c>
      <c r="Q29" s="99">
        <v>0.61709999999999998</v>
      </c>
      <c r="R29" s="99">
        <v>0.63600000000000012</v>
      </c>
      <c r="S29" s="99">
        <v>0.33200000000000002</v>
      </c>
      <c r="T29" s="99">
        <v>0</v>
      </c>
      <c r="U29" s="99">
        <v>0</v>
      </c>
      <c r="V29" s="99">
        <v>5.5999999999999994E-2</v>
      </c>
      <c r="W29" s="120">
        <v>5.8799999999999998E-2</v>
      </c>
      <c r="X29" s="119">
        <v>0.34840000000000004</v>
      </c>
      <c r="Y29" s="99" t="s">
        <v>795</v>
      </c>
      <c r="Z29" s="99" t="s">
        <v>795</v>
      </c>
      <c r="AA29" s="120" t="s">
        <v>795</v>
      </c>
      <c r="AB29" s="119">
        <v>6.5599999999999992E-2</v>
      </c>
      <c r="AC29" s="99">
        <v>0.28599999999999998</v>
      </c>
      <c r="AD29" s="120">
        <v>0.61409999999999998</v>
      </c>
    </row>
    <row r="30" spans="1:30">
      <c r="A30" s="130" t="s">
        <v>821</v>
      </c>
      <c r="B30" s="119" t="s">
        <v>795</v>
      </c>
      <c r="C30" s="99" t="s">
        <v>795</v>
      </c>
      <c r="D30" s="99">
        <v>1.0101</v>
      </c>
      <c r="E30" s="99" t="s">
        <v>795</v>
      </c>
      <c r="F30" s="99" t="s">
        <v>795</v>
      </c>
      <c r="G30" s="99" t="s">
        <v>795</v>
      </c>
      <c r="H30" s="99" t="s">
        <v>795</v>
      </c>
      <c r="I30" s="99" t="s">
        <v>795</v>
      </c>
      <c r="J30" s="99" t="s">
        <v>795</v>
      </c>
      <c r="K30" s="99" t="s">
        <v>795</v>
      </c>
      <c r="L30" s="99" t="s">
        <v>795</v>
      </c>
      <c r="M30" s="99" t="s">
        <v>795</v>
      </c>
      <c r="N30" s="99" t="s">
        <v>795</v>
      </c>
      <c r="O30" s="99">
        <v>0</v>
      </c>
      <c r="P30" s="99">
        <v>0</v>
      </c>
      <c r="Q30" s="99">
        <v>0</v>
      </c>
      <c r="R30" s="99">
        <v>0.63600000000000012</v>
      </c>
      <c r="S30" s="99" t="s">
        <v>795</v>
      </c>
      <c r="T30" s="99">
        <v>0.5837</v>
      </c>
      <c r="U30" s="99" t="s">
        <v>795</v>
      </c>
      <c r="V30" s="99" t="s">
        <v>795</v>
      </c>
      <c r="W30" s="120" t="s">
        <v>795</v>
      </c>
      <c r="X30" s="119" t="s">
        <v>795</v>
      </c>
      <c r="Y30" s="99" t="s">
        <v>795</v>
      </c>
      <c r="Z30" s="99" t="s">
        <v>795</v>
      </c>
      <c r="AA30" s="120" t="s">
        <v>795</v>
      </c>
      <c r="AB30" s="119" t="s">
        <v>795</v>
      </c>
      <c r="AC30" s="99" t="s">
        <v>795</v>
      </c>
      <c r="AD30" s="120" t="s">
        <v>795</v>
      </c>
    </row>
    <row r="31" spans="1:30">
      <c r="A31" s="130" t="s">
        <v>822</v>
      </c>
      <c r="B31" s="119">
        <v>0</v>
      </c>
      <c r="C31" s="99">
        <v>0</v>
      </c>
      <c r="D31" s="99">
        <v>0</v>
      </c>
      <c r="E31" s="99">
        <v>0</v>
      </c>
      <c r="F31" s="99">
        <v>0</v>
      </c>
      <c r="G31" s="99">
        <v>0</v>
      </c>
      <c r="H31" s="99">
        <v>0</v>
      </c>
      <c r="I31" s="99">
        <v>0</v>
      </c>
      <c r="J31" s="99">
        <v>0</v>
      </c>
      <c r="K31" s="99">
        <v>0</v>
      </c>
      <c r="L31" s="99">
        <v>0</v>
      </c>
      <c r="M31" s="99">
        <v>0</v>
      </c>
      <c r="N31" s="99">
        <v>0</v>
      </c>
      <c r="O31" s="99">
        <v>0</v>
      </c>
      <c r="P31" s="99">
        <v>0</v>
      </c>
      <c r="Q31" s="99">
        <v>0</v>
      </c>
      <c r="R31" s="99">
        <v>0</v>
      </c>
      <c r="S31" s="99">
        <v>0</v>
      </c>
      <c r="T31" s="99">
        <v>0</v>
      </c>
      <c r="U31" s="99">
        <v>0</v>
      </c>
      <c r="V31" s="99">
        <v>0</v>
      </c>
      <c r="W31" s="120">
        <v>0</v>
      </c>
      <c r="X31" s="119">
        <v>0</v>
      </c>
      <c r="Y31" s="99">
        <v>0</v>
      </c>
      <c r="Z31" s="99">
        <v>0.46410000000000001</v>
      </c>
      <c r="AA31" s="120">
        <v>1.8676000000000001</v>
      </c>
      <c r="AB31" s="119">
        <v>0</v>
      </c>
      <c r="AC31" s="99">
        <v>0</v>
      </c>
      <c r="AD31" s="120">
        <v>0</v>
      </c>
    </row>
    <row r="32" spans="1:30">
      <c r="A32" s="130" t="s">
        <v>823</v>
      </c>
      <c r="B32" s="119">
        <v>0</v>
      </c>
      <c r="C32" s="99">
        <v>0</v>
      </c>
      <c r="D32" s="99">
        <v>0</v>
      </c>
      <c r="E32" s="99">
        <v>0</v>
      </c>
      <c r="F32" s="99">
        <v>0</v>
      </c>
      <c r="G32" s="99">
        <v>0</v>
      </c>
      <c r="H32" s="99">
        <v>0</v>
      </c>
      <c r="I32" s="99">
        <v>0</v>
      </c>
      <c r="J32" s="99">
        <v>0</v>
      </c>
      <c r="K32" s="99">
        <v>0</v>
      </c>
      <c r="L32" s="99">
        <v>0</v>
      </c>
      <c r="M32" s="99">
        <v>0</v>
      </c>
      <c r="N32" s="99">
        <v>0</v>
      </c>
      <c r="O32" s="99">
        <v>0</v>
      </c>
      <c r="P32" s="99">
        <v>0</v>
      </c>
      <c r="Q32" s="99">
        <v>0</v>
      </c>
      <c r="R32" s="99">
        <v>0</v>
      </c>
      <c r="S32" s="99">
        <v>0</v>
      </c>
      <c r="T32" s="99">
        <v>0</v>
      </c>
      <c r="U32" s="99">
        <v>0</v>
      </c>
      <c r="V32" s="99">
        <v>0</v>
      </c>
      <c r="W32" s="120">
        <v>0</v>
      </c>
      <c r="X32" s="119">
        <v>0</v>
      </c>
      <c r="Y32" s="99">
        <v>0</v>
      </c>
      <c r="Z32" s="99">
        <v>0</v>
      </c>
      <c r="AA32" s="120">
        <v>0</v>
      </c>
      <c r="AB32" s="119">
        <v>0</v>
      </c>
      <c r="AC32" s="99">
        <v>0</v>
      </c>
      <c r="AD32" s="120">
        <v>0</v>
      </c>
    </row>
    <row r="33" spans="1:30">
      <c r="A33" s="130" t="s">
        <v>824</v>
      </c>
      <c r="B33" s="119">
        <v>0</v>
      </c>
      <c r="C33" s="99">
        <v>0</v>
      </c>
      <c r="D33" s="99">
        <v>0</v>
      </c>
      <c r="E33" s="99">
        <v>0</v>
      </c>
      <c r="F33" s="99">
        <v>0</v>
      </c>
      <c r="G33" s="99">
        <v>0</v>
      </c>
      <c r="H33" s="99">
        <v>0</v>
      </c>
      <c r="I33" s="99">
        <v>0</v>
      </c>
      <c r="J33" s="99">
        <v>0</v>
      </c>
      <c r="K33" s="99">
        <v>0</v>
      </c>
      <c r="L33" s="99">
        <v>0</v>
      </c>
      <c r="M33" s="99">
        <v>0</v>
      </c>
      <c r="N33" s="99">
        <v>0</v>
      </c>
      <c r="O33" s="99">
        <v>0</v>
      </c>
      <c r="P33" s="99">
        <v>0</v>
      </c>
      <c r="Q33" s="99">
        <v>7.2599999999999998E-2</v>
      </c>
      <c r="R33" s="99">
        <v>0</v>
      </c>
      <c r="S33" s="99">
        <v>0</v>
      </c>
      <c r="T33" s="99">
        <v>0</v>
      </c>
      <c r="U33" s="99">
        <v>0</v>
      </c>
      <c r="V33" s="99">
        <v>0</v>
      </c>
      <c r="W33" s="120">
        <v>0</v>
      </c>
      <c r="X33" s="119">
        <v>0</v>
      </c>
      <c r="Y33" s="99">
        <v>0</v>
      </c>
      <c r="Z33" s="99">
        <v>0.1326</v>
      </c>
      <c r="AA33" s="120">
        <v>0.13339999999999999</v>
      </c>
      <c r="AB33" s="119">
        <v>0</v>
      </c>
      <c r="AC33" s="99">
        <v>0</v>
      </c>
      <c r="AD33" s="120">
        <v>0</v>
      </c>
    </row>
    <row r="34" spans="1:30">
      <c r="A34" s="130" t="s">
        <v>825</v>
      </c>
      <c r="B34" s="119">
        <v>3.1400000000000004E-2</v>
      </c>
      <c r="C34" s="99">
        <v>3.0600000000000002E-2</v>
      </c>
      <c r="D34" s="99">
        <v>5.4600000000000003E-2</v>
      </c>
      <c r="E34" s="99">
        <v>5.4400000000000004E-2</v>
      </c>
      <c r="F34" s="99">
        <v>5.6799999999999996E-2</v>
      </c>
      <c r="G34" s="99">
        <v>5.4000000000000006E-2</v>
      </c>
      <c r="H34" s="99">
        <v>5.5199999999999999E-2</v>
      </c>
      <c r="I34" s="99">
        <v>5.4000000000000006E-2</v>
      </c>
      <c r="J34" s="99">
        <v>3.3300000000000003E-2</v>
      </c>
      <c r="K34" s="99">
        <v>5.6399999999999999E-2</v>
      </c>
      <c r="L34" s="99">
        <v>5.5999999999999994E-2</v>
      </c>
      <c r="M34" s="99">
        <v>0.06</v>
      </c>
      <c r="N34" s="99">
        <v>3.1800000000000002E-2</v>
      </c>
      <c r="O34" s="99">
        <v>6.7199999999999996E-2</v>
      </c>
      <c r="P34" s="99">
        <v>2.92E-2</v>
      </c>
      <c r="Q34" s="99">
        <v>3.6299999999999999E-2</v>
      </c>
      <c r="R34" s="99">
        <v>3.1800000000000002E-2</v>
      </c>
      <c r="S34" s="99">
        <v>4.1500000000000002E-2</v>
      </c>
      <c r="T34" s="99">
        <v>4.4900000000000002E-2</v>
      </c>
      <c r="U34" s="99">
        <v>5.9400000000000008E-2</v>
      </c>
      <c r="V34" s="99">
        <v>5.5999999999999994E-2</v>
      </c>
      <c r="W34" s="120">
        <v>5.8799999999999998E-2</v>
      </c>
      <c r="X34" s="119">
        <v>2.6800000000000001E-2</v>
      </c>
      <c r="Y34" s="99">
        <v>0.10099999999999999</v>
      </c>
      <c r="Z34" s="99">
        <v>0.1326</v>
      </c>
      <c r="AA34" s="120">
        <v>0.13339999999999999</v>
      </c>
      <c r="AB34" s="119">
        <v>3.2799999999999996E-2</v>
      </c>
      <c r="AC34" s="99">
        <v>5.7200000000000001E-2</v>
      </c>
      <c r="AD34" s="120">
        <v>5.3400000000000003E-2</v>
      </c>
    </row>
    <row r="35" spans="1:30">
      <c r="A35" s="130" t="s">
        <v>826</v>
      </c>
      <c r="B35" s="119">
        <v>3.1400000000000004E-2</v>
      </c>
      <c r="C35" s="99">
        <v>3.0600000000000002E-2</v>
      </c>
      <c r="D35" s="99">
        <v>2.7300000000000001E-2</v>
      </c>
      <c r="E35" s="99">
        <v>2.7200000000000002E-2</v>
      </c>
      <c r="F35" s="99">
        <v>2.8399999999999998E-2</v>
      </c>
      <c r="G35" s="99">
        <v>2.7000000000000003E-2</v>
      </c>
      <c r="H35" s="99">
        <v>2.76E-2</v>
      </c>
      <c r="I35" s="99">
        <v>2.7000000000000003E-2</v>
      </c>
      <c r="J35" s="99">
        <v>3.3300000000000003E-2</v>
      </c>
      <c r="K35" s="99">
        <v>2.8199999999999999E-2</v>
      </c>
      <c r="L35" s="99">
        <v>2.7999999999999997E-2</v>
      </c>
      <c r="M35" s="99">
        <v>0.03</v>
      </c>
      <c r="N35" s="99">
        <v>3.1800000000000002E-2</v>
      </c>
      <c r="O35" s="99">
        <v>3.3599999999999998E-2</v>
      </c>
      <c r="P35" s="99">
        <v>2.92E-2</v>
      </c>
      <c r="Q35" s="99">
        <v>3.6299999999999999E-2</v>
      </c>
      <c r="R35" s="99">
        <v>3.1800000000000002E-2</v>
      </c>
      <c r="S35" s="99">
        <v>4.1500000000000002E-2</v>
      </c>
      <c r="T35" s="99">
        <v>4.4900000000000002E-2</v>
      </c>
      <c r="U35" s="99">
        <v>2.9700000000000004E-2</v>
      </c>
      <c r="V35" s="99">
        <v>2.7999999999999997E-2</v>
      </c>
      <c r="W35" s="120">
        <v>2.9399999999999999E-2</v>
      </c>
      <c r="X35" s="119">
        <v>1.34E-2</v>
      </c>
      <c r="Y35" s="99">
        <v>5.0499999999999996E-2</v>
      </c>
      <c r="Z35" s="99">
        <v>6.6299999999999998E-2</v>
      </c>
      <c r="AA35" s="120">
        <v>0.13339999999999999</v>
      </c>
      <c r="AB35" s="119">
        <v>3.2799999999999996E-2</v>
      </c>
      <c r="AC35" s="99">
        <v>2.86E-2</v>
      </c>
      <c r="AD35" s="120">
        <v>2.6700000000000002E-2</v>
      </c>
    </row>
    <row r="36" spans="1:30">
      <c r="A36" s="130" t="s">
        <v>827</v>
      </c>
      <c r="B36" s="119">
        <v>0.18840000000000001</v>
      </c>
      <c r="C36" s="99">
        <v>0.18359999999999999</v>
      </c>
      <c r="D36" s="99">
        <v>0.19110000000000002</v>
      </c>
      <c r="E36" s="99">
        <v>0.19040000000000004</v>
      </c>
      <c r="F36" s="99">
        <v>0.1988</v>
      </c>
      <c r="G36" s="99">
        <v>0.18900000000000003</v>
      </c>
      <c r="H36" s="99">
        <v>0.19320000000000001</v>
      </c>
      <c r="I36" s="99">
        <v>0.18900000000000003</v>
      </c>
      <c r="J36" s="99">
        <v>0.19980000000000001</v>
      </c>
      <c r="K36" s="99">
        <v>0.19740000000000002</v>
      </c>
      <c r="L36" s="99">
        <v>0.19600000000000001</v>
      </c>
      <c r="M36" s="99">
        <v>0.21000000000000002</v>
      </c>
      <c r="N36" s="99">
        <v>0.1908</v>
      </c>
      <c r="O36" s="99">
        <v>0.23520000000000002</v>
      </c>
      <c r="P36" s="99">
        <v>0.17519999999999999</v>
      </c>
      <c r="Q36" s="99">
        <v>0.18149999999999999</v>
      </c>
      <c r="R36" s="99">
        <v>0.1908</v>
      </c>
      <c r="S36" s="99">
        <v>0.20750000000000002</v>
      </c>
      <c r="T36" s="99">
        <v>0.17960000000000001</v>
      </c>
      <c r="U36" s="99">
        <v>0.20790000000000003</v>
      </c>
      <c r="V36" s="99">
        <v>0.19600000000000001</v>
      </c>
      <c r="W36" s="120">
        <v>0.20580000000000001</v>
      </c>
      <c r="X36" s="119">
        <v>9.3800000000000008E-2</v>
      </c>
      <c r="Y36" s="99">
        <v>0.40399999999999997</v>
      </c>
      <c r="Z36" s="99">
        <v>0.46410000000000001</v>
      </c>
      <c r="AA36" s="120">
        <v>0.66700000000000004</v>
      </c>
      <c r="AB36" s="119">
        <v>0.19679999999999997</v>
      </c>
      <c r="AC36" s="99">
        <v>0.20020000000000002</v>
      </c>
      <c r="AD36" s="120">
        <v>0.18690000000000001</v>
      </c>
    </row>
    <row r="37" spans="1:30">
      <c r="A37" s="130" t="s">
        <v>828</v>
      </c>
      <c r="B37" s="119">
        <v>9.4200000000000006E-2</v>
      </c>
      <c r="C37" s="99">
        <v>9.1799999999999993E-2</v>
      </c>
      <c r="D37" s="99">
        <v>8.1900000000000001E-2</v>
      </c>
      <c r="E37" s="99">
        <v>8.1600000000000006E-2</v>
      </c>
      <c r="F37" s="99">
        <v>8.5199999999999998E-2</v>
      </c>
      <c r="G37" s="99">
        <v>8.1000000000000003E-2</v>
      </c>
      <c r="H37" s="99">
        <v>8.2799999999999985E-2</v>
      </c>
      <c r="I37" s="99">
        <v>8.1000000000000003E-2</v>
      </c>
      <c r="J37" s="99">
        <v>9.9900000000000003E-2</v>
      </c>
      <c r="K37" s="99">
        <v>8.4599999999999995E-2</v>
      </c>
      <c r="L37" s="99">
        <v>8.3999999999999991E-2</v>
      </c>
      <c r="M37" s="99">
        <v>0.09</v>
      </c>
      <c r="N37" s="99">
        <v>9.5399999999999999E-2</v>
      </c>
      <c r="O37" s="99">
        <v>0.10079999999999999</v>
      </c>
      <c r="P37" s="99">
        <v>8.7599999999999997E-2</v>
      </c>
      <c r="Q37" s="99">
        <v>7.2599999999999998E-2</v>
      </c>
      <c r="R37" s="99">
        <v>9.5399999999999999E-2</v>
      </c>
      <c r="S37" s="99">
        <v>8.3000000000000004E-2</v>
      </c>
      <c r="T37" s="99">
        <v>8.9800000000000005E-2</v>
      </c>
      <c r="U37" s="99">
        <v>8.9099999999999999E-2</v>
      </c>
      <c r="V37" s="99">
        <v>8.3999999999999991E-2</v>
      </c>
      <c r="W37" s="120">
        <v>8.8200000000000001E-2</v>
      </c>
      <c r="X37" s="119">
        <v>4.02E-2</v>
      </c>
      <c r="Y37" s="99">
        <v>0.1515</v>
      </c>
      <c r="Z37" s="99">
        <v>0.19889999999999999</v>
      </c>
      <c r="AA37" s="120">
        <v>0.26679999999999998</v>
      </c>
      <c r="AB37" s="119">
        <v>9.8399999999999987E-2</v>
      </c>
      <c r="AC37" s="99">
        <v>8.5799999999999987E-2</v>
      </c>
      <c r="AD37" s="120">
        <v>8.0099999999999991E-2</v>
      </c>
    </row>
    <row r="38" spans="1:30">
      <c r="A38" s="130" t="s">
        <v>829</v>
      </c>
      <c r="B38" s="119">
        <v>3.1400000000000004E-2</v>
      </c>
      <c r="C38" s="99">
        <v>3.0600000000000002E-2</v>
      </c>
      <c r="D38" s="99">
        <v>2.7300000000000001E-2</v>
      </c>
      <c r="E38" s="99">
        <v>2.7200000000000002E-2</v>
      </c>
      <c r="F38" s="99">
        <v>2.8399999999999998E-2</v>
      </c>
      <c r="G38" s="99">
        <v>2.7000000000000003E-2</v>
      </c>
      <c r="H38" s="99">
        <v>2.76E-2</v>
      </c>
      <c r="I38" s="99">
        <v>2.7000000000000003E-2</v>
      </c>
      <c r="J38" s="99">
        <v>3.3300000000000003E-2</v>
      </c>
      <c r="K38" s="99">
        <v>2.8199999999999999E-2</v>
      </c>
      <c r="L38" s="99">
        <v>2.7999999999999997E-2</v>
      </c>
      <c r="M38" s="99">
        <v>0.03</v>
      </c>
      <c r="N38" s="99">
        <v>3.1800000000000002E-2</v>
      </c>
      <c r="O38" s="99">
        <v>3.3599999999999998E-2</v>
      </c>
      <c r="P38" s="99">
        <v>2.92E-2</v>
      </c>
      <c r="Q38" s="99">
        <v>3.6299999999999999E-2</v>
      </c>
      <c r="R38" s="99">
        <v>3.1800000000000002E-2</v>
      </c>
      <c r="S38" s="99">
        <v>4.1500000000000002E-2</v>
      </c>
      <c r="T38" s="99">
        <v>4.4900000000000002E-2</v>
      </c>
      <c r="U38" s="99">
        <v>2.9700000000000004E-2</v>
      </c>
      <c r="V38" s="99">
        <v>2.7999999999999997E-2</v>
      </c>
      <c r="W38" s="120">
        <v>2.9399999999999999E-2</v>
      </c>
      <c r="X38" s="119">
        <v>1.34E-2</v>
      </c>
      <c r="Y38" s="99">
        <v>5.0499999999999996E-2</v>
      </c>
      <c r="Z38" s="99">
        <v>6.6299999999999998E-2</v>
      </c>
      <c r="AA38" s="120">
        <v>0.13339999999999999</v>
      </c>
      <c r="AB38" s="119">
        <v>3.2799999999999996E-2</v>
      </c>
      <c r="AC38" s="99">
        <v>2.86E-2</v>
      </c>
      <c r="AD38" s="120">
        <v>2.6700000000000002E-2</v>
      </c>
    </row>
    <row r="39" spans="1:30">
      <c r="A39" s="130" t="s">
        <v>830</v>
      </c>
      <c r="B39" s="119">
        <v>0.28260000000000002</v>
      </c>
      <c r="C39" s="99">
        <v>0.30600000000000005</v>
      </c>
      <c r="D39" s="99">
        <v>0.30030000000000001</v>
      </c>
      <c r="E39" s="99">
        <v>0.29920000000000002</v>
      </c>
      <c r="F39" s="99">
        <v>0.31240000000000001</v>
      </c>
      <c r="G39" s="99">
        <v>0.29700000000000004</v>
      </c>
      <c r="H39" s="99">
        <v>0.30359999999999998</v>
      </c>
      <c r="I39" s="99">
        <v>0.29700000000000004</v>
      </c>
      <c r="J39" s="99">
        <v>0.29970000000000002</v>
      </c>
      <c r="K39" s="99">
        <v>0.31019999999999998</v>
      </c>
      <c r="L39" s="99">
        <v>0.308</v>
      </c>
      <c r="M39" s="99">
        <v>0.30000000000000004</v>
      </c>
      <c r="N39" s="99">
        <v>0.28620000000000001</v>
      </c>
      <c r="O39" s="99">
        <v>0.33600000000000002</v>
      </c>
      <c r="P39" s="99">
        <v>0.26279999999999998</v>
      </c>
      <c r="Q39" s="99">
        <v>0.29039999999999999</v>
      </c>
      <c r="R39" s="99">
        <v>0.28620000000000001</v>
      </c>
      <c r="S39" s="99">
        <v>0.29050000000000004</v>
      </c>
      <c r="T39" s="99">
        <v>0.31430000000000002</v>
      </c>
      <c r="U39" s="99">
        <v>0.29700000000000004</v>
      </c>
      <c r="V39" s="99">
        <v>0.308</v>
      </c>
      <c r="W39" s="120">
        <v>0.29399999999999998</v>
      </c>
      <c r="X39" s="119">
        <v>0.13400000000000001</v>
      </c>
      <c r="Y39" s="99">
        <v>0.55549999999999999</v>
      </c>
      <c r="Z39" s="99">
        <v>0.72929999999999995</v>
      </c>
      <c r="AA39" s="120">
        <v>1.0671999999999999</v>
      </c>
      <c r="AB39" s="119">
        <v>0.29519999999999996</v>
      </c>
      <c r="AC39" s="99">
        <v>0.28599999999999998</v>
      </c>
      <c r="AD39" s="120">
        <v>0.29370000000000002</v>
      </c>
    </row>
    <row r="40" spans="1:30">
      <c r="A40" s="130" t="s">
        <v>831</v>
      </c>
      <c r="B40" s="119">
        <v>9.4200000000000006E-2</v>
      </c>
      <c r="C40" s="99">
        <v>0.12240000000000001</v>
      </c>
      <c r="D40" s="99">
        <v>0.10920000000000001</v>
      </c>
      <c r="E40" s="99">
        <v>0.10880000000000001</v>
      </c>
      <c r="F40" s="99">
        <v>0.11359999999999999</v>
      </c>
      <c r="G40" s="99">
        <v>0.10800000000000001</v>
      </c>
      <c r="H40" s="99">
        <v>0.1104</v>
      </c>
      <c r="I40" s="99">
        <v>0.10800000000000001</v>
      </c>
      <c r="J40" s="99">
        <v>9.9900000000000003E-2</v>
      </c>
      <c r="K40" s="99">
        <v>0.1128</v>
      </c>
      <c r="L40" s="99">
        <v>0.11199999999999999</v>
      </c>
      <c r="M40" s="99">
        <v>0.12</v>
      </c>
      <c r="N40" s="99">
        <v>9.5399999999999999E-2</v>
      </c>
      <c r="O40" s="99">
        <v>0.13439999999999999</v>
      </c>
      <c r="P40" s="99">
        <v>8.7599999999999997E-2</v>
      </c>
      <c r="Q40" s="99">
        <v>0.1089</v>
      </c>
      <c r="R40" s="99">
        <v>9.5399999999999999E-2</v>
      </c>
      <c r="S40" s="99">
        <v>0.1245</v>
      </c>
      <c r="T40" s="99">
        <v>8.9800000000000005E-2</v>
      </c>
      <c r="U40" s="99">
        <v>0.11880000000000002</v>
      </c>
      <c r="V40" s="99">
        <v>0.11199999999999999</v>
      </c>
      <c r="W40" s="120">
        <v>0.1176</v>
      </c>
      <c r="X40" s="119">
        <v>5.3600000000000002E-2</v>
      </c>
      <c r="Y40" s="99">
        <v>0.20199999999999999</v>
      </c>
      <c r="Z40" s="99">
        <v>0.26519999999999999</v>
      </c>
      <c r="AA40" s="120">
        <v>0.4002</v>
      </c>
      <c r="AB40" s="119">
        <v>9.8399999999999987E-2</v>
      </c>
      <c r="AC40" s="99">
        <v>0.1144</v>
      </c>
      <c r="AD40" s="120">
        <v>0.10680000000000001</v>
      </c>
    </row>
    <row r="41" spans="1:30">
      <c r="A41" s="130" t="s">
        <v>832</v>
      </c>
      <c r="B41" s="119">
        <v>0.59660000000000002</v>
      </c>
      <c r="C41" s="99">
        <v>0.6120000000000001</v>
      </c>
      <c r="D41" s="99">
        <v>0.60060000000000002</v>
      </c>
      <c r="E41" s="99">
        <v>0.62560000000000004</v>
      </c>
      <c r="F41" s="99">
        <v>0.62480000000000002</v>
      </c>
      <c r="G41" s="99">
        <v>0.62100000000000011</v>
      </c>
      <c r="H41" s="99">
        <v>0.60719999999999996</v>
      </c>
      <c r="I41" s="99">
        <v>0.62100000000000011</v>
      </c>
      <c r="J41" s="99">
        <v>0.59940000000000004</v>
      </c>
      <c r="K41" s="99">
        <v>0.62039999999999995</v>
      </c>
      <c r="L41" s="99">
        <v>0.61599999999999999</v>
      </c>
      <c r="M41" s="99">
        <v>0.60000000000000009</v>
      </c>
      <c r="N41" s="99">
        <v>0.60420000000000007</v>
      </c>
      <c r="O41" s="99">
        <v>0.70559999999999989</v>
      </c>
      <c r="P41" s="99">
        <v>0.52559999999999996</v>
      </c>
      <c r="Q41" s="99">
        <v>0.61709999999999998</v>
      </c>
      <c r="R41" s="99">
        <v>0.60420000000000007</v>
      </c>
      <c r="S41" s="99">
        <v>0.62250000000000005</v>
      </c>
      <c r="T41" s="99">
        <v>0.62860000000000005</v>
      </c>
      <c r="U41" s="99">
        <v>0.62370000000000003</v>
      </c>
      <c r="V41" s="99">
        <v>0.61599999999999999</v>
      </c>
      <c r="W41" s="120">
        <v>0.61739999999999995</v>
      </c>
      <c r="X41" s="119">
        <v>0.28139999999999998</v>
      </c>
      <c r="Y41" s="99">
        <v>1.212</v>
      </c>
      <c r="Z41" s="99">
        <v>1.5249000000000001</v>
      </c>
      <c r="AA41" s="120">
        <v>2.1343999999999999</v>
      </c>
      <c r="AB41" s="119">
        <v>0.62319999999999998</v>
      </c>
      <c r="AC41" s="99">
        <v>0.60059999999999991</v>
      </c>
      <c r="AD41" s="120">
        <v>0.61409999999999998</v>
      </c>
    </row>
    <row r="42" spans="1:30">
      <c r="A42" s="130" t="s">
        <v>833</v>
      </c>
      <c r="B42" s="119">
        <v>0.81640000000000001</v>
      </c>
      <c r="C42" s="99">
        <v>0.82620000000000005</v>
      </c>
      <c r="D42" s="99">
        <v>0.81899999999999995</v>
      </c>
      <c r="E42" s="99">
        <v>0.81600000000000006</v>
      </c>
      <c r="F42" s="99">
        <v>0.82359999999999989</v>
      </c>
      <c r="G42" s="99">
        <v>0.81</v>
      </c>
      <c r="H42" s="99">
        <v>0.82799999999999996</v>
      </c>
      <c r="I42" s="99">
        <v>0.81</v>
      </c>
      <c r="J42" s="99">
        <v>0.83250000000000002</v>
      </c>
      <c r="K42" s="99">
        <v>0.81779999999999986</v>
      </c>
      <c r="L42" s="99">
        <v>0.81199999999999994</v>
      </c>
      <c r="M42" s="99">
        <v>0.81</v>
      </c>
      <c r="N42" s="99">
        <v>0.82680000000000009</v>
      </c>
      <c r="O42" s="99">
        <v>0.94080000000000008</v>
      </c>
      <c r="P42" s="99">
        <v>0.70079999999999998</v>
      </c>
      <c r="Q42" s="99">
        <v>0.83489999999999998</v>
      </c>
      <c r="R42" s="99">
        <v>0.82680000000000009</v>
      </c>
      <c r="S42" s="99">
        <v>0.83000000000000007</v>
      </c>
      <c r="T42" s="99">
        <v>0.80820000000000003</v>
      </c>
      <c r="U42" s="99">
        <v>0.83160000000000012</v>
      </c>
      <c r="V42" s="99">
        <v>0.81199999999999994</v>
      </c>
      <c r="W42" s="120">
        <v>0.82320000000000004</v>
      </c>
      <c r="X42" s="119">
        <v>0.37520000000000003</v>
      </c>
      <c r="Y42" s="99">
        <v>1.5654999999999999</v>
      </c>
      <c r="Z42" s="99">
        <v>1.9889999999999999</v>
      </c>
      <c r="AA42" s="120">
        <v>2.8013999999999997</v>
      </c>
      <c r="AB42" s="119">
        <v>0.82</v>
      </c>
      <c r="AC42" s="99">
        <v>0.82939999999999992</v>
      </c>
      <c r="AD42" s="120">
        <v>0.82769999999999999</v>
      </c>
    </row>
    <row r="43" spans="1:30">
      <c r="A43" s="130" t="s">
        <v>834</v>
      </c>
      <c r="B43" s="119">
        <v>0.40820000000000001</v>
      </c>
      <c r="C43" s="99">
        <v>0.39780000000000004</v>
      </c>
      <c r="D43" s="99">
        <v>0.40949999999999998</v>
      </c>
      <c r="E43" s="99">
        <v>0.40800000000000003</v>
      </c>
      <c r="F43" s="99">
        <v>0.39760000000000001</v>
      </c>
      <c r="G43" s="99">
        <v>0.40500000000000003</v>
      </c>
      <c r="H43" s="99">
        <v>0.38640000000000002</v>
      </c>
      <c r="I43" s="99">
        <v>0.40500000000000003</v>
      </c>
      <c r="J43" s="99">
        <v>0.39960000000000001</v>
      </c>
      <c r="K43" s="99">
        <v>0.39480000000000004</v>
      </c>
      <c r="L43" s="99">
        <v>0.39200000000000002</v>
      </c>
      <c r="M43" s="99">
        <v>0.39</v>
      </c>
      <c r="N43" s="99">
        <v>0.38159999999999999</v>
      </c>
      <c r="O43" s="99">
        <v>0.47040000000000004</v>
      </c>
      <c r="P43" s="99">
        <v>0.35039999999999999</v>
      </c>
      <c r="Q43" s="99">
        <v>0.39929999999999999</v>
      </c>
      <c r="R43" s="99">
        <v>0.38159999999999999</v>
      </c>
      <c r="S43" s="99">
        <v>0.41500000000000004</v>
      </c>
      <c r="T43" s="99">
        <v>0.40410000000000001</v>
      </c>
      <c r="U43" s="99">
        <v>0.38610000000000005</v>
      </c>
      <c r="V43" s="99">
        <v>0.39200000000000002</v>
      </c>
      <c r="W43" s="120">
        <v>0.41160000000000002</v>
      </c>
      <c r="X43" s="119">
        <v>0.18760000000000002</v>
      </c>
      <c r="Y43" s="99">
        <v>0.75749999999999995</v>
      </c>
      <c r="Z43" s="99">
        <v>0.99449999999999994</v>
      </c>
      <c r="AA43" s="120">
        <v>1.3340000000000001</v>
      </c>
      <c r="AB43" s="119">
        <v>0.39359999999999995</v>
      </c>
      <c r="AC43" s="99">
        <v>0.40040000000000003</v>
      </c>
      <c r="AD43" s="120">
        <v>0.40049999999999997</v>
      </c>
    </row>
    <row r="44" spans="1:30">
      <c r="A44" s="130" t="s">
        <v>835</v>
      </c>
      <c r="B44" s="119">
        <v>0.25120000000000003</v>
      </c>
      <c r="C44" s="99">
        <v>0.24480000000000002</v>
      </c>
      <c r="D44" s="99">
        <v>0.2457</v>
      </c>
      <c r="E44" s="99">
        <v>0.24480000000000002</v>
      </c>
      <c r="F44" s="99">
        <v>0.25559999999999999</v>
      </c>
      <c r="G44" s="99">
        <v>0.24299999999999999</v>
      </c>
      <c r="H44" s="99">
        <v>0.24839999999999998</v>
      </c>
      <c r="I44" s="99">
        <v>0.24299999999999999</v>
      </c>
      <c r="J44" s="99">
        <v>0.23310000000000003</v>
      </c>
      <c r="K44" s="99">
        <v>0.25379999999999997</v>
      </c>
      <c r="L44" s="99">
        <v>0.252</v>
      </c>
      <c r="M44" s="99">
        <v>0.24</v>
      </c>
      <c r="N44" s="99">
        <v>0.25440000000000002</v>
      </c>
      <c r="O44" s="99">
        <v>0.26879999999999998</v>
      </c>
      <c r="P44" s="99">
        <v>0.20440000000000003</v>
      </c>
      <c r="Q44" s="99">
        <v>0.25409999999999999</v>
      </c>
      <c r="R44" s="99">
        <v>0.25440000000000002</v>
      </c>
      <c r="S44" s="99">
        <v>0.249</v>
      </c>
      <c r="T44" s="99">
        <v>0.22450000000000003</v>
      </c>
      <c r="U44" s="99">
        <v>0.23760000000000003</v>
      </c>
      <c r="V44" s="99">
        <v>0.252</v>
      </c>
      <c r="W44" s="120">
        <v>0.23519999999999999</v>
      </c>
      <c r="X44" s="119">
        <v>0.1072</v>
      </c>
      <c r="Y44" s="99">
        <v>0.45449999999999996</v>
      </c>
      <c r="Z44" s="99">
        <v>0.59670000000000001</v>
      </c>
      <c r="AA44" s="120">
        <v>0.8004</v>
      </c>
      <c r="AB44" s="119">
        <v>0.2296</v>
      </c>
      <c r="AC44" s="99">
        <v>0.2288</v>
      </c>
      <c r="AD44" s="120">
        <v>0.24029999999999999</v>
      </c>
    </row>
    <row r="45" spans="1:30" ht="15.95" thickBot="1">
      <c r="A45" s="131" t="s">
        <v>836</v>
      </c>
      <c r="B45" s="121">
        <v>9.577</v>
      </c>
      <c r="C45" s="122">
        <v>9.0576000000000008</v>
      </c>
      <c r="D45" s="122">
        <v>7.0706999999999995</v>
      </c>
      <c r="E45" s="122">
        <v>6.9632000000000005</v>
      </c>
      <c r="F45" s="122">
        <v>7.7531999999999996</v>
      </c>
      <c r="G45" s="122">
        <v>6.9390000000000001</v>
      </c>
      <c r="H45" s="122">
        <v>7.258799999999999</v>
      </c>
      <c r="I45" s="122">
        <v>6.8849999999999998</v>
      </c>
      <c r="J45" s="122">
        <v>10.722600000000002</v>
      </c>
      <c r="K45" s="122">
        <v>7.6139999999999999</v>
      </c>
      <c r="L45" s="122">
        <v>7.5039999999999996</v>
      </c>
      <c r="M45" s="122">
        <v>8.6999999999999993</v>
      </c>
      <c r="N45" s="122">
        <v>9.7626000000000008</v>
      </c>
      <c r="O45" s="122">
        <v>9.4751999999999992</v>
      </c>
      <c r="P45" s="122">
        <v>9.4608000000000008</v>
      </c>
      <c r="Q45" s="122">
        <v>12.378299999999999</v>
      </c>
      <c r="R45" s="122">
        <v>9.7626000000000008</v>
      </c>
      <c r="S45" s="122">
        <v>15.604000000000001</v>
      </c>
      <c r="T45" s="122">
        <v>17.645700000000001</v>
      </c>
      <c r="U45" s="122">
        <v>8.5239000000000011</v>
      </c>
      <c r="V45" s="122">
        <v>7.5039999999999996</v>
      </c>
      <c r="W45" s="123">
        <v>8.3201999999999998</v>
      </c>
      <c r="X45" s="121">
        <v>3.7654000000000001</v>
      </c>
      <c r="Y45" s="122">
        <v>12.2715</v>
      </c>
      <c r="Z45" s="122">
        <v>15.779399999999999</v>
      </c>
      <c r="AA45" s="123">
        <v>43.354999999999997</v>
      </c>
      <c r="AB45" s="121">
        <v>10.364800000000001</v>
      </c>
      <c r="AC45" s="122">
        <v>7.8649999999999993</v>
      </c>
      <c r="AD45" s="123">
        <v>6.7283999999999997</v>
      </c>
    </row>
    <row r="46" spans="1:30" ht="15.95" thickBot="1">
      <c r="C46" s="98"/>
    </row>
    <row r="47" spans="1:30" ht="15.95" thickBot="1">
      <c r="A47" s="128" t="s">
        <v>72</v>
      </c>
      <c r="B47" s="102" t="s">
        <v>74</v>
      </c>
      <c r="C47" s="103" t="s">
        <v>75</v>
      </c>
      <c r="D47" s="103" t="s">
        <v>76</v>
      </c>
      <c r="E47" s="103" t="s">
        <v>78</v>
      </c>
      <c r="F47" s="103" t="s">
        <v>79</v>
      </c>
      <c r="G47" s="103" t="s">
        <v>80</v>
      </c>
      <c r="H47" s="103" t="s">
        <v>81</v>
      </c>
      <c r="I47" s="103" t="s">
        <v>83</v>
      </c>
      <c r="J47" s="103" t="s">
        <v>84</v>
      </c>
      <c r="K47" s="103" t="s">
        <v>85</v>
      </c>
      <c r="L47" s="103" t="s">
        <v>86</v>
      </c>
      <c r="M47" s="103" t="s">
        <v>87</v>
      </c>
      <c r="N47" s="103" t="s">
        <v>88</v>
      </c>
      <c r="O47" s="103" t="s">
        <v>89</v>
      </c>
      <c r="P47" s="103" t="s">
        <v>90</v>
      </c>
      <c r="Q47" s="103" t="s">
        <v>91</v>
      </c>
      <c r="R47" s="103" t="s">
        <v>92</v>
      </c>
      <c r="S47" s="103" t="s">
        <v>93</v>
      </c>
      <c r="T47" s="103" t="s">
        <v>94</v>
      </c>
      <c r="U47" s="103" t="s">
        <v>95</v>
      </c>
      <c r="V47" s="103" t="s">
        <v>96</v>
      </c>
      <c r="W47" s="104" t="s">
        <v>97</v>
      </c>
      <c r="X47" s="102" t="s">
        <v>98</v>
      </c>
      <c r="Y47" s="103" t="s">
        <v>99</v>
      </c>
      <c r="Z47" s="103" t="s">
        <v>100</v>
      </c>
      <c r="AA47" s="104" t="s">
        <v>101</v>
      </c>
      <c r="AB47" s="102" t="s">
        <v>105</v>
      </c>
      <c r="AC47" s="103" t="s">
        <v>107</v>
      </c>
      <c r="AD47" s="104" t="s">
        <v>212</v>
      </c>
    </row>
    <row r="48" spans="1:30" ht="15.95" thickBot="1">
      <c r="A48" s="118" t="s">
        <v>1139</v>
      </c>
      <c r="B48" s="105" t="s">
        <v>112</v>
      </c>
      <c r="C48" s="1" t="s">
        <v>113</v>
      </c>
      <c r="D48" s="79" t="s">
        <v>114</v>
      </c>
      <c r="E48" s="79" t="s">
        <v>116</v>
      </c>
      <c r="F48" s="79" t="s">
        <v>117</v>
      </c>
      <c r="G48" s="79" t="s">
        <v>118</v>
      </c>
      <c r="H48" s="79" t="s">
        <v>119</v>
      </c>
      <c r="I48" s="79" t="s">
        <v>121</v>
      </c>
      <c r="J48" s="79" t="s">
        <v>122</v>
      </c>
      <c r="K48" s="79" t="s">
        <v>123</v>
      </c>
      <c r="L48" s="79" t="s">
        <v>124</v>
      </c>
      <c r="M48" s="79" t="s">
        <v>125</v>
      </c>
      <c r="N48" s="79" t="s">
        <v>126</v>
      </c>
      <c r="O48" s="79" t="s">
        <v>127</v>
      </c>
      <c r="P48" s="79" t="s">
        <v>128</v>
      </c>
      <c r="Q48" s="79" t="s">
        <v>129</v>
      </c>
      <c r="R48" s="79" t="s">
        <v>130</v>
      </c>
      <c r="S48" s="79" t="s">
        <v>131</v>
      </c>
      <c r="T48" s="79" t="s">
        <v>132</v>
      </c>
      <c r="U48" s="79" t="s">
        <v>133</v>
      </c>
      <c r="V48" s="79" t="s">
        <v>134</v>
      </c>
      <c r="W48" s="106" t="s">
        <v>135</v>
      </c>
      <c r="X48" s="105" t="s">
        <v>136</v>
      </c>
      <c r="Y48" s="79" t="s">
        <v>137</v>
      </c>
      <c r="Z48" s="79" t="s">
        <v>138</v>
      </c>
      <c r="AA48" s="106" t="s">
        <v>139</v>
      </c>
      <c r="AB48" s="105" t="s">
        <v>142</v>
      </c>
      <c r="AC48" s="79" t="s">
        <v>144</v>
      </c>
      <c r="AD48" s="106" t="s">
        <v>214</v>
      </c>
    </row>
    <row r="49" spans="1:30">
      <c r="A49" s="124" t="s">
        <v>844</v>
      </c>
      <c r="B49" s="109">
        <v>3.14</v>
      </c>
      <c r="C49" s="55">
        <v>3.06</v>
      </c>
      <c r="D49" s="55">
        <v>2.73</v>
      </c>
      <c r="E49" s="55">
        <v>2.72</v>
      </c>
      <c r="F49" s="55">
        <v>2.84</v>
      </c>
      <c r="G49" s="55">
        <v>2.7</v>
      </c>
      <c r="H49" s="55">
        <v>2.76</v>
      </c>
      <c r="I49" s="55">
        <v>2.7</v>
      </c>
      <c r="J49" s="55">
        <v>3.33</v>
      </c>
      <c r="K49" s="55">
        <v>2.82</v>
      </c>
      <c r="L49" s="55">
        <v>2.8</v>
      </c>
      <c r="M49" s="55">
        <v>3</v>
      </c>
      <c r="N49" s="55">
        <v>3.18</v>
      </c>
      <c r="O49" s="55">
        <v>3.36</v>
      </c>
      <c r="P49" s="55">
        <v>2.92</v>
      </c>
      <c r="Q49" s="55">
        <v>3.63</v>
      </c>
      <c r="R49" s="55">
        <v>3.18</v>
      </c>
      <c r="S49" s="55">
        <v>4.1500000000000004</v>
      </c>
      <c r="T49" s="55">
        <v>4.49</v>
      </c>
      <c r="U49" s="55">
        <v>2.97</v>
      </c>
      <c r="V49" s="55">
        <v>2.8</v>
      </c>
      <c r="W49" s="110">
        <v>2.94</v>
      </c>
      <c r="X49" s="109">
        <v>1.34</v>
      </c>
      <c r="Y49" s="55">
        <v>5.05</v>
      </c>
      <c r="Z49" s="55">
        <v>6.63</v>
      </c>
      <c r="AA49" s="110">
        <v>13.34</v>
      </c>
      <c r="AB49" s="109">
        <v>3.28</v>
      </c>
      <c r="AC49" s="55">
        <v>2.86</v>
      </c>
      <c r="AD49" s="110">
        <v>2.67</v>
      </c>
    </row>
    <row r="50" spans="1:30">
      <c r="A50" s="125" t="s">
        <v>845</v>
      </c>
      <c r="B50" s="111">
        <v>5.44</v>
      </c>
      <c r="C50" s="56">
        <v>5.79</v>
      </c>
      <c r="D50" s="56">
        <v>4.45</v>
      </c>
      <c r="E50" s="56">
        <v>9.56</v>
      </c>
      <c r="F50" s="56">
        <v>5.83</v>
      </c>
      <c r="G50" s="56">
        <v>6</v>
      </c>
      <c r="H50" s="56">
        <v>8.08</v>
      </c>
      <c r="I50" s="56">
        <v>6.71</v>
      </c>
      <c r="J50" s="56">
        <v>5.05</v>
      </c>
      <c r="K50" s="56">
        <v>7.17</v>
      </c>
      <c r="L50" s="56">
        <v>6.06</v>
      </c>
      <c r="M50" s="56">
        <v>9.9499999999999993</v>
      </c>
      <c r="N50" s="56">
        <v>8.76</v>
      </c>
      <c r="O50" s="56">
        <v>11.87</v>
      </c>
      <c r="P50" s="56">
        <v>6.01</v>
      </c>
      <c r="Q50" s="56">
        <v>8.0399999999999991</v>
      </c>
      <c r="R50" s="56">
        <v>3.02</v>
      </c>
      <c r="S50" s="56">
        <v>15.52</v>
      </c>
      <c r="T50" s="56">
        <v>9</v>
      </c>
      <c r="U50" s="56">
        <v>12.21</v>
      </c>
      <c r="V50" s="56">
        <v>3.4</v>
      </c>
      <c r="W50" s="112">
        <v>10.99</v>
      </c>
      <c r="X50" s="111">
        <v>2.2000000000000002</v>
      </c>
      <c r="Y50" s="56">
        <v>9.57</v>
      </c>
      <c r="Z50" s="56">
        <v>13.05</v>
      </c>
      <c r="AA50" s="112">
        <v>14.87</v>
      </c>
      <c r="AB50" s="111">
        <v>1.06</v>
      </c>
      <c r="AC50" s="56">
        <v>6.64</v>
      </c>
      <c r="AD50" s="112">
        <v>9.67</v>
      </c>
    </row>
    <row r="51" spans="1:30">
      <c r="A51" s="124" t="s">
        <v>846</v>
      </c>
      <c r="B51" s="109">
        <v>6.46</v>
      </c>
      <c r="C51" s="55">
        <v>6.12</v>
      </c>
      <c r="D51" s="55">
        <v>5.04</v>
      </c>
      <c r="E51" s="55">
        <v>2.94</v>
      </c>
      <c r="F51" s="55">
        <v>3.84</v>
      </c>
      <c r="G51" s="55">
        <v>4.0999999999999996</v>
      </c>
      <c r="H51" s="55">
        <v>2.4</v>
      </c>
      <c r="I51" s="55">
        <v>4.8099999999999996</v>
      </c>
      <c r="J51" s="55">
        <v>5.05</v>
      </c>
      <c r="K51" s="55">
        <v>5.03</v>
      </c>
      <c r="L51" s="55">
        <v>4.8499999999999996</v>
      </c>
      <c r="M51" s="55">
        <v>4.1100000000000003</v>
      </c>
      <c r="N51" s="55">
        <v>5.16</v>
      </c>
      <c r="O51" s="55">
        <v>7.09</v>
      </c>
      <c r="P51" s="55">
        <v>4.1100000000000003</v>
      </c>
      <c r="Q51" s="55">
        <v>6.32</v>
      </c>
      <c r="R51" s="55">
        <v>6.21</v>
      </c>
      <c r="S51" s="55">
        <v>6.99</v>
      </c>
      <c r="T51" s="55">
        <v>7.57</v>
      </c>
      <c r="U51" s="55">
        <v>5.95</v>
      </c>
      <c r="V51" s="55">
        <v>5.91</v>
      </c>
      <c r="W51" s="110">
        <v>6.81</v>
      </c>
      <c r="X51" s="109">
        <v>0.31</v>
      </c>
      <c r="Y51" s="55">
        <v>7.88</v>
      </c>
      <c r="Z51" s="55">
        <v>8.9499999999999993</v>
      </c>
      <c r="AA51" s="110">
        <v>10.83</v>
      </c>
      <c r="AB51" s="109">
        <v>6.2</v>
      </c>
      <c r="AC51" s="55">
        <v>3.09</v>
      </c>
      <c r="AD51" s="110">
        <v>3.03</v>
      </c>
    </row>
    <row r="52" spans="1:30">
      <c r="A52" s="126"/>
      <c r="B52" s="113"/>
      <c r="C52" s="5"/>
      <c r="D52" s="5"/>
      <c r="E52" s="5"/>
      <c r="F52" s="5"/>
      <c r="G52" s="5"/>
      <c r="H52" s="5"/>
      <c r="I52" s="5"/>
      <c r="J52" s="5"/>
      <c r="K52" s="5"/>
      <c r="L52" s="5"/>
      <c r="M52" s="5"/>
      <c r="N52" s="5"/>
      <c r="O52" s="5"/>
      <c r="P52" s="5"/>
      <c r="Q52" s="5"/>
      <c r="R52" s="5"/>
      <c r="S52" s="5"/>
      <c r="T52" s="5"/>
      <c r="U52" s="5"/>
      <c r="V52" s="5"/>
      <c r="W52" s="114"/>
      <c r="X52" s="113"/>
      <c r="Y52" s="5"/>
      <c r="Z52" s="5"/>
      <c r="AA52" s="114"/>
      <c r="AB52" s="113"/>
      <c r="AC52" s="5"/>
      <c r="AD52" s="114"/>
    </row>
    <row r="53" spans="1:30">
      <c r="A53" s="124" t="s">
        <v>847</v>
      </c>
      <c r="B53" s="109">
        <v>0</v>
      </c>
      <c r="C53" s="55">
        <v>0</v>
      </c>
      <c r="D53" s="55">
        <v>0</v>
      </c>
      <c r="E53" s="55">
        <v>0</v>
      </c>
      <c r="F53" s="55">
        <v>0</v>
      </c>
      <c r="G53" s="55">
        <v>0</v>
      </c>
      <c r="H53" s="55">
        <v>0</v>
      </c>
      <c r="I53" s="55">
        <v>0</v>
      </c>
      <c r="J53" s="55">
        <v>0</v>
      </c>
      <c r="K53" s="55">
        <v>0</v>
      </c>
      <c r="L53" s="55">
        <v>0</v>
      </c>
      <c r="M53" s="55">
        <v>0</v>
      </c>
      <c r="N53" s="55">
        <v>0.01</v>
      </c>
      <c r="O53" s="55">
        <v>0</v>
      </c>
      <c r="P53" s="55">
        <v>0</v>
      </c>
      <c r="Q53" s="55">
        <v>0.05</v>
      </c>
      <c r="R53" s="55">
        <v>0</v>
      </c>
      <c r="S53" s="55">
        <v>0.01</v>
      </c>
      <c r="T53" s="55">
        <v>0</v>
      </c>
      <c r="U53" s="55">
        <v>0</v>
      </c>
      <c r="V53" s="55">
        <v>0</v>
      </c>
      <c r="W53" s="110">
        <v>0</v>
      </c>
      <c r="X53" s="109">
        <v>0</v>
      </c>
      <c r="Y53" s="55">
        <v>0</v>
      </c>
      <c r="Z53" s="55">
        <v>0.15</v>
      </c>
      <c r="AA53" s="110">
        <v>0.15</v>
      </c>
      <c r="AB53" s="109">
        <v>0</v>
      </c>
      <c r="AC53" s="55">
        <v>0</v>
      </c>
      <c r="AD53" s="110">
        <v>0</v>
      </c>
    </row>
    <row r="54" spans="1:30">
      <c r="A54" s="125" t="s">
        <v>848</v>
      </c>
      <c r="B54" s="111">
        <v>0</v>
      </c>
      <c r="C54" s="56">
        <v>0</v>
      </c>
      <c r="D54" s="56">
        <v>0</v>
      </c>
      <c r="E54" s="56">
        <v>0</v>
      </c>
      <c r="F54" s="56">
        <v>0</v>
      </c>
      <c r="G54" s="56">
        <v>0</v>
      </c>
      <c r="H54" s="56">
        <v>0</v>
      </c>
      <c r="I54" s="56">
        <v>0</v>
      </c>
      <c r="J54" s="56">
        <v>0</v>
      </c>
      <c r="K54" s="56">
        <v>0</v>
      </c>
      <c r="L54" s="56">
        <v>0</v>
      </c>
      <c r="M54" s="56">
        <v>0</v>
      </c>
      <c r="N54" s="56">
        <v>0</v>
      </c>
      <c r="O54" s="56">
        <v>0</v>
      </c>
      <c r="P54" s="56">
        <v>0</v>
      </c>
      <c r="Q54" s="56">
        <v>0</v>
      </c>
      <c r="R54" s="56">
        <v>0</v>
      </c>
      <c r="S54" s="56">
        <v>0</v>
      </c>
      <c r="T54" s="56">
        <v>0</v>
      </c>
      <c r="U54" s="56">
        <v>0</v>
      </c>
      <c r="V54" s="56">
        <v>0</v>
      </c>
      <c r="W54" s="112">
        <v>0</v>
      </c>
      <c r="X54" s="111">
        <v>0</v>
      </c>
      <c r="Y54" s="56">
        <v>0.01</v>
      </c>
      <c r="Z54" s="56">
        <v>0.49</v>
      </c>
      <c r="AA54" s="112">
        <v>1.93</v>
      </c>
      <c r="AB54" s="111">
        <v>0</v>
      </c>
      <c r="AC54" s="56">
        <v>0</v>
      </c>
      <c r="AD54" s="112">
        <v>0</v>
      </c>
    </row>
    <row r="55" spans="1:30">
      <c r="A55" s="124" t="s">
        <v>849</v>
      </c>
      <c r="B55" s="109">
        <v>0</v>
      </c>
      <c r="C55" s="55">
        <v>0</v>
      </c>
      <c r="D55" s="55">
        <v>0</v>
      </c>
      <c r="E55" s="55">
        <v>0</v>
      </c>
      <c r="F55" s="55">
        <v>0</v>
      </c>
      <c r="G55" s="55">
        <v>0</v>
      </c>
      <c r="H55" s="55">
        <v>0</v>
      </c>
      <c r="I55" s="55">
        <v>0</v>
      </c>
      <c r="J55" s="55">
        <v>0</v>
      </c>
      <c r="K55" s="55">
        <v>0</v>
      </c>
      <c r="L55" s="55">
        <v>0</v>
      </c>
      <c r="M55" s="55">
        <v>0</v>
      </c>
      <c r="N55" s="55">
        <v>0</v>
      </c>
      <c r="O55" s="55">
        <v>0</v>
      </c>
      <c r="P55" s="55">
        <v>0</v>
      </c>
      <c r="Q55" s="55">
        <v>0</v>
      </c>
      <c r="R55" s="55">
        <v>0</v>
      </c>
      <c r="S55" s="55">
        <v>0</v>
      </c>
      <c r="T55" s="55">
        <v>0</v>
      </c>
      <c r="U55" s="55">
        <v>0</v>
      </c>
      <c r="V55" s="55">
        <v>0</v>
      </c>
      <c r="W55" s="110">
        <v>0</v>
      </c>
      <c r="X55" s="109">
        <v>0</v>
      </c>
      <c r="Y55" s="55">
        <v>0</v>
      </c>
      <c r="Z55" s="55">
        <v>0</v>
      </c>
      <c r="AA55" s="110">
        <v>0</v>
      </c>
      <c r="AB55" s="109">
        <v>0</v>
      </c>
      <c r="AC55" s="55">
        <v>0</v>
      </c>
      <c r="AD55" s="110">
        <v>0</v>
      </c>
    </row>
    <row r="56" spans="1:30">
      <c r="A56" s="125" t="s">
        <v>850</v>
      </c>
      <c r="B56" s="111">
        <v>0</v>
      </c>
      <c r="C56" s="56">
        <v>0</v>
      </c>
      <c r="D56" s="56">
        <v>0</v>
      </c>
      <c r="E56" s="56">
        <v>0</v>
      </c>
      <c r="F56" s="56">
        <v>0.01</v>
      </c>
      <c r="G56" s="56">
        <v>0</v>
      </c>
      <c r="H56" s="56">
        <v>0</v>
      </c>
      <c r="I56" s="56">
        <v>0</v>
      </c>
      <c r="J56" s="56">
        <v>0</v>
      </c>
      <c r="K56" s="56">
        <v>0</v>
      </c>
      <c r="L56" s="56">
        <v>0</v>
      </c>
      <c r="M56" s="56">
        <v>0</v>
      </c>
      <c r="N56" s="56">
        <v>0</v>
      </c>
      <c r="O56" s="56">
        <v>0</v>
      </c>
      <c r="P56" s="56">
        <v>0</v>
      </c>
      <c r="Q56" s="56">
        <v>0</v>
      </c>
      <c r="R56" s="56">
        <v>0</v>
      </c>
      <c r="S56" s="56">
        <v>0.01</v>
      </c>
      <c r="T56" s="56">
        <v>0</v>
      </c>
      <c r="U56" s="56">
        <v>0</v>
      </c>
      <c r="V56" s="56">
        <v>0</v>
      </c>
      <c r="W56" s="112">
        <v>0</v>
      </c>
      <c r="X56" s="111">
        <v>0</v>
      </c>
      <c r="Y56" s="56">
        <v>0</v>
      </c>
      <c r="Z56" s="56">
        <v>0</v>
      </c>
      <c r="AA56" s="112">
        <v>0</v>
      </c>
      <c r="AB56" s="111">
        <v>0</v>
      </c>
      <c r="AC56" s="56">
        <v>0</v>
      </c>
      <c r="AD56" s="112">
        <v>0</v>
      </c>
    </row>
    <row r="57" spans="1:30">
      <c r="A57" s="124" t="s">
        <v>851</v>
      </c>
      <c r="B57" s="109">
        <v>0</v>
      </c>
      <c r="C57" s="55">
        <v>0</v>
      </c>
      <c r="D57" s="55">
        <v>0</v>
      </c>
      <c r="E57" s="55">
        <v>0</v>
      </c>
      <c r="F57" s="55">
        <v>0</v>
      </c>
      <c r="G57" s="55">
        <v>0</v>
      </c>
      <c r="H57" s="55">
        <v>0</v>
      </c>
      <c r="I57" s="55">
        <v>0</v>
      </c>
      <c r="J57" s="55">
        <v>0</v>
      </c>
      <c r="K57" s="55">
        <v>0</v>
      </c>
      <c r="L57" s="55">
        <v>0</v>
      </c>
      <c r="M57" s="55">
        <v>0</v>
      </c>
      <c r="N57" s="55">
        <v>0</v>
      </c>
      <c r="O57" s="55">
        <v>0</v>
      </c>
      <c r="P57" s="55">
        <v>0</v>
      </c>
      <c r="Q57" s="55">
        <v>0</v>
      </c>
      <c r="R57" s="55">
        <v>0</v>
      </c>
      <c r="S57" s="55">
        <v>0</v>
      </c>
      <c r="T57" s="55">
        <v>0</v>
      </c>
      <c r="U57" s="55">
        <v>0</v>
      </c>
      <c r="V57" s="55">
        <v>0</v>
      </c>
      <c r="W57" s="110">
        <v>0</v>
      </c>
      <c r="X57" s="109">
        <v>0</v>
      </c>
      <c r="Y57" s="55">
        <v>0</v>
      </c>
      <c r="Z57" s="55">
        <v>0</v>
      </c>
      <c r="AA57" s="110">
        <v>0.01</v>
      </c>
      <c r="AB57" s="109">
        <v>0</v>
      </c>
      <c r="AC57" s="55">
        <v>0</v>
      </c>
      <c r="AD57" s="110">
        <v>0</v>
      </c>
    </row>
    <row r="58" spans="1:30" ht="15.95" thickBot="1">
      <c r="A58" s="127" t="s">
        <v>852</v>
      </c>
      <c r="B58" s="115">
        <v>0</v>
      </c>
      <c r="C58" s="116">
        <v>0</v>
      </c>
      <c r="D58" s="116">
        <v>0</v>
      </c>
      <c r="E58" s="116">
        <v>0</v>
      </c>
      <c r="F58" s="116">
        <v>0</v>
      </c>
      <c r="G58" s="116">
        <v>0</v>
      </c>
      <c r="H58" s="116">
        <v>0</v>
      </c>
      <c r="I58" s="116">
        <v>0</v>
      </c>
      <c r="J58" s="116">
        <v>0</v>
      </c>
      <c r="K58" s="116">
        <v>0</v>
      </c>
      <c r="L58" s="116">
        <v>0</v>
      </c>
      <c r="M58" s="116">
        <v>0</v>
      </c>
      <c r="N58" s="116">
        <v>0</v>
      </c>
      <c r="O58" s="116">
        <v>0</v>
      </c>
      <c r="P58" s="116">
        <v>0</v>
      </c>
      <c r="Q58" s="116">
        <v>0.01</v>
      </c>
      <c r="R58" s="116">
        <v>0</v>
      </c>
      <c r="S58" s="116">
        <v>0</v>
      </c>
      <c r="T58" s="116">
        <v>0</v>
      </c>
      <c r="U58" s="116">
        <v>0</v>
      </c>
      <c r="V58" s="116">
        <v>0</v>
      </c>
      <c r="W58" s="117">
        <v>0</v>
      </c>
      <c r="X58" s="115">
        <v>0</v>
      </c>
      <c r="Y58" s="116">
        <v>0</v>
      </c>
      <c r="Z58" s="116">
        <v>0.13</v>
      </c>
      <c r="AA58" s="117">
        <v>0.08</v>
      </c>
      <c r="AB58" s="115">
        <v>0</v>
      </c>
      <c r="AC58" s="116">
        <v>0</v>
      </c>
      <c r="AD58" s="117">
        <v>0</v>
      </c>
    </row>
    <row r="69" spans="20:20">
      <c r="T69" s="241"/>
    </row>
    <row r="70" spans="20:20">
      <c r="T70" s="241"/>
    </row>
    <row r="71" spans="20:20">
      <c r="T71" s="241"/>
    </row>
    <row r="72" spans="20:20">
      <c r="T72" s="241"/>
    </row>
    <row r="73" spans="20:20">
      <c r="T73" s="241"/>
    </row>
    <row r="74" spans="20:20">
      <c r="T74" s="241"/>
    </row>
    <row r="75" spans="20:20">
      <c r="T75" s="241"/>
    </row>
    <row r="76" spans="20:20">
      <c r="T76" s="241"/>
    </row>
    <row r="77" spans="20:20">
      <c r="T77" s="241"/>
    </row>
    <row r="78" spans="20:20">
      <c r="T78" s="241"/>
    </row>
    <row r="79" spans="20:20">
      <c r="T79" s="241"/>
    </row>
    <row r="80" spans="20:20">
      <c r="T80" s="241"/>
    </row>
    <row r="81" spans="20:20">
      <c r="T81" s="241"/>
    </row>
    <row r="82" spans="20:20">
      <c r="T82" s="241"/>
    </row>
    <row r="85" spans="20:20">
      <c r="T85" s="241"/>
    </row>
    <row r="86" spans="20:20">
      <c r="T86" s="241"/>
    </row>
    <row r="87" spans="20:20">
      <c r="T87" s="241"/>
    </row>
    <row r="88" spans="20:20">
      <c r="T88" s="241"/>
    </row>
    <row r="89" spans="20:20">
      <c r="T89" s="241"/>
    </row>
    <row r="90" spans="20:20">
      <c r="T90" s="241"/>
    </row>
    <row r="91" spans="20:20">
      <c r="T91" s="241"/>
    </row>
    <row r="92" spans="20:20">
      <c r="T92" s="241"/>
    </row>
    <row r="93" spans="20:20">
      <c r="T93" s="241"/>
    </row>
    <row r="94" spans="20:20">
      <c r="T94" s="241"/>
    </row>
    <row r="95" spans="20:20">
      <c r="T95" s="241"/>
    </row>
    <row r="96" spans="20:20">
      <c r="T96" s="241"/>
    </row>
    <row r="97" spans="20:20">
      <c r="T97" s="241"/>
    </row>
    <row r="98" spans="20:20">
      <c r="T98" s="241"/>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79"/>
  <sheetViews>
    <sheetView topLeftCell="B1" workbookViewId="0">
      <selection activeCell="K11" sqref="K11"/>
    </sheetView>
  </sheetViews>
  <sheetFormatPr defaultColWidth="8.85546875" defaultRowHeight="15"/>
  <cols>
    <col min="1" max="1" width="9.7109375" bestFit="1" customWidth="1"/>
    <col min="25" max="28" width="10.140625" bestFit="1" customWidth="1"/>
  </cols>
  <sheetData>
    <row r="1" spans="1:28">
      <c r="A1" s="243" t="s">
        <v>72</v>
      </c>
      <c r="B1" s="243" t="s">
        <v>1140</v>
      </c>
      <c r="C1" s="102" t="s">
        <v>74</v>
      </c>
      <c r="D1" s="103" t="s">
        <v>75</v>
      </c>
      <c r="E1" s="103" t="s">
        <v>76</v>
      </c>
      <c r="F1" s="103" t="s">
        <v>78</v>
      </c>
      <c r="G1" s="103" t="s">
        <v>79</v>
      </c>
      <c r="H1" s="103" t="s">
        <v>80</v>
      </c>
      <c r="I1" s="103" t="s">
        <v>81</v>
      </c>
      <c r="J1" s="103" t="s">
        <v>83</v>
      </c>
      <c r="K1" s="103" t="s">
        <v>84</v>
      </c>
      <c r="L1" s="103" t="s">
        <v>85</v>
      </c>
      <c r="M1" s="103" t="s">
        <v>86</v>
      </c>
      <c r="N1" s="103" t="s">
        <v>87</v>
      </c>
      <c r="O1" s="103" t="s">
        <v>88</v>
      </c>
      <c r="P1" s="103" t="s">
        <v>89</v>
      </c>
      <c r="Q1" s="103" t="s">
        <v>90</v>
      </c>
      <c r="R1" s="103" t="s">
        <v>91</v>
      </c>
      <c r="S1" s="103" t="s">
        <v>92</v>
      </c>
      <c r="T1" s="103" t="s">
        <v>93</v>
      </c>
      <c r="U1" s="103" t="s">
        <v>94</v>
      </c>
      <c r="V1" s="103" t="s">
        <v>95</v>
      </c>
      <c r="W1" s="103" t="s">
        <v>96</v>
      </c>
      <c r="X1" s="104" t="s">
        <v>97</v>
      </c>
      <c r="Y1" s="102" t="s">
        <v>98</v>
      </c>
      <c r="Z1" s="103" t="s">
        <v>99</v>
      </c>
      <c r="AA1" s="103" t="s">
        <v>100</v>
      </c>
      <c r="AB1" s="104" t="s">
        <v>101</v>
      </c>
    </row>
    <row r="2" spans="1:28">
      <c r="A2" s="244"/>
      <c r="B2" s="244"/>
      <c r="C2" s="105" t="s">
        <v>112</v>
      </c>
      <c r="D2" s="79" t="s">
        <v>113</v>
      </c>
      <c r="E2" s="79" t="s">
        <v>114</v>
      </c>
      <c r="F2" s="79" t="s">
        <v>116</v>
      </c>
      <c r="G2" s="79" t="s">
        <v>117</v>
      </c>
      <c r="H2" s="79" t="s">
        <v>118</v>
      </c>
      <c r="I2" s="79" t="s">
        <v>119</v>
      </c>
      <c r="J2" s="79" t="s">
        <v>121</v>
      </c>
      <c r="K2" s="79" t="s">
        <v>122</v>
      </c>
      <c r="L2" s="79" t="s">
        <v>123</v>
      </c>
      <c r="M2" s="79" t="s">
        <v>124</v>
      </c>
      <c r="N2" s="79" t="s">
        <v>125</v>
      </c>
      <c r="O2" s="79" t="s">
        <v>126</v>
      </c>
      <c r="P2" s="79" t="s">
        <v>127</v>
      </c>
      <c r="Q2" s="79" t="s">
        <v>128</v>
      </c>
      <c r="R2" s="79" t="s">
        <v>129</v>
      </c>
      <c r="S2" s="79" t="s">
        <v>130</v>
      </c>
      <c r="T2" s="79" t="s">
        <v>131</v>
      </c>
      <c r="U2" s="79" t="s">
        <v>132</v>
      </c>
      <c r="V2" s="79" t="s">
        <v>133</v>
      </c>
      <c r="W2" s="79" t="s">
        <v>134</v>
      </c>
      <c r="X2" s="106" t="s">
        <v>135</v>
      </c>
      <c r="Y2" s="105" t="s">
        <v>136</v>
      </c>
      <c r="Z2" s="79" t="s">
        <v>137</v>
      </c>
      <c r="AA2" s="79" t="s">
        <v>138</v>
      </c>
      <c r="AB2" s="106" t="s">
        <v>139</v>
      </c>
    </row>
    <row r="3" spans="1:28" ht="15.95" thickBot="1">
      <c r="A3" s="146" t="s">
        <v>1141</v>
      </c>
      <c r="B3" s="192" t="s">
        <v>3</v>
      </c>
      <c r="C3" s="146" t="s">
        <v>1</v>
      </c>
      <c r="D3" s="193" t="s">
        <v>1</v>
      </c>
      <c r="E3" s="193" t="s">
        <v>1</v>
      </c>
      <c r="F3" s="193" t="s">
        <v>1</v>
      </c>
      <c r="G3" s="193" t="s">
        <v>1</v>
      </c>
      <c r="H3" s="193" t="s">
        <v>1</v>
      </c>
      <c r="I3" s="193" t="s">
        <v>1</v>
      </c>
      <c r="J3" s="193" t="s">
        <v>1</v>
      </c>
      <c r="K3" s="193" t="s">
        <v>1</v>
      </c>
      <c r="L3" s="193" t="s">
        <v>1</v>
      </c>
      <c r="M3" s="193" t="s">
        <v>1</v>
      </c>
      <c r="N3" s="193" t="s">
        <v>1</v>
      </c>
      <c r="O3" s="193" t="s">
        <v>1</v>
      </c>
      <c r="P3" s="193" t="s">
        <v>1</v>
      </c>
      <c r="Q3" s="193" t="s">
        <v>1</v>
      </c>
      <c r="R3" s="193" t="s">
        <v>1</v>
      </c>
      <c r="S3" s="193" t="s">
        <v>1</v>
      </c>
      <c r="T3" s="193" t="s">
        <v>1</v>
      </c>
      <c r="U3" s="193" t="s">
        <v>1</v>
      </c>
      <c r="V3" s="193" t="s">
        <v>1</v>
      </c>
      <c r="W3" s="193" t="s">
        <v>1</v>
      </c>
      <c r="X3" s="192" t="s">
        <v>1</v>
      </c>
      <c r="Y3" s="146" t="s">
        <v>1</v>
      </c>
      <c r="Z3" s="193" t="s">
        <v>1</v>
      </c>
      <c r="AA3" s="193" t="s">
        <v>1</v>
      </c>
      <c r="AB3" s="192" t="s">
        <v>1</v>
      </c>
    </row>
    <row r="4" spans="1:28">
      <c r="A4" s="189" t="s">
        <v>112</v>
      </c>
      <c r="B4" s="190">
        <v>1</v>
      </c>
      <c r="C4" s="190">
        <v>5.2354570637119118E-4</v>
      </c>
      <c r="D4" s="190">
        <v>1.3268698060941828</v>
      </c>
      <c r="E4" s="190">
        <v>0.80055401662049863</v>
      </c>
      <c r="F4" s="190">
        <v>1.1772853185595569</v>
      </c>
      <c r="G4" s="190">
        <v>0.92243767313019387</v>
      </c>
      <c r="H4" s="190">
        <v>0.80886426592797789</v>
      </c>
      <c r="I4" s="190">
        <v>0.95290858725761773</v>
      </c>
      <c r="J4" s="190">
        <v>0.89750692520775621</v>
      </c>
      <c r="K4" s="190">
        <v>0.92797783933518008</v>
      </c>
      <c r="L4" s="190">
        <v>0.91135734072022156</v>
      </c>
      <c r="M4" s="190">
        <v>0.76454293628808867</v>
      </c>
      <c r="N4" s="190">
        <v>0.86703601108033246</v>
      </c>
      <c r="O4" s="190">
        <v>1.0803324099722991</v>
      </c>
      <c r="P4" s="190">
        <v>1.0554016620498614</v>
      </c>
      <c r="Q4" s="190">
        <v>1.2742382271468145</v>
      </c>
      <c r="R4" s="190">
        <v>1.0387811634349031</v>
      </c>
      <c r="S4" s="190">
        <v>0.84487534626038785</v>
      </c>
      <c r="T4" s="190">
        <v>0.94182825484764543</v>
      </c>
      <c r="U4" s="190">
        <v>0.95290858725761773</v>
      </c>
      <c r="V4" s="190">
        <v>1</v>
      </c>
      <c r="W4" s="190">
        <v>0.93905817174515238</v>
      </c>
      <c r="X4" s="190">
        <v>0.76731301939058172</v>
      </c>
      <c r="Y4" s="191">
        <v>1.0443213296398892</v>
      </c>
      <c r="Z4" s="190">
        <v>1.0886426592797784</v>
      </c>
      <c r="AA4" s="190">
        <v>1.3988919667590027</v>
      </c>
      <c r="AB4" s="190">
        <v>0.8642659279778393</v>
      </c>
    </row>
    <row r="5" spans="1:28">
      <c r="A5" s="136" t="s">
        <v>113</v>
      </c>
      <c r="B5" s="180">
        <v>1</v>
      </c>
      <c r="C5" s="180">
        <v>1.8699186991869918</v>
      </c>
      <c r="D5" s="180">
        <v>0</v>
      </c>
      <c r="E5" s="180">
        <v>1.1991869918699185</v>
      </c>
      <c r="F5" s="180">
        <v>1.4634146341463414</v>
      </c>
      <c r="G5" s="180">
        <v>2.3712737127371271</v>
      </c>
      <c r="H5" s="180">
        <v>1.1260162601626014</v>
      </c>
      <c r="I5" s="180">
        <v>1.5447154471544715</v>
      </c>
      <c r="J5" s="180">
        <v>0.64363143631436315</v>
      </c>
      <c r="K5" s="180">
        <v>0.57994579945799452</v>
      </c>
      <c r="L5" s="180">
        <v>0.34688346883468835</v>
      </c>
      <c r="M5" s="180">
        <v>0.42547425474254735</v>
      </c>
      <c r="N5" s="180">
        <v>0.27777777777777779</v>
      </c>
      <c r="O5" s="180">
        <v>1.084010840108401</v>
      </c>
      <c r="P5" s="180">
        <v>1.7073170731707317</v>
      </c>
      <c r="Q5" s="180">
        <v>0.62195121951219512</v>
      </c>
      <c r="R5" s="180">
        <v>1.2344173441734416</v>
      </c>
      <c r="S5" s="180">
        <v>1.1043360433604337</v>
      </c>
      <c r="T5" s="180">
        <v>1.1558265582655827</v>
      </c>
      <c r="U5" s="180">
        <v>1.2357723577235773</v>
      </c>
      <c r="V5" s="180">
        <v>0.61653116531165308</v>
      </c>
      <c r="W5" s="180">
        <v>0.84010840108401075</v>
      </c>
      <c r="X5" s="180">
        <v>0.66531165311653107</v>
      </c>
      <c r="Y5" s="180">
        <v>0.41869918699186992</v>
      </c>
      <c r="Z5" s="180">
        <v>0.25474254742547425</v>
      </c>
      <c r="AA5" s="180">
        <v>0.70054200542005418</v>
      </c>
      <c r="AB5" s="180">
        <v>0.38482384823848237</v>
      </c>
    </row>
    <row r="6" spans="1:28">
      <c r="A6" s="136" t="s">
        <v>114</v>
      </c>
      <c r="B6" s="180">
        <v>1</v>
      </c>
      <c r="C6" s="180">
        <v>2.5092250922509227</v>
      </c>
      <c r="D6" s="180">
        <v>1.7158671586715868</v>
      </c>
      <c r="E6" s="180">
        <v>6.1254612546125457E-2</v>
      </c>
      <c r="F6" s="180">
        <v>1.1365313653136531</v>
      </c>
      <c r="G6" s="180">
        <v>2.1143911439114387</v>
      </c>
      <c r="H6" s="180">
        <v>0.8302583025830258</v>
      </c>
      <c r="I6" s="180">
        <v>1.1660516605166051</v>
      </c>
      <c r="J6" s="180">
        <v>1.7343173431734316</v>
      </c>
      <c r="K6" s="180">
        <v>1.6162361623616235</v>
      </c>
      <c r="L6" s="180">
        <v>0.4870848708487085</v>
      </c>
      <c r="M6" s="180">
        <v>0.5793357933579335</v>
      </c>
      <c r="N6" s="180">
        <v>0.46494464944649444</v>
      </c>
      <c r="O6" s="180">
        <v>1.6309963099630995</v>
      </c>
      <c r="P6" s="180">
        <v>0.77490774907749072</v>
      </c>
      <c r="Q6" s="180">
        <v>1.6051660516605164</v>
      </c>
      <c r="R6" s="180">
        <v>1.8302583025830257</v>
      </c>
      <c r="S6" s="180">
        <v>0.70110701107011064</v>
      </c>
      <c r="T6" s="180">
        <v>0.8745387453874538</v>
      </c>
      <c r="U6" s="180">
        <v>1.191881918819188</v>
      </c>
      <c r="V6" s="180">
        <v>1.6752767527675276</v>
      </c>
      <c r="W6" s="180">
        <v>1.8892988929889298</v>
      </c>
      <c r="X6" s="180">
        <v>1.5571955719557193</v>
      </c>
      <c r="Y6" s="180">
        <v>0.64575645756457556</v>
      </c>
      <c r="Z6" s="180">
        <v>0.41697416974169738</v>
      </c>
      <c r="AA6" s="180">
        <v>0.5793357933579335</v>
      </c>
      <c r="AB6" s="180">
        <v>1.140221402214022</v>
      </c>
    </row>
    <row r="7" spans="1:28">
      <c r="A7" s="136" t="s">
        <v>148</v>
      </c>
      <c r="B7" s="178">
        <v>1</v>
      </c>
      <c r="C7" s="178">
        <v>1.0033003300330032</v>
      </c>
      <c r="D7" s="178">
        <v>0.86468646864686471</v>
      </c>
      <c r="E7" s="178">
        <v>1.2442244224422443</v>
      </c>
      <c r="F7" s="178">
        <v>5.7755775577557752E-3</v>
      </c>
      <c r="G7" s="178">
        <v>1.0363036303630364</v>
      </c>
      <c r="H7" s="178">
        <v>0.80528052805280526</v>
      </c>
      <c r="I7" s="178">
        <v>0.83498349834983498</v>
      </c>
      <c r="J7" s="178">
        <v>0.86138613861386137</v>
      </c>
      <c r="K7" s="178">
        <v>0.63696369636963701</v>
      </c>
      <c r="L7" s="178">
        <v>0.73927392739273923</v>
      </c>
      <c r="M7" s="178">
        <v>0.72277227722772275</v>
      </c>
      <c r="N7" s="178">
        <v>0.83168316831683164</v>
      </c>
      <c r="O7" s="178">
        <v>0.83498349834983498</v>
      </c>
      <c r="P7" s="178">
        <v>0.85808580858085803</v>
      </c>
      <c r="Q7" s="178">
        <v>1.0726072607260726</v>
      </c>
      <c r="R7" s="178">
        <v>1.4125412541254125</v>
      </c>
      <c r="S7" s="178">
        <v>1.056105610561056</v>
      </c>
      <c r="T7" s="178">
        <v>0.94389438943894388</v>
      </c>
      <c r="U7" s="178">
        <v>1.1122112211221122</v>
      </c>
      <c r="V7" s="178">
        <v>0.92079207920792083</v>
      </c>
      <c r="W7" s="178">
        <v>0.73927392739273923</v>
      </c>
      <c r="X7" s="178">
        <v>0.83828382838283833</v>
      </c>
      <c r="Y7" s="179">
        <v>0.90429042904290424</v>
      </c>
      <c r="Z7" s="178">
        <v>1.3036303630363035</v>
      </c>
      <c r="AA7" s="178">
        <v>1.6171617161716172</v>
      </c>
      <c r="AB7" s="178">
        <v>1.5082508250825082</v>
      </c>
    </row>
    <row r="8" spans="1:28">
      <c r="A8" s="136" t="s">
        <v>117</v>
      </c>
      <c r="B8" s="180">
        <v>1</v>
      </c>
      <c r="C8" s="180">
        <v>0.31092436974789917</v>
      </c>
      <c r="D8" s="180">
        <v>1.0756302521008405</v>
      </c>
      <c r="E8" s="180">
        <v>1.6722689075630253</v>
      </c>
      <c r="F8" s="180">
        <v>18.235294117647058</v>
      </c>
      <c r="G8" s="180">
        <v>0</v>
      </c>
      <c r="H8" s="180">
        <v>1.1260504201680674</v>
      </c>
      <c r="I8" s="180">
        <v>1.4957983193277311</v>
      </c>
      <c r="J8" s="180">
        <v>0.15882352941176472</v>
      </c>
      <c r="K8" s="180">
        <v>0.24369747899159666</v>
      </c>
      <c r="L8" s="180">
        <v>0.30000000000000004</v>
      </c>
      <c r="M8" s="180">
        <v>0.33193277310924374</v>
      </c>
      <c r="N8" s="180">
        <v>0.24453781512605044</v>
      </c>
      <c r="O8" s="180">
        <v>0.21512605042016808</v>
      </c>
      <c r="P8" s="180">
        <v>0.50504201680672267</v>
      </c>
      <c r="Q8" s="180">
        <v>0.89075630252100846</v>
      </c>
      <c r="R8" s="180">
        <v>1.1596638655462186</v>
      </c>
      <c r="S8" s="180">
        <v>0.48151260504201682</v>
      </c>
      <c r="T8" s="180">
        <v>0.59327731092436975</v>
      </c>
      <c r="U8" s="180">
        <v>0.84873949579831942</v>
      </c>
      <c r="V8" s="180">
        <v>0.74453781512605044</v>
      </c>
      <c r="W8" s="180">
        <v>0.58151260504201685</v>
      </c>
      <c r="X8" s="180">
        <v>0.60504201680672265</v>
      </c>
      <c r="Y8" s="180">
        <v>6.9831932773109243E-2</v>
      </c>
      <c r="Z8" s="180">
        <v>0.16638655462184876</v>
      </c>
      <c r="AA8" s="180">
        <v>7.9495798319327737E-2</v>
      </c>
      <c r="AB8" s="180">
        <v>0.38739495798319329</v>
      </c>
    </row>
    <row r="9" spans="1:28">
      <c r="A9" s="136" t="s">
        <v>118</v>
      </c>
      <c r="B9" s="180">
        <v>1</v>
      </c>
      <c r="C9" s="180">
        <v>1.9005524861878451</v>
      </c>
      <c r="D9" s="180">
        <v>1.8950276243093924</v>
      </c>
      <c r="E9" s="180">
        <v>1.7679558011049725</v>
      </c>
      <c r="F9" s="180">
        <v>1.3812154696132597</v>
      </c>
      <c r="G9" s="180">
        <v>1.6629834254143647</v>
      </c>
      <c r="H9" s="180">
        <v>0</v>
      </c>
      <c r="I9" s="180">
        <v>0.62983425414364647</v>
      </c>
      <c r="J9" s="180">
        <v>0.86187845303867405</v>
      </c>
      <c r="K9" s="180">
        <v>1.1988950276243093</v>
      </c>
      <c r="L9" s="180">
        <v>0.75690607734806636</v>
      </c>
      <c r="M9" s="180">
        <v>0.80662983425414359</v>
      </c>
      <c r="N9" s="180">
        <v>0.71823204419889508</v>
      </c>
      <c r="O9" s="180">
        <v>1.0386740331491713</v>
      </c>
      <c r="P9" s="180">
        <v>1.1712707182320441</v>
      </c>
      <c r="Q9" s="180">
        <v>0.97790055248618779</v>
      </c>
      <c r="R9" s="180">
        <v>1.0441988950276244</v>
      </c>
      <c r="S9" s="180">
        <v>1.4364640883977902</v>
      </c>
      <c r="T9" s="180">
        <v>1.1546961325966851</v>
      </c>
      <c r="U9" s="180">
        <v>1.1767955801104972</v>
      </c>
      <c r="V9" s="180">
        <v>0.850828729281768</v>
      </c>
      <c r="W9" s="180">
        <v>1.1712707182320441</v>
      </c>
      <c r="X9" s="180">
        <v>1.0883977900552486</v>
      </c>
      <c r="Y9" s="180">
        <v>0.54751381215469608</v>
      </c>
      <c r="Z9" s="180">
        <v>0.59668508287292821</v>
      </c>
      <c r="AA9" s="180">
        <v>0.8729281767955801</v>
      </c>
      <c r="AB9" s="180">
        <v>1.1160220994475138</v>
      </c>
    </row>
    <row r="10" spans="1:28">
      <c r="A10" s="136" t="s">
        <v>149</v>
      </c>
      <c r="B10" s="180">
        <v>1</v>
      </c>
      <c r="C10" s="180">
        <v>1.0245901639344261</v>
      </c>
      <c r="D10" s="180">
        <v>1.9098360655737705</v>
      </c>
      <c r="E10" s="180">
        <v>1.4426229508196722</v>
      </c>
      <c r="F10" s="180">
        <v>1.5081967213114755</v>
      </c>
      <c r="G10" s="180">
        <v>1.3442622950819672</v>
      </c>
      <c r="H10" s="180">
        <v>0.73934426229508199</v>
      </c>
      <c r="I10" s="180">
        <v>1.040983606557377</v>
      </c>
      <c r="J10" s="180">
        <v>0.6262295081967213</v>
      </c>
      <c r="K10" s="180">
        <v>0.73770491803278693</v>
      </c>
      <c r="L10" s="180">
        <v>1.4672131147540983</v>
      </c>
      <c r="M10" s="180">
        <v>1.5491803278688525</v>
      </c>
      <c r="N10" s="180">
        <v>1.360655737704918</v>
      </c>
      <c r="O10" s="180">
        <v>0.71639344262295079</v>
      </c>
      <c r="P10" s="180">
        <v>0.86885245901639352</v>
      </c>
      <c r="Q10" s="180">
        <v>0.95901639344262291</v>
      </c>
      <c r="R10" s="180">
        <v>1.0245901639344261</v>
      </c>
      <c r="S10" s="180">
        <v>0.81147540983606559</v>
      </c>
      <c r="T10" s="180">
        <v>0.77131147540983602</v>
      </c>
      <c r="U10" s="180">
        <v>1.040983606557377</v>
      </c>
      <c r="V10" s="180">
        <v>1.0655737704918034</v>
      </c>
      <c r="W10" s="180">
        <v>1.139344262295082</v>
      </c>
      <c r="X10" s="180">
        <v>0.99180327868852458</v>
      </c>
      <c r="Y10" s="180">
        <v>0.71639344262295079</v>
      </c>
      <c r="Z10" s="180">
        <v>0.77540983606557379</v>
      </c>
      <c r="AA10" s="180">
        <v>0.87704918032786894</v>
      </c>
      <c r="AB10" s="180">
        <v>1.6147540983606556</v>
      </c>
    </row>
    <row r="11" spans="1:28">
      <c r="A11" s="136" t="s">
        <v>119</v>
      </c>
      <c r="B11" s="178">
        <v>1</v>
      </c>
      <c r="C11" s="178">
        <v>0.80717488789237668</v>
      </c>
      <c r="D11" s="178">
        <v>2.3452914798206277</v>
      </c>
      <c r="E11" s="178">
        <v>1.116591928251121</v>
      </c>
      <c r="F11" s="178">
        <v>1.3856502242152466</v>
      </c>
      <c r="G11" s="178">
        <v>1.2466367713004485</v>
      </c>
      <c r="H11" s="178">
        <v>1.0986547085201794</v>
      </c>
      <c r="I11" s="178">
        <v>1.4170403587443947E-4</v>
      </c>
      <c r="J11" s="178">
        <v>1.2825112107623318</v>
      </c>
      <c r="K11" s="178">
        <v>1</v>
      </c>
      <c r="L11" s="178">
        <v>1.0582959641255605</v>
      </c>
      <c r="M11" s="178">
        <v>0.98206278026905824</v>
      </c>
      <c r="N11" s="178">
        <v>0.8565022421524664</v>
      </c>
      <c r="O11" s="178">
        <v>1.0313901345291481</v>
      </c>
      <c r="P11" s="178">
        <v>0.65022421524663676</v>
      </c>
      <c r="Q11" s="178">
        <v>1.1255605381165918</v>
      </c>
      <c r="R11" s="178">
        <v>1.9147982062780269</v>
      </c>
      <c r="S11" s="178">
        <v>0.72197309417040356</v>
      </c>
      <c r="T11" s="178">
        <v>0.77578475336322872</v>
      </c>
      <c r="U11" s="178">
        <v>1.4035874439461884</v>
      </c>
      <c r="V11" s="178">
        <v>0.93273542600896864</v>
      </c>
      <c r="W11" s="178">
        <v>0.71748878923766812</v>
      </c>
      <c r="X11" s="178">
        <v>0.905829596412556</v>
      </c>
      <c r="Y11" s="179">
        <v>1.3183856502242153</v>
      </c>
      <c r="Z11" s="178">
        <v>0.85201793721973096</v>
      </c>
      <c r="AA11" s="178">
        <v>0.62331838565022424</v>
      </c>
      <c r="AB11" s="178">
        <v>0.40582959641255606</v>
      </c>
    </row>
    <row r="12" spans="1:28">
      <c r="A12" s="136" t="s">
        <v>150</v>
      </c>
      <c r="B12" s="180">
        <v>1</v>
      </c>
      <c r="C12" s="180">
        <v>0.92156862745098034</v>
      </c>
      <c r="D12" s="180">
        <v>2.5272331154684093</v>
      </c>
      <c r="E12" s="180">
        <v>1.9019607843137254</v>
      </c>
      <c r="F12" s="180">
        <v>1.6579520697167756</v>
      </c>
      <c r="G12" s="180">
        <v>1.0610021786492374</v>
      </c>
      <c r="H12" s="180">
        <v>0.93028322440087141</v>
      </c>
      <c r="I12" s="180">
        <v>1.6078431372549018</v>
      </c>
      <c r="J12" s="180">
        <v>2.2222222222222223</v>
      </c>
      <c r="K12" s="180">
        <v>2.5925925925925926</v>
      </c>
      <c r="L12" s="180">
        <v>0.94989106753812635</v>
      </c>
      <c r="M12" s="180">
        <v>1.0239651416122004</v>
      </c>
      <c r="N12" s="180">
        <v>0.81263616557734197</v>
      </c>
      <c r="O12" s="180">
        <v>1.7233115468409586</v>
      </c>
      <c r="P12" s="180">
        <v>1.4008714596949892</v>
      </c>
      <c r="Q12" s="180">
        <v>0.94553376906318076</v>
      </c>
      <c r="R12" s="180">
        <v>0.88888888888888884</v>
      </c>
      <c r="S12" s="180">
        <v>0.72984749455337694</v>
      </c>
      <c r="T12" s="180">
        <v>0.82570806100217864</v>
      </c>
      <c r="U12" s="180">
        <v>1.0871459694989107</v>
      </c>
      <c r="V12" s="180">
        <v>0.83006535947712412</v>
      </c>
      <c r="W12" s="180">
        <v>0.93681917211328969</v>
      </c>
      <c r="X12" s="180">
        <v>0.90631808278867099</v>
      </c>
      <c r="Y12" s="180">
        <v>7.2549019607843143E-2</v>
      </c>
      <c r="Z12" s="180">
        <v>5.9694989106753811E-2</v>
      </c>
      <c r="AA12" s="180">
        <v>8.8888888888888892E-2</v>
      </c>
      <c r="AB12" s="180">
        <v>0.13747276688453158</v>
      </c>
    </row>
    <row r="13" spans="1:28">
      <c r="A13" s="136" t="s">
        <v>151</v>
      </c>
      <c r="B13" s="180">
        <v>1</v>
      </c>
      <c r="C13" s="180">
        <v>1.047945205479452</v>
      </c>
      <c r="D13" s="180">
        <v>1.9132420091324203</v>
      </c>
      <c r="E13" s="180">
        <v>1.2009132420091324</v>
      </c>
      <c r="F13" s="180">
        <v>1.3059360730593608</v>
      </c>
      <c r="G13" s="180">
        <v>1.0684931506849316</v>
      </c>
      <c r="H13" s="180">
        <v>0.73059360730593614</v>
      </c>
      <c r="I13" s="180">
        <v>0.99315068493150682</v>
      </c>
      <c r="J13" s="180">
        <v>1.1210045662100456</v>
      </c>
      <c r="K13" s="180">
        <v>1.0091324200913243</v>
      </c>
      <c r="L13" s="180">
        <v>0.73744292237442921</v>
      </c>
      <c r="M13" s="180">
        <v>0.76940639269406397</v>
      </c>
      <c r="N13" s="180">
        <v>0.65525114155251141</v>
      </c>
      <c r="O13" s="180">
        <v>1.1552511415525113</v>
      </c>
      <c r="P13" s="180">
        <v>0.81506849315068497</v>
      </c>
      <c r="Q13" s="180">
        <v>0.76484018264840181</v>
      </c>
      <c r="R13" s="180">
        <v>1.1392694063926943</v>
      </c>
      <c r="S13" s="180">
        <v>0.68264840182648412</v>
      </c>
      <c r="T13" s="180">
        <v>0.79452054794520555</v>
      </c>
      <c r="U13" s="180">
        <v>0.91324200913242015</v>
      </c>
      <c r="V13" s="180">
        <v>0.74885844748858443</v>
      </c>
      <c r="W13" s="180">
        <v>0.94748858447488593</v>
      </c>
      <c r="X13" s="180">
        <v>0.79680365296803657</v>
      </c>
      <c r="Y13" s="180">
        <v>0.39269406392694062</v>
      </c>
      <c r="Z13" s="180">
        <v>0.72146118721461194</v>
      </c>
      <c r="AA13" s="180">
        <v>1.1986301369863015</v>
      </c>
      <c r="AB13" s="180">
        <v>1.6917808219178083</v>
      </c>
    </row>
    <row r="14" spans="1:28">
      <c r="A14" s="136" t="s">
        <v>154</v>
      </c>
      <c r="B14" s="180">
        <v>1</v>
      </c>
      <c r="C14" s="180">
        <v>1.434153400868307</v>
      </c>
      <c r="D14" s="180">
        <v>1.5629522431259046</v>
      </c>
      <c r="E14" s="180">
        <v>2.0405209840810419</v>
      </c>
      <c r="F14" s="180">
        <v>1.4153400868306802</v>
      </c>
      <c r="G14" s="180">
        <v>1.4761215629522433</v>
      </c>
      <c r="H14" s="180">
        <v>0.98986975397973964</v>
      </c>
      <c r="I14" s="180">
        <v>1.4905933429811868</v>
      </c>
      <c r="J14" s="180">
        <v>0.43994211287988427</v>
      </c>
      <c r="K14" s="180">
        <v>0.36324167872648339</v>
      </c>
      <c r="L14" s="180">
        <v>0.65123010130246028</v>
      </c>
      <c r="M14" s="180">
        <v>0.74819102749638211</v>
      </c>
      <c r="N14" s="180">
        <v>0.66714905933429824</v>
      </c>
      <c r="O14" s="180">
        <v>0.48480463096960935</v>
      </c>
      <c r="P14" s="180">
        <v>0.91751085383502173</v>
      </c>
      <c r="Q14" s="180">
        <v>0.60202604920405212</v>
      </c>
      <c r="R14" s="180">
        <v>1.0781476121562954</v>
      </c>
      <c r="S14" s="180">
        <v>0.50217076700434149</v>
      </c>
      <c r="T14" s="180">
        <v>0.50940665701881327</v>
      </c>
      <c r="U14" s="180">
        <v>0.61939218523878437</v>
      </c>
      <c r="V14" s="180">
        <v>0.7149059334298119</v>
      </c>
      <c r="W14" s="180">
        <v>0.78437047756874112</v>
      </c>
      <c r="X14" s="180">
        <v>0.69175108538350216</v>
      </c>
      <c r="Y14" s="180">
        <v>0.47322720694645448</v>
      </c>
      <c r="Z14" s="180">
        <v>0.36613603473227208</v>
      </c>
      <c r="AA14" s="180">
        <v>0.59768451519536903</v>
      </c>
      <c r="AB14" s="180">
        <v>0.81186685962373384</v>
      </c>
    </row>
    <row r="15" spans="1:28">
      <c r="A15" s="136" t="s">
        <v>121</v>
      </c>
      <c r="B15" s="180">
        <v>1</v>
      </c>
      <c r="C15" s="180">
        <v>0.89473684210526327</v>
      </c>
      <c r="D15" s="180">
        <v>0.69298245614035092</v>
      </c>
      <c r="E15" s="180">
        <v>0.64561403508771931</v>
      </c>
      <c r="F15" s="180">
        <v>0.56228070175438605</v>
      </c>
      <c r="G15" s="180">
        <v>0.65350877192982459</v>
      </c>
      <c r="H15" s="180">
        <v>1.5964912280701757</v>
      </c>
      <c r="I15" s="180">
        <v>1.6228070175438598</v>
      </c>
      <c r="J15" s="180">
        <v>2.4561403508771933E-2</v>
      </c>
      <c r="K15" s="180">
        <v>1.2982456140350878</v>
      </c>
      <c r="L15" s="180">
        <v>0.4578947368421053</v>
      </c>
      <c r="M15" s="180">
        <v>0.50877192982456143</v>
      </c>
      <c r="N15" s="180">
        <v>0.518421052631579</v>
      </c>
      <c r="O15" s="180">
        <v>1.3771929824561404</v>
      </c>
      <c r="P15" s="180">
        <v>1.2719298245614037</v>
      </c>
      <c r="Q15" s="180">
        <v>1.1140350877192984</v>
      </c>
      <c r="R15" s="180">
        <v>1.2807017543859649</v>
      </c>
      <c r="S15" s="180">
        <v>1.2982456140350878</v>
      </c>
      <c r="T15" s="180">
        <v>1.5789473684210529</v>
      </c>
      <c r="U15" s="180">
        <v>1.5087719298245614</v>
      </c>
      <c r="V15" s="180">
        <v>1.2719298245614037</v>
      </c>
      <c r="W15" s="180">
        <v>1.3157894736842106</v>
      </c>
      <c r="X15" s="180">
        <v>0.94736842105263175</v>
      </c>
      <c r="Y15" s="180">
        <v>1.1228070175438598</v>
      </c>
      <c r="Z15" s="180">
        <v>1.0877192982456141</v>
      </c>
      <c r="AA15" s="180">
        <v>1.192982456140351</v>
      </c>
      <c r="AB15" s="180">
        <v>1.2017543859649125</v>
      </c>
    </row>
    <row r="16" spans="1:28">
      <c r="A16" s="136" t="s">
        <v>122</v>
      </c>
      <c r="B16" s="178">
        <v>1</v>
      </c>
      <c r="C16" s="178">
        <v>0.89189189189189189</v>
      </c>
      <c r="D16" s="178">
        <v>0.87567567567567572</v>
      </c>
      <c r="E16" s="178">
        <v>0.92972972972972978</v>
      </c>
      <c r="F16" s="178">
        <v>1.3135135135135134</v>
      </c>
      <c r="G16" s="178">
        <v>0.87027027027027026</v>
      </c>
      <c r="H16" s="178">
        <v>0.67027027027027031</v>
      </c>
      <c r="I16" s="178">
        <v>0.83783783783783783</v>
      </c>
      <c r="J16" s="178">
        <v>0.78918918918918923</v>
      </c>
      <c r="K16" s="178">
        <v>1.8972972972972973E-3</v>
      </c>
      <c r="L16" s="178">
        <v>0.92432432432432432</v>
      </c>
      <c r="M16" s="178">
        <v>1.0162162162162163</v>
      </c>
      <c r="N16" s="178">
        <v>0.97297297297297303</v>
      </c>
      <c r="O16" s="178">
        <v>0.99459459459459465</v>
      </c>
      <c r="P16" s="178">
        <v>1.335135135135135</v>
      </c>
      <c r="Q16" s="178">
        <v>0.71351351351351355</v>
      </c>
      <c r="R16" s="178">
        <v>0.5335135135135135</v>
      </c>
      <c r="S16" s="178">
        <v>0.92432432432432432</v>
      </c>
      <c r="T16" s="178">
        <v>1.0216216216216216</v>
      </c>
      <c r="U16" s="178">
        <v>0.70810810810810809</v>
      </c>
      <c r="V16" s="178">
        <v>1.1621621621621621</v>
      </c>
      <c r="W16" s="178">
        <v>1.0216216216216216</v>
      </c>
      <c r="X16" s="178">
        <v>0.67027027027027031</v>
      </c>
      <c r="Y16" s="179">
        <v>0.95675675675675675</v>
      </c>
      <c r="Z16" s="178">
        <v>1.1243243243243244</v>
      </c>
      <c r="AA16" s="178">
        <v>1.1891891891891893</v>
      </c>
      <c r="AB16" s="178">
        <v>0.91891891891891897</v>
      </c>
    </row>
    <row r="17" spans="1:28">
      <c r="A17" s="136" t="s">
        <v>155</v>
      </c>
      <c r="B17" s="180">
        <v>1</v>
      </c>
      <c r="C17" s="180">
        <v>1.646766169154229</v>
      </c>
      <c r="D17" s="180">
        <v>2.4328358208955225</v>
      </c>
      <c r="E17" s="180">
        <v>2.0796019900497513</v>
      </c>
      <c r="F17" s="180">
        <v>2.4179104477611943</v>
      </c>
      <c r="G17" s="180">
        <v>2.2636815920398012</v>
      </c>
      <c r="H17" s="180">
        <v>1.218905472636816</v>
      </c>
      <c r="I17" s="180">
        <v>2.1641791044776122</v>
      </c>
      <c r="J17" s="180">
        <v>0.845771144278607</v>
      </c>
      <c r="K17" s="180">
        <v>0.79601990049751259</v>
      </c>
      <c r="L17" s="180">
        <v>0.62189054726368165</v>
      </c>
      <c r="M17" s="180">
        <v>0.66169154228855731</v>
      </c>
      <c r="N17" s="180">
        <v>0.59701492537313439</v>
      </c>
      <c r="O17" s="180">
        <v>0.84079601990049757</v>
      </c>
      <c r="P17" s="180">
        <v>1.1741293532338308</v>
      </c>
      <c r="Q17" s="180">
        <v>1.0348258706467663</v>
      </c>
      <c r="R17" s="180">
        <v>1.9004975124378112</v>
      </c>
      <c r="S17" s="180">
        <v>0.78606965174129362</v>
      </c>
      <c r="T17" s="180">
        <v>0.85074626865671654</v>
      </c>
      <c r="U17" s="180">
        <v>1.0497512437810945</v>
      </c>
      <c r="V17" s="180">
        <v>1.0447761194029852</v>
      </c>
      <c r="W17" s="180">
        <v>1.0597014925373134</v>
      </c>
      <c r="X17" s="180">
        <v>0.94527363184079605</v>
      </c>
      <c r="Y17" s="180">
        <v>0.66169154228855731</v>
      </c>
      <c r="Z17" s="180">
        <v>0.55721393034825883</v>
      </c>
      <c r="AA17" s="180">
        <v>0.93532338308457719</v>
      </c>
      <c r="AB17" s="180">
        <v>1.7114427860696519</v>
      </c>
    </row>
    <row r="18" spans="1:28">
      <c r="A18" s="136" t="s">
        <v>123</v>
      </c>
      <c r="B18" s="180">
        <v>1</v>
      </c>
      <c r="C18" s="180">
        <v>2.3661417322834644</v>
      </c>
      <c r="D18" s="180">
        <v>1.8188976377952757</v>
      </c>
      <c r="E18" s="180">
        <v>1.0118110236220472</v>
      </c>
      <c r="F18" s="180">
        <v>1.3740157480314958</v>
      </c>
      <c r="G18" s="180">
        <v>1.6771653543307086</v>
      </c>
      <c r="H18" s="180">
        <v>1.3937007874015748</v>
      </c>
      <c r="I18" s="180">
        <v>1.4645669291338583</v>
      </c>
      <c r="J18" s="180">
        <v>0.61417322834645671</v>
      </c>
      <c r="K18" s="180">
        <v>0.64566929133858264</v>
      </c>
      <c r="L18" s="180">
        <v>0</v>
      </c>
      <c r="M18" s="180">
        <v>0.60236220472440938</v>
      </c>
      <c r="N18" s="180">
        <v>0.44881889763779531</v>
      </c>
      <c r="O18" s="180">
        <v>0.66535433070866146</v>
      </c>
      <c r="P18" s="180">
        <v>1.1614173228346456</v>
      </c>
      <c r="Q18" s="180">
        <v>0.99606299212598426</v>
      </c>
      <c r="R18" s="180">
        <v>0.73622047244094491</v>
      </c>
      <c r="S18" s="180">
        <v>0.59055118110236215</v>
      </c>
      <c r="T18" s="180">
        <v>0.8031496062992125</v>
      </c>
      <c r="U18" s="180">
        <v>0.90944881889763785</v>
      </c>
      <c r="V18" s="180">
        <v>1.0905511811023623</v>
      </c>
      <c r="W18" s="180">
        <v>1.1496062992125984</v>
      </c>
      <c r="X18" s="180">
        <v>0.98425196850393704</v>
      </c>
      <c r="Y18" s="180">
        <v>0.41732283464566927</v>
      </c>
      <c r="Z18" s="180">
        <v>0.58661417322834641</v>
      </c>
      <c r="AA18" s="180">
        <v>0.85433070866141736</v>
      </c>
      <c r="AB18" s="180">
        <v>0.5275590551181103</v>
      </c>
    </row>
    <row r="19" spans="1:28">
      <c r="A19" s="136" t="s">
        <v>124</v>
      </c>
      <c r="B19" s="180">
        <v>1</v>
      </c>
      <c r="C19" s="180">
        <v>1.9230769230769229</v>
      </c>
      <c r="D19" s="180">
        <v>1.3979289940828401</v>
      </c>
      <c r="E19" s="180">
        <v>1.1198224852071006</v>
      </c>
      <c r="F19" s="180">
        <v>1.4792899408284024</v>
      </c>
      <c r="G19" s="180">
        <v>0.92751479289940819</v>
      </c>
      <c r="H19" s="180">
        <v>0.51331360946745552</v>
      </c>
      <c r="I19" s="180">
        <v>0.82396449704142016</v>
      </c>
      <c r="J19" s="180">
        <v>0.18343195266272189</v>
      </c>
      <c r="K19" s="180">
        <v>0.2100591715976331</v>
      </c>
      <c r="L19" s="180">
        <v>0.47337278106508873</v>
      </c>
      <c r="M19" s="180">
        <v>8.8609467455621291E-3</v>
      </c>
      <c r="N19" s="180">
        <v>0.35798816568047331</v>
      </c>
      <c r="O19" s="180">
        <v>0.32396449704142011</v>
      </c>
      <c r="P19" s="180">
        <v>0.22485207100591714</v>
      </c>
      <c r="Q19" s="180">
        <v>0.38461538461538458</v>
      </c>
      <c r="R19" s="180">
        <v>1.3816568047337279</v>
      </c>
      <c r="S19" s="180">
        <v>0.65532544378698221</v>
      </c>
      <c r="T19" s="180">
        <v>0.80473372781065089</v>
      </c>
      <c r="U19" s="180">
        <v>0.74260355029585789</v>
      </c>
      <c r="V19" s="180">
        <v>0.68934911242603547</v>
      </c>
      <c r="W19" s="180">
        <v>0.57544378698224852</v>
      </c>
      <c r="X19" s="180">
        <v>0.32396449704142011</v>
      </c>
      <c r="Y19" s="180">
        <v>0.93934911242603547</v>
      </c>
      <c r="Z19" s="180">
        <v>0.50443786982248517</v>
      </c>
      <c r="AA19" s="180">
        <v>1.1893491124260356</v>
      </c>
      <c r="AB19" s="180">
        <v>1.7455621301775146</v>
      </c>
    </row>
    <row r="20" spans="1:28">
      <c r="A20" s="136" t="s">
        <v>125</v>
      </c>
      <c r="B20" s="180">
        <v>1</v>
      </c>
      <c r="C20" s="180">
        <v>1.5217391304347825</v>
      </c>
      <c r="D20" s="180">
        <v>1.8944099378881987</v>
      </c>
      <c r="E20" s="180">
        <v>1.6459627329192548</v>
      </c>
      <c r="F20" s="180">
        <v>1.18944099378882</v>
      </c>
      <c r="G20" s="180">
        <v>2.0714285714285716</v>
      </c>
      <c r="H20" s="180">
        <v>0.75155279503105588</v>
      </c>
      <c r="I20" s="180">
        <v>1.0527950310559007</v>
      </c>
      <c r="J20" s="180">
        <v>0.81366459627329191</v>
      </c>
      <c r="K20" s="180">
        <v>1.0496894409937889</v>
      </c>
      <c r="L20" s="180">
        <v>0.50310559006211175</v>
      </c>
      <c r="M20" s="180">
        <v>0.53416149068322971</v>
      </c>
      <c r="N20" s="180">
        <v>1.3819875776397515E-2</v>
      </c>
      <c r="O20" s="180">
        <v>1.0652173913043479</v>
      </c>
      <c r="P20" s="180">
        <v>0.85714285714285721</v>
      </c>
      <c r="Q20" s="180">
        <v>1.0652173913043479</v>
      </c>
      <c r="R20" s="180">
        <v>0.47826086956521735</v>
      </c>
      <c r="S20" s="180">
        <v>0.69254658385093171</v>
      </c>
      <c r="T20" s="180">
        <v>0.73602484472049678</v>
      </c>
      <c r="U20" s="180">
        <v>1.170807453416149</v>
      </c>
      <c r="V20" s="180">
        <v>0.69565217391304346</v>
      </c>
      <c r="W20" s="180">
        <v>1.2329192546583851</v>
      </c>
      <c r="X20" s="180">
        <v>1.0031055900621118</v>
      </c>
      <c r="Y20" s="180">
        <v>0.43167701863354041</v>
      </c>
      <c r="Z20" s="180">
        <v>0.34782608695652173</v>
      </c>
      <c r="AA20" s="180">
        <v>0.19316770186335402</v>
      </c>
      <c r="AB20" s="180">
        <v>0.31366459627329196</v>
      </c>
    </row>
    <row r="21" spans="1:28">
      <c r="A21" s="136" t="s">
        <v>126</v>
      </c>
      <c r="B21" s="180">
        <v>1</v>
      </c>
      <c r="C21" s="180">
        <v>1.8741808650065528</v>
      </c>
      <c r="D21" s="180">
        <v>2.1625163826998688</v>
      </c>
      <c r="E21" s="180">
        <v>1.4547837483617299</v>
      </c>
      <c r="F21" s="180">
        <v>1.3892529488859762</v>
      </c>
      <c r="G21" s="180">
        <v>1.349934469200524</v>
      </c>
      <c r="H21" s="180">
        <v>1.9921363040629094</v>
      </c>
      <c r="I21" s="180">
        <v>2.3328964613368282</v>
      </c>
      <c r="J21" s="180">
        <v>1.0144167758846656</v>
      </c>
      <c r="K21" s="180">
        <v>0.8741808650065529</v>
      </c>
      <c r="L21" s="180">
        <v>0.54259501965923984</v>
      </c>
      <c r="M21" s="180">
        <v>0.50196592398427253</v>
      </c>
      <c r="N21" s="180">
        <v>0.5307994757536042</v>
      </c>
      <c r="O21" s="180">
        <v>0</v>
      </c>
      <c r="P21" s="180">
        <v>2.5950196592398425</v>
      </c>
      <c r="Q21" s="180">
        <v>0.94888597640891215</v>
      </c>
      <c r="R21" s="180">
        <v>1.2162516382699866</v>
      </c>
      <c r="S21" s="180">
        <v>0.80865006553079932</v>
      </c>
      <c r="T21" s="180">
        <v>1.3368283093053732</v>
      </c>
      <c r="U21" s="180">
        <v>0.98951507208387934</v>
      </c>
      <c r="V21" s="180">
        <v>0.84927916120576663</v>
      </c>
      <c r="W21" s="180">
        <v>1.0104849279161205</v>
      </c>
      <c r="X21" s="180">
        <v>0.70511140235910874</v>
      </c>
      <c r="Y21" s="180">
        <v>0</v>
      </c>
      <c r="Z21" s="180">
        <v>0</v>
      </c>
      <c r="AA21" s="180">
        <v>0</v>
      </c>
      <c r="AB21" s="180">
        <v>0</v>
      </c>
    </row>
    <row r="22" spans="1:28">
      <c r="A22" s="136" t="s">
        <v>127</v>
      </c>
      <c r="B22" s="180">
        <v>1</v>
      </c>
      <c r="C22" s="180">
        <v>0.84868421052631582</v>
      </c>
      <c r="D22" s="180">
        <v>0.96710526315789469</v>
      </c>
      <c r="E22" s="180">
        <v>1.0657894736842106</v>
      </c>
      <c r="F22" s="180">
        <v>2.2500000000000004</v>
      </c>
      <c r="G22" s="180">
        <v>1.4539473684210527</v>
      </c>
      <c r="H22" s="180">
        <v>1.013157894736842</v>
      </c>
      <c r="I22" s="180">
        <v>1.25</v>
      </c>
      <c r="J22" s="180">
        <v>0.52368421052631586</v>
      </c>
      <c r="K22" s="180">
        <v>0.45592105263157895</v>
      </c>
      <c r="L22" s="180">
        <v>0.57631578947368423</v>
      </c>
      <c r="M22" s="180">
        <v>0.63223684210526321</v>
      </c>
      <c r="N22" s="180">
        <v>0.57894736842105265</v>
      </c>
      <c r="O22" s="180">
        <v>0.57565789473684204</v>
      </c>
      <c r="P22" s="180">
        <v>0.11118421052631579</v>
      </c>
      <c r="Q22" s="180">
        <v>0.70394736842105265</v>
      </c>
      <c r="R22" s="180">
        <v>0.62763157894736843</v>
      </c>
      <c r="S22" s="180">
        <v>0.67105263157894735</v>
      </c>
      <c r="T22" s="180">
        <v>0.65526315789473677</v>
      </c>
      <c r="U22" s="180">
        <v>0.87500000000000011</v>
      </c>
      <c r="V22" s="180">
        <v>0.80921052631578949</v>
      </c>
      <c r="W22" s="180">
        <v>0.86184210526315796</v>
      </c>
      <c r="X22" s="180">
        <v>0.82236842105263164</v>
      </c>
      <c r="Y22" s="180">
        <v>0.69078947368421051</v>
      </c>
      <c r="Z22" s="180">
        <v>0.23355263157894735</v>
      </c>
      <c r="AA22" s="180">
        <v>0.22500000000000001</v>
      </c>
      <c r="AB22" s="180">
        <v>0.21644736842105264</v>
      </c>
    </row>
    <row r="23" spans="1:28">
      <c r="A23" s="136" t="s">
        <v>128</v>
      </c>
      <c r="B23" s="180">
        <v>1</v>
      </c>
      <c r="C23" s="180">
        <v>1.3106508875739644</v>
      </c>
      <c r="D23" s="180">
        <v>2.6094674556213016</v>
      </c>
      <c r="E23" s="180">
        <v>2.4142011834319526</v>
      </c>
      <c r="F23" s="180">
        <v>2.6153846153846154</v>
      </c>
      <c r="G23" s="180">
        <v>2.0443786982248517</v>
      </c>
      <c r="H23" s="180">
        <v>0.94082840236686383</v>
      </c>
      <c r="I23" s="180">
        <v>1.4201183431952662</v>
      </c>
      <c r="J23" s="180">
        <v>1.2455621301775146</v>
      </c>
      <c r="K23" s="180">
        <v>1.1923076923076923</v>
      </c>
      <c r="L23" s="180">
        <v>0.29585798816568049</v>
      </c>
      <c r="M23" s="180">
        <v>0.26390532544378698</v>
      </c>
      <c r="N23" s="180">
        <v>0.22307692307692303</v>
      </c>
      <c r="O23" s="180">
        <v>0.97041420118343191</v>
      </c>
      <c r="P23" s="180">
        <v>0.96153846153846145</v>
      </c>
      <c r="Q23" s="180">
        <v>0</v>
      </c>
      <c r="R23" s="180">
        <v>0.77810650887573962</v>
      </c>
      <c r="S23" s="180">
        <v>0.23431952662721894</v>
      </c>
      <c r="T23" s="180">
        <v>0.32544378698224852</v>
      </c>
      <c r="U23" s="180">
        <v>0.34023668639053256</v>
      </c>
      <c r="V23" s="180">
        <v>0.39349112426035504</v>
      </c>
      <c r="W23" s="180">
        <v>0.37278106508875736</v>
      </c>
      <c r="X23" s="180">
        <v>0.31065088757396447</v>
      </c>
      <c r="Y23" s="180">
        <v>0.57988165680473369</v>
      </c>
      <c r="Z23" s="180">
        <v>0</v>
      </c>
      <c r="AA23" s="180">
        <v>1.7189349112426033</v>
      </c>
      <c r="AB23" s="180">
        <v>1.9970414201183433</v>
      </c>
    </row>
    <row r="24" spans="1:28">
      <c r="A24" s="136" t="s">
        <v>129</v>
      </c>
      <c r="B24" s="180">
        <v>1</v>
      </c>
      <c r="C24" s="180">
        <v>1.1345381526104419</v>
      </c>
      <c r="D24" s="180">
        <v>1.4558232931726907</v>
      </c>
      <c r="E24" s="180">
        <v>0.91164658634538165</v>
      </c>
      <c r="F24" s="180">
        <v>1.8674698795180724</v>
      </c>
      <c r="G24" s="180">
        <v>1.0140562248995986</v>
      </c>
      <c r="H24" s="180">
        <v>0.4668674698795181</v>
      </c>
      <c r="I24" s="180">
        <v>1.2951807228915664</v>
      </c>
      <c r="J24" s="180">
        <v>1.2349397590361446</v>
      </c>
      <c r="K24" s="180">
        <v>0.86546184738955823</v>
      </c>
      <c r="L24" s="180">
        <v>0.50100401606425704</v>
      </c>
      <c r="M24" s="180">
        <v>0.45883534136546184</v>
      </c>
      <c r="N24" s="180">
        <v>0.43072289156626509</v>
      </c>
      <c r="O24" s="180">
        <v>1.214859437751004</v>
      </c>
      <c r="P24" s="180">
        <v>0.38554216867469876</v>
      </c>
      <c r="Q24" s="180">
        <v>0.72489959839357432</v>
      </c>
      <c r="R24" s="180">
        <v>5.4016064257028117E-2</v>
      </c>
      <c r="S24" s="180">
        <v>0.55823293172690758</v>
      </c>
      <c r="T24" s="180">
        <v>0.72891566265060248</v>
      </c>
      <c r="U24" s="180">
        <v>0.64457831325301207</v>
      </c>
      <c r="V24" s="180">
        <v>0.88855421686746994</v>
      </c>
      <c r="W24" s="180">
        <v>0.85642570281124508</v>
      </c>
      <c r="X24" s="180">
        <v>0.70883534136546189</v>
      </c>
      <c r="Y24" s="180">
        <v>0.31827309236947793</v>
      </c>
      <c r="Z24" s="180">
        <v>0.11947791164658636</v>
      </c>
      <c r="AA24" s="180">
        <v>0.42269076305220887</v>
      </c>
      <c r="AB24" s="180">
        <v>0.3875502008032129</v>
      </c>
    </row>
    <row r="25" spans="1:28">
      <c r="A25" s="136" t="s">
        <v>130</v>
      </c>
      <c r="B25" s="180">
        <v>1</v>
      </c>
      <c r="C25" s="180">
        <v>2</v>
      </c>
      <c r="D25" s="180">
        <v>1.0033057851239668</v>
      </c>
      <c r="E25" s="180">
        <v>0.75206611570247939</v>
      </c>
      <c r="F25" s="180">
        <v>1.2710743801652893</v>
      </c>
      <c r="G25" s="180">
        <v>1.8181818181818183</v>
      </c>
      <c r="H25" s="180">
        <v>1.7851239669421488</v>
      </c>
      <c r="I25" s="180">
        <v>1.0314049586776859</v>
      </c>
      <c r="J25" s="180">
        <v>0.10743801652892562</v>
      </c>
      <c r="K25" s="180">
        <v>0.14545454545454548</v>
      </c>
      <c r="L25" s="180">
        <v>0.39669421487603307</v>
      </c>
      <c r="M25" s="180">
        <v>0.28429752066115704</v>
      </c>
      <c r="N25" s="180">
        <v>0.32066115702479342</v>
      </c>
      <c r="O25" s="180">
        <v>0.3322314049586777</v>
      </c>
      <c r="P25" s="180">
        <v>2.1983471074380168</v>
      </c>
      <c r="Q25" s="180">
        <v>0.38016528925619836</v>
      </c>
      <c r="R25" s="180">
        <v>1.0148760330578512</v>
      </c>
      <c r="S25" s="180">
        <v>0</v>
      </c>
      <c r="T25" s="180">
        <v>0.60991735537190084</v>
      </c>
      <c r="U25" s="180">
        <v>0.64132231404958684</v>
      </c>
      <c r="V25" s="180">
        <v>0.40661157024793393</v>
      </c>
      <c r="W25" s="180">
        <v>0.44297520661157025</v>
      </c>
      <c r="X25" s="180">
        <v>0.29917355371900828</v>
      </c>
      <c r="Y25" s="180">
        <v>0.61487603305785121</v>
      </c>
      <c r="Z25" s="180">
        <v>0.3570247933884298</v>
      </c>
      <c r="AA25" s="180">
        <v>0.84297520661157022</v>
      </c>
      <c r="AB25" s="180">
        <v>0.62479338842975207</v>
      </c>
    </row>
    <row r="26" spans="1:28">
      <c r="A26" s="136" t="s">
        <v>131</v>
      </c>
      <c r="B26" s="178">
        <v>1</v>
      </c>
      <c r="C26" s="178">
        <v>1.2260869565217392</v>
      </c>
      <c r="D26" s="178">
        <v>0.72608695652173916</v>
      </c>
      <c r="E26" s="178">
        <v>1.1391304347826088</v>
      </c>
      <c r="F26" s="178">
        <v>4.2434782608695656</v>
      </c>
      <c r="G26" s="178">
        <v>0.99130434782608701</v>
      </c>
      <c r="H26" s="178">
        <v>2.2782608695652176</v>
      </c>
      <c r="I26" s="178">
        <v>0.731304347826087</v>
      </c>
      <c r="J26" s="178">
        <v>1.2434782608695651</v>
      </c>
      <c r="K26" s="178">
        <v>0.70434782608695656</v>
      </c>
      <c r="L26" s="178">
        <v>0.6878260869565217</v>
      </c>
      <c r="M26" s="178">
        <v>0.99130434782608701</v>
      </c>
      <c r="N26" s="178">
        <v>0.85913043478260864</v>
      </c>
      <c r="O26" s="178">
        <v>0.95652173913043481</v>
      </c>
      <c r="P26" s="178">
        <v>1.3130434782608695</v>
      </c>
      <c r="Q26" s="178">
        <v>1.0695652173913044</v>
      </c>
      <c r="R26" s="178">
        <v>1.6608695652173913</v>
      </c>
      <c r="S26" s="178">
        <v>157.39130434782609</v>
      </c>
      <c r="T26" s="178">
        <v>0.10956521739130434</v>
      </c>
      <c r="U26" s="178">
        <v>0.62</v>
      </c>
      <c r="V26" s="178">
        <v>0.81739130434782614</v>
      </c>
      <c r="W26" s="178">
        <v>0.90434782608695652</v>
      </c>
      <c r="X26" s="178">
        <v>1.4869565217391305</v>
      </c>
      <c r="Y26" s="179">
        <v>0.71304347826086956</v>
      </c>
      <c r="Z26" s="178">
        <v>1.6521739130434783</v>
      </c>
      <c r="AA26" s="178">
        <v>0.82260869565217387</v>
      </c>
      <c r="AB26" s="178">
        <v>0.45826086956521739</v>
      </c>
    </row>
    <row r="27" spans="1:28">
      <c r="A27" s="136" t="s">
        <v>132</v>
      </c>
      <c r="B27" s="180">
        <v>1</v>
      </c>
      <c r="C27" s="180">
        <v>2.2984693877551021</v>
      </c>
      <c r="D27" s="180">
        <v>0.83418367346938771</v>
      </c>
      <c r="E27" s="180">
        <v>1.2346938775510203</v>
      </c>
      <c r="F27" s="180">
        <v>1.5994897959183674</v>
      </c>
      <c r="G27" s="180">
        <v>1.5918367346938775</v>
      </c>
      <c r="H27" s="180">
        <v>0.34183673469387754</v>
      </c>
      <c r="I27" s="180">
        <v>1.2091836734693877</v>
      </c>
      <c r="J27" s="180">
        <v>0.40306122448979592</v>
      </c>
      <c r="K27" s="180">
        <v>0.7270408163265305</v>
      </c>
      <c r="L27" s="180">
        <v>0.4285714285714286</v>
      </c>
      <c r="M27" s="180">
        <v>0.53316326530612246</v>
      </c>
      <c r="N27" s="180">
        <v>0.3724489795918367</v>
      </c>
      <c r="O27" s="180">
        <v>0.45663265306122447</v>
      </c>
      <c r="P27" s="180">
        <v>0.81632653061224492</v>
      </c>
      <c r="Q27" s="180">
        <v>0.76530612244897955</v>
      </c>
      <c r="R27" s="180">
        <v>1.0153061224489797</v>
      </c>
      <c r="S27" s="180">
        <v>0.69897959183673475</v>
      </c>
      <c r="T27" s="180">
        <v>0.92091836734693866</v>
      </c>
      <c r="U27" s="180">
        <v>0</v>
      </c>
      <c r="V27" s="180">
        <v>0.61224489795918358</v>
      </c>
      <c r="W27" s="180">
        <v>0.79591836734693877</v>
      </c>
      <c r="X27" s="180">
        <v>0.67346938775510201</v>
      </c>
      <c r="Y27" s="180">
        <v>1.5612244897959182</v>
      </c>
      <c r="Z27" s="180">
        <v>0.30612244897959179</v>
      </c>
      <c r="AA27" s="180">
        <v>0.85714285714285721</v>
      </c>
      <c r="AB27" s="180">
        <v>1.4948979591836733</v>
      </c>
    </row>
    <row r="28" spans="1:28">
      <c r="A28" s="136" t="s">
        <v>133</v>
      </c>
      <c r="B28" s="180">
        <v>1</v>
      </c>
      <c r="C28" s="180">
        <v>1.83206106870229</v>
      </c>
      <c r="D28" s="180">
        <v>7.1908396946564883</v>
      </c>
      <c r="E28" s="180">
        <v>6</v>
      </c>
      <c r="F28" s="180">
        <v>4.9312977099236637</v>
      </c>
      <c r="G28" s="180">
        <v>2.7786259541984735</v>
      </c>
      <c r="H28" s="180">
        <v>1.1801526717557251</v>
      </c>
      <c r="I28" s="180">
        <v>1.6641221374045803</v>
      </c>
      <c r="J28" s="180">
        <v>1.4351145038167938</v>
      </c>
      <c r="K28" s="180">
        <v>1.1557251908396946</v>
      </c>
      <c r="L28" s="180">
        <v>0.83206106870229013</v>
      </c>
      <c r="M28" s="180">
        <v>0.98015267175572518</v>
      </c>
      <c r="N28" s="180">
        <v>0.75877862595419843</v>
      </c>
      <c r="O28" s="180">
        <v>1.4122137404580153</v>
      </c>
      <c r="P28" s="180">
        <v>0.60458015267175569</v>
      </c>
      <c r="Q28" s="180">
        <v>1.0351145038167939</v>
      </c>
      <c r="R28" s="180">
        <v>0.96793893129770991</v>
      </c>
      <c r="S28" s="180">
        <v>0.99541984732824429</v>
      </c>
      <c r="T28" s="180">
        <v>1.0320610687022902</v>
      </c>
      <c r="U28" s="180">
        <v>1.5022900763358777</v>
      </c>
      <c r="V28" s="180">
        <v>0</v>
      </c>
      <c r="W28" s="180">
        <v>2.3816793893129771</v>
      </c>
      <c r="X28" s="180">
        <v>1.0137404580152671</v>
      </c>
      <c r="Y28" s="180">
        <v>0.59236641221374042</v>
      </c>
      <c r="Z28" s="180">
        <v>0.416793893129771</v>
      </c>
      <c r="AA28" s="180">
        <v>0.50229007633587786</v>
      </c>
      <c r="AB28" s="180">
        <v>0.6977099236641221</v>
      </c>
    </row>
    <row r="29" spans="1:28">
      <c r="A29" s="136" t="s">
        <v>134</v>
      </c>
      <c r="B29" s="180">
        <v>1</v>
      </c>
      <c r="C29" s="180">
        <v>1.1742424242424241</v>
      </c>
      <c r="D29" s="180">
        <v>1.3712121212121211</v>
      </c>
      <c r="E29" s="180">
        <v>1.4242424242424241</v>
      </c>
      <c r="F29" s="180">
        <v>1.1590909090909089</v>
      </c>
      <c r="G29" s="180">
        <v>1.0757575757575757</v>
      </c>
      <c r="H29" s="180">
        <v>2.1969696969696968</v>
      </c>
      <c r="I29" s="180">
        <v>2.2613636363636362</v>
      </c>
      <c r="J29" s="180">
        <v>0.94696969696969691</v>
      </c>
      <c r="K29" s="180">
        <v>0.57575757575757569</v>
      </c>
      <c r="L29" s="180">
        <v>0.56439393939393934</v>
      </c>
      <c r="M29" s="180">
        <v>0.56439393939393934</v>
      </c>
      <c r="N29" s="180">
        <v>0.59090909090909083</v>
      </c>
      <c r="O29" s="180">
        <v>0.86742424242424243</v>
      </c>
      <c r="P29" s="180">
        <v>1.9962121212121211</v>
      </c>
      <c r="Q29" s="180">
        <v>1.1439393939393938</v>
      </c>
      <c r="R29" s="180">
        <v>1.9431818181818181</v>
      </c>
      <c r="S29" s="180">
        <v>1.3030303030303028</v>
      </c>
      <c r="T29" s="180">
        <v>1.1401515151515151</v>
      </c>
      <c r="U29" s="180">
        <v>1.2007575757575757</v>
      </c>
      <c r="V29" s="180">
        <v>0.83333333333333326</v>
      </c>
      <c r="W29" s="180">
        <v>0</v>
      </c>
      <c r="X29" s="180">
        <v>0.88636363636363635</v>
      </c>
      <c r="Y29" s="180">
        <v>0.37803030303030299</v>
      </c>
      <c r="Z29" s="180">
        <v>0.55681818181818177</v>
      </c>
      <c r="AA29" s="180">
        <v>0.73106060606060608</v>
      </c>
      <c r="AB29" s="180">
        <v>1.3143939393939392</v>
      </c>
    </row>
    <row r="30" spans="1:28">
      <c r="A30" s="136" t="s">
        <v>135</v>
      </c>
      <c r="B30" s="180">
        <v>1</v>
      </c>
      <c r="C30" s="180">
        <v>1.3857566765578635</v>
      </c>
      <c r="D30" s="180">
        <v>1.6884272997032639</v>
      </c>
      <c r="E30" s="180">
        <v>1.2195845697329375</v>
      </c>
      <c r="F30" s="180">
        <v>1.1364985163204748</v>
      </c>
      <c r="G30" s="180">
        <v>1.433234421364985</v>
      </c>
      <c r="H30" s="180">
        <v>1.5875370919881306</v>
      </c>
      <c r="I30" s="180">
        <v>2.0356083086053411</v>
      </c>
      <c r="J30" s="180">
        <v>0.63204747774480707</v>
      </c>
      <c r="K30" s="180">
        <v>0.65875370919881304</v>
      </c>
      <c r="L30" s="180">
        <v>0.40949554896142432</v>
      </c>
      <c r="M30" s="180">
        <v>0.4213649851632047</v>
      </c>
      <c r="N30" s="180">
        <v>0.41543026706231456</v>
      </c>
      <c r="O30" s="180">
        <v>0.7596439169139465</v>
      </c>
      <c r="P30" s="180">
        <v>1.5548961424332344</v>
      </c>
      <c r="Q30" s="180">
        <v>0.63501483679525217</v>
      </c>
      <c r="R30" s="180">
        <v>1.4540059347181007</v>
      </c>
      <c r="S30" s="180">
        <v>0.6083086053412462</v>
      </c>
      <c r="T30" s="180">
        <v>0.89317507418397613</v>
      </c>
      <c r="U30" s="180">
        <v>0.66765578635014833</v>
      </c>
      <c r="V30" s="180">
        <v>0.5341246290801186</v>
      </c>
      <c r="W30" s="180">
        <v>0.59050445103857563</v>
      </c>
      <c r="X30" s="180">
        <v>2.0682492581602371E-2</v>
      </c>
      <c r="Y30" s="180">
        <v>0.72700296735905034</v>
      </c>
      <c r="Z30" s="180">
        <v>1.0830860534124629</v>
      </c>
      <c r="AA30" s="180">
        <v>1.8516320474777448</v>
      </c>
      <c r="AB30" s="180">
        <v>1.9406528189910979</v>
      </c>
    </row>
    <row r="31" spans="1:28">
      <c r="A31" s="136" t="s">
        <v>157</v>
      </c>
      <c r="B31" s="178">
        <v>1</v>
      </c>
      <c r="C31" s="178">
        <v>0.56510067114093965</v>
      </c>
      <c r="D31" s="178">
        <v>0.58322147651006706</v>
      </c>
      <c r="E31" s="178">
        <v>2.0604026845637584</v>
      </c>
      <c r="F31" s="178">
        <v>1.0201342281879195</v>
      </c>
      <c r="G31" s="178">
        <v>0.46375838926174495</v>
      </c>
      <c r="H31" s="178">
        <v>0.50872483221476505</v>
      </c>
      <c r="I31" s="178">
        <v>0.6476510067114094</v>
      </c>
      <c r="J31" s="178">
        <v>0.52281879194630876</v>
      </c>
      <c r="K31" s="178">
        <v>0.54765100671140943</v>
      </c>
      <c r="L31" s="178">
        <v>0.5449664429530201</v>
      </c>
      <c r="M31" s="178">
        <v>0.61342281879194627</v>
      </c>
      <c r="N31" s="178">
        <v>0.65503355704697985</v>
      </c>
      <c r="O31" s="178">
        <v>1.9395973154362416</v>
      </c>
      <c r="P31" s="178">
        <v>4.6577181208053693</v>
      </c>
      <c r="Q31" s="178">
        <v>2.9932885906040267</v>
      </c>
      <c r="R31" s="178">
        <v>0.24093959731543624</v>
      </c>
      <c r="S31" s="178">
        <v>0.79194630872483218</v>
      </c>
      <c r="T31" s="178">
        <v>0.66644295302013423</v>
      </c>
      <c r="U31" s="178">
        <v>0.33959731543624161</v>
      </c>
      <c r="V31" s="178">
        <v>0.70469798657718119</v>
      </c>
      <c r="W31" s="178">
        <v>0.58657718120805369</v>
      </c>
      <c r="X31" s="178">
        <v>0.62214765100671143</v>
      </c>
      <c r="Y31" s="179">
        <v>0.39798657718120806</v>
      </c>
      <c r="Z31" s="178">
        <v>0.93288590604026844</v>
      </c>
      <c r="AA31" s="178">
        <v>2.0335570469798658</v>
      </c>
      <c r="AB31" s="178">
        <v>2.3624161073825505</v>
      </c>
    </row>
    <row r="32" spans="1:28">
      <c r="A32" s="136" t="s">
        <v>156</v>
      </c>
      <c r="B32" s="180">
        <v>1</v>
      </c>
      <c r="C32" s="180">
        <v>1.8123076923076922</v>
      </c>
      <c r="D32" s="180">
        <v>2.36</v>
      </c>
      <c r="E32" s="180">
        <v>2.0615384615384618</v>
      </c>
      <c r="F32" s="180">
        <v>1.7076923076923078</v>
      </c>
      <c r="G32" s="180">
        <v>1.9261538461538461</v>
      </c>
      <c r="H32" s="180">
        <v>1.3815384615384616</v>
      </c>
      <c r="I32" s="180">
        <v>1.5476923076923077</v>
      </c>
      <c r="J32" s="180">
        <v>1.1415384615384614</v>
      </c>
      <c r="K32" s="180">
        <v>1.0615384615384613</v>
      </c>
      <c r="L32" s="180">
        <v>0.33538461538461539</v>
      </c>
      <c r="M32" s="180">
        <v>0.44615384615384612</v>
      </c>
      <c r="N32" s="180">
        <v>0.36307692307692302</v>
      </c>
      <c r="O32" s="180">
        <v>1.1138461538461537</v>
      </c>
      <c r="P32" s="180">
        <v>1.3661538461538461</v>
      </c>
      <c r="Q32" s="180">
        <v>1.7353846153846151</v>
      </c>
      <c r="R32" s="180">
        <v>4.5846153846153843</v>
      </c>
      <c r="S32" s="180">
        <v>0.55999999999999994</v>
      </c>
      <c r="T32" s="180">
        <v>0.79384615384615387</v>
      </c>
      <c r="U32" s="180">
        <v>0.86461538461538467</v>
      </c>
      <c r="V32" s="180">
        <v>1.3630769230769231</v>
      </c>
      <c r="W32" s="180">
        <v>1.3076923076923077</v>
      </c>
      <c r="X32" s="180">
        <v>1.3138461538461537</v>
      </c>
      <c r="Y32" s="180">
        <v>0.77230769230769225</v>
      </c>
      <c r="Z32" s="180">
        <v>0.39076923076923076</v>
      </c>
      <c r="AA32" s="180">
        <v>0.89538461538461533</v>
      </c>
      <c r="AB32" s="180">
        <v>0.75076923076923074</v>
      </c>
    </row>
    <row r="33" spans="1:28">
      <c r="A33" s="136" t="s">
        <v>158</v>
      </c>
      <c r="B33" s="178">
        <v>1</v>
      </c>
      <c r="C33" s="178">
        <v>0.93243243243243246</v>
      </c>
      <c r="D33" s="178">
        <v>0.91216216216216217</v>
      </c>
      <c r="E33" s="178">
        <v>0.54054054054054057</v>
      </c>
      <c r="F33" s="178">
        <v>1.1722972972972974</v>
      </c>
      <c r="G33" s="178">
        <v>0.96959459459459463</v>
      </c>
      <c r="H33" s="178">
        <v>0.82770270270270274</v>
      </c>
      <c r="I33" s="178">
        <v>0.8682432432432432</v>
      </c>
      <c r="J33" s="178">
        <v>1.0337837837837838</v>
      </c>
      <c r="K33" s="178">
        <v>0.95608108108108103</v>
      </c>
      <c r="L33" s="178">
        <v>0.875</v>
      </c>
      <c r="M33" s="178">
        <v>0.84121621621621623</v>
      </c>
      <c r="N33" s="178">
        <v>0.94256756756756754</v>
      </c>
      <c r="O33" s="178">
        <v>1.0675675675675675</v>
      </c>
      <c r="P33" s="178">
        <v>0.85810810810810811</v>
      </c>
      <c r="Q33" s="178">
        <v>0.875</v>
      </c>
      <c r="R33" s="178">
        <v>2.2398648648648649</v>
      </c>
      <c r="S33" s="178">
        <v>1.1452702702702702</v>
      </c>
      <c r="T33" s="178">
        <v>0.93581081081081086</v>
      </c>
      <c r="U33" s="178">
        <v>0.85810810810810811</v>
      </c>
      <c r="V33" s="178">
        <v>0.89527027027027029</v>
      </c>
      <c r="W33" s="178">
        <v>0.91554054054054057</v>
      </c>
      <c r="X33" s="178">
        <v>0.91216216216216217</v>
      </c>
      <c r="Y33" s="179">
        <v>1.2635135135135136</v>
      </c>
      <c r="Z33" s="178">
        <v>0.76013513513513509</v>
      </c>
      <c r="AA33" s="178">
        <v>0.69932432432432434</v>
      </c>
      <c r="AB33" s="178">
        <v>0.56756756756756754</v>
      </c>
    </row>
    <row r="34" spans="1:28">
      <c r="A34" s="136" t="s">
        <v>159</v>
      </c>
      <c r="B34" s="180">
        <v>1</v>
      </c>
      <c r="C34" s="180">
        <v>1.1037735849056602</v>
      </c>
      <c r="D34" s="180">
        <v>1.5235849056603772</v>
      </c>
      <c r="E34" s="180">
        <v>1.2075471698113207</v>
      </c>
      <c r="F34" s="180">
        <v>1.3301886792452828</v>
      </c>
      <c r="G34" s="180">
        <v>1.1556603773584906</v>
      </c>
      <c r="H34" s="180">
        <v>0.47641509433962265</v>
      </c>
      <c r="I34" s="180">
        <v>0.61792452830188682</v>
      </c>
      <c r="J34" s="180">
        <v>0.80188679245283012</v>
      </c>
      <c r="K34" s="180">
        <v>0.79716981132075471</v>
      </c>
      <c r="L34" s="180">
        <v>0.64150943396226412</v>
      </c>
      <c r="M34" s="180">
        <v>0.78301886792452824</v>
      </c>
      <c r="N34" s="180">
        <v>0.80660377358490565</v>
      </c>
      <c r="O34" s="180">
        <v>0.66981132075471694</v>
      </c>
      <c r="P34" s="180">
        <v>0.43679245283018869</v>
      </c>
      <c r="Q34" s="180">
        <v>1.1367924528301887</v>
      </c>
      <c r="R34" s="180">
        <v>0.76886792452830177</v>
      </c>
      <c r="S34" s="180">
        <v>0.86792452830188682</v>
      </c>
      <c r="T34" s="180">
        <v>1.1792452830188678</v>
      </c>
      <c r="U34" s="180">
        <v>1.3490566037735847</v>
      </c>
      <c r="V34" s="180">
        <v>1.1509433962264151</v>
      </c>
      <c r="W34" s="180">
        <v>1.2075471698113207</v>
      </c>
      <c r="X34" s="180">
        <v>1.0283018867924529</v>
      </c>
      <c r="Y34" s="180">
        <v>1.1981132075471699</v>
      </c>
      <c r="Z34" s="180">
        <v>0.63207547169811318</v>
      </c>
      <c r="AA34" s="180">
        <v>1.5990566037735849</v>
      </c>
      <c r="AB34" s="180">
        <v>1.2405660377358489</v>
      </c>
    </row>
    <row r="35" spans="1:28">
      <c r="A35" s="136" t="s">
        <v>160</v>
      </c>
      <c r="B35" s="180">
        <v>1</v>
      </c>
      <c r="C35" s="180">
        <v>1.3125904486251809</v>
      </c>
      <c r="D35" s="180">
        <v>1.5629522431259046</v>
      </c>
      <c r="E35" s="180">
        <v>1.2865412445730826</v>
      </c>
      <c r="F35" s="180">
        <v>1.6931982633863965</v>
      </c>
      <c r="G35" s="180">
        <v>1.7076700434153402</v>
      </c>
      <c r="H35" s="180">
        <v>0.7525325615050652</v>
      </c>
      <c r="I35" s="180">
        <v>0.94934876989869765</v>
      </c>
      <c r="J35" s="180">
        <v>1.2054992764109986</v>
      </c>
      <c r="K35" s="180">
        <v>1.0824891461649784</v>
      </c>
      <c r="L35" s="180">
        <v>0.85383502170767012</v>
      </c>
      <c r="M35" s="180">
        <v>0.91027496382054995</v>
      </c>
      <c r="N35" s="180">
        <v>0.91895803183791613</v>
      </c>
      <c r="O35" s="180">
        <v>1.0839363241678728</v>
      </c>
      <c r="P35" s="180">
        <v>0.72648335745296677</v>
      </c>
      <c r="Q35" s="180">
        <v>1.092619392185239</v>
      </c>
      <c r="R35" s="180">
        <v>0.87554269175108546</v>
      </c>
      <c r="S35" s="180">
        <v>0.85238784370477572</v>
      </c>
      <c r="T35" s="180">
        <v>0.8986975397973952</v>
      </c>
      <c r="U35" s="180">
        <v>1.1345875542691752</v>
      </c>
      <c r="V35" s="180">
        <v>1.076700434153401</v>
      </c>
      <c r="W35" s="180">
        <v>1.1736613603473229</v>
      </c>
      <c r="X35" s="180">
        <v>1.0636758321273516</v>
      </c>
      <c r="Y35" s="180">
        <v>0.65123010130246028</v>
      </c>
      <c r="Z35" s="180">
        <v>0.76266280752532567</v>
      </c>
      <c r="AA35" s="180">
        <v>0.8914616497829233</v>
      </c>
      <c r="AB35" s="180">
        <v>1.0477568740955139</v>
      </c>
    </row>
    <row r="36" spans="1:28">
      <c r="A36" s="136" t="s">
        <v>161</v>
      </c>
      <c r="B36" s="180">
        <v>1</v>
      </c>
      <c r="C36" s="180">
        <v>1.4026845637583891</v>
      </c>
      <c r="D36" s="180">
        <v>1.1543624161073824</v>
      </c>
      <c r="E36" s="180">
        <v>1.1711409395973156</v>
      </c>
      <c r="F36" s="180">
        <v>1.2248322147651007</v>
      </c>
      <c r="G36" s="180">
        <v>1.1677852348993289</v>
      </c>
      <c r="H36" s="180">
        <v>0.56375838926174493</v>
      </c>
      <c r="I36" s="180">
        <v>0.72483221476510074</v>
      </c>
      <c r="J36" s="180">
        <v>0.48322147651006708</v>
      </c>
      <c r="K36" s="180">
        <v>1</v>
      </c>
      <c r="L36" s="180">
        <v>0.75167785234899331</v>
      </c>
      <c r="M36" s="180">
        <v>0.78523489932885904</v>
      </c>
      <c r="N36" s="180">
        <v>0.71140939597315445</v>
      </c>
      <c r="O36" s="180">
        <v>0.83557046979865779</v>
      </c>
      <c r="P36" s="180">
        <v>1.063758389261745</v>
      </c>
      <c r="Q36" s="180">
        <v>1.0402684563758389</v>
      </c>
      <c r="R36" s="180">
        <v>0.81879194630872487</v>
      </c>
      <c r="S36" s="180">
        <v>1.0033557046979866</v>
      </c>
      <c r="T36" s="180">
        <v>1.1476510067114094</v>
      </c>
      <c r="U36" s="180">
        <v>1.1208053691275168</v>
      </c>
      <c r="V36" s="180">
        <v>1.0268456375838926</v>
      </c>
      <c r="W36" s="180">
        <v>1.2785234899328859</v>
      </c>
      <c r="X36" s="180">
        <v>1.2449664429530201</v>
      </c>
      <c r="Y36" s="180">
        <v>0.83557046979865779</v>
      </c>
      <c r="Z36" s="180">
        <v>0.95302013422818788</v>
      </c>
      <c r="AA36" s="180">
        <v>0.74161073825503354</v>
      </c>
      <c r="AB36" s="180">
        <v>0.89597315436241609</v>
      </c>
    </row>
    <row r="37" spans="1:28">
      <c r="A37" s="136" t="s">
        <v>162</v>
      </c>
      <c r="B37" s="180">
        <v>1</v>
      </c>
      <c r="C37" s="180">
        <v>1.5078125</v>
      </c>
      <c r="D37" s="180">
        <v>0.7734375</v>
      </c>
      <c r="E37" s="180">
        <v>0.28046874999999999</v>
      </c>
      <c r="F37" s="180">
        <v>0.66562500000000002</v>
      </c>
      <c r="G37" s="180">
        <v>1.28125</v>
      </c>
      <c r="H37" s="180">
        <v>1.703125</v>
      </c>
      <c r="I37" s="180">
        <v>2.21875</v>
      </c>
      <c r="J37" s="180">
        <v>0.38671875</v>
      </c>
      <c r="K37" s="180">
        <v>0.43671875000000004</v>
      </c>
      <c r="L37" s="180">
        <v>0.59296875000000004</v>
      </c>
      <c r="M37" s="180">
        <v>0.58046874999999998</v>
      </c>
      <c r="N37" s="180">
        <v>0.57890624999999996</v>
      </c>
      <c r="O37" s="180">
        <v>0.54921874999999998</v>
      </c>
      <c r="P37" s="180">
        <v>1.5625</v>
      </c>
      <c r="Q37" s="180">
        <v>0.52812500000000007</v>
      </c>
      <c r="R37" s="180">
        <v>0.78125</v>
      </c>
      <c r="S37" s="180">
        <v>0.72499999999999998</v>
      </c>
      <c r="T37" s="180">
        <v>0.87500000000000011</v>
      </c>
      <c r="U37" s="180">
        <v>0.91406249999999989</v>
      </c>
      <c r="V37" s="180">
        <v>0.53125</v>
      </c>
      <c r="W37" s="180">
        <v>0.62656250000000002</v>
      </c>
      <c r="X37" s="180">
        <v>0.51406249999999998</v>
      </c>
      <c r="Y37" s="180">
        <v>0.41093750000000001</v>
      </c>
      <c r="Z37" s="180">
        <v>0.31796874999999997</v>
      </c>
      <c r="AA37" s="180">
        <v>0.16484374999999998</v>
      </c>
      <c r="AB37" s="180">
        <v>5.3281249999999995E-2</v>
      </c>
    </row>
    <row r="38" spans="1:28">
      <c r="A38" s="136" t="s">
        <v>163</v>
      </c>
      <c r="B38" s="180">
        <v>1</v>
      </c>
      <c r="C38" s="180">
        <v>1.4246323529411764</v>
      </c>
      <c r="D38" s="180">
        <v>2.5919117647058818</v>
      </c>
      <c r="E38" s="180">
        <v>3.1249999999999996</v>
      </c>
      <c r="F38" s="180">
        <v>2.7205882352941173</v>
      </c>
      <c r="G38" s="180">
        <v>1.6525735294117647</v>
      </c>
      <c r="H38" s="180">
        <v>1.21875</v>
      </c>
      <c r="I38" s="180">
        <v>1.7610294117647056</v>
      </c>
      <c r="J38" s="180">
        <v>1.2702205882352939</v>
      </c>
      <c r="K38" s="180">
        <v>1.46875</v>
      </c>
      <c r="L38" s="180">
        <v>0.67279411764705876</v>
      </c>
      <c r="M38" s="180">
        <v>0.55514705882352933</v>
      </c>
      <c r="N38" s="180">
        <v>0.63970588235294112</v>
      </c>
      <c r="O38" s="180">
        <v>1.6636029411764706</v>
      </c>
      <c r="P38" s="180">
        <v>1.1875</v>
      </c>
      <c r="Q38" s="180">
        <v>1.5735294117647058</v>
      </c>
      <c r="R38" s="180">
        <v>1.8566176470588234</v>
      </c>
      <c r="S38" s="180">
        <v>1.0698529411764703</v>
      </c>
      <c r="T38" s="180">
        <v>1.1378676470588234</v>
      </c>
      <c r="U38" s="180">
        <v>1.3143382352941175</v>
      </c>
      <c r="V38" s="180">
        <v>1.1636029411764706</v>
      </c>
      <c r="W38" s="180">
        <v>1.338235294117647</v>
      </c>
      <c r="X38" s="180">
        <v>1.3253676470588234</v>
      </c>
      <c r="Y38" s="180">
        <v>0.7279411764705882</v>
      </c>
      <c r="Z38" s="180">
        <v>0.58088235294117641</v>
      </c>
      <c r="AA38" s="180">
        <v>0.95220588235294112</v>
      </c>
      <c r="AB38" s="180">
        <v>2.9779411764705883</v>
      </c>
    </row>
    <row r="39" spans="1:28">
      <c r="A39" s="136" t="s">
        <v>164</v>
      </c>
      <c r="B39" s="178">
        <v>1</v>
      </c>
      <c r="C39" s="178">
        <v>1.0092879256965945</v>
      </c>
      <c r="D39" s="178">
        <v>0.77399380804953566</v>
      </c>
      <c r="E39" s="178">
        <v>0.43034055727554177</v>
      </c>
      <c r="F39" s="178">
        <v>0.51702786377708976</v>
      </c>
      <c r="G39" s="178">
        <v>0.80804953560371517</v>
      </c>
      <c r="H39" s="178">
        <v>1.0371517027863777</v>
      </c>
      <c r="I39" s="178">
        <v>0.78947368421052633</v>
      </c>
      <c r="J39" s="178">
        <v>0.79566563467492257</v>
      </c>
      <c r="K39" s="178">
        <v>1.0278637770897834</v>
      </c>
      <c r="L39" s="178">
        <v>0.88235294117647056</v>
      </c>
      <c r="M39" s="178">
        <v>0.86687306501547989</v>
      </c>
      <c r="N39" s="178">
        <v>0.85448916408668729</v>
      </c>
      <c r="O39" s="178">
        <v>0.87306501547987614</v>
      </c>
      <c r="P39" s="178">
        <v>0.74613003095975228</v>
      </c>
      <c r="Q39" s="178">
        <v>0.92569659442724461</v>
      </c>
      <c r="R39" s="178">
        <v>0.60371517027863775</v>
      </c>
      <c r="S39" s="178">
        <v>0.78328173374613008</v>
      </c>
      <c r="T39" s="178">
        <v>1.0371517027863777</v>
      </c>
      <c r="U39" s="178">
        <v>0.66873065015479871</v>
      </c>
      <c r="V39" s="178">
        <v>0.84520123839009287</v>
      </c>
      <c r="W39" s="178">
        <v>0.62848297213622295</v>
      </c>
      <c r="X39" s="178">
        <v>0.95975232198142413</v>
      </c>
      <c r="Y39" s="179">
        <v>0.86996904024767807</v>
      </c>
      <c r="Z39" s="178">
        <v>0.76470588235294112</v>
      </c>
      <c r="AA39" s="178">
        <v>0.5851393188854489</v>
      </c>
      <c r="AB39" s="178">
        <v>0.37770897832817335</v>
      </c>
    </row>
    <row r="40" spans="1:28">
      <c r="A40" s="136" t="s">
        <v>165</v>
      </c>
      <c r="B40" s="178">
        <v>1</v>
      </c>
      <c r="C40" s="178">
        <v>0.76290322580645165</v>
      </c>
      <c r="D40" s="178">
        <v>1.1774193548387097</v>
      </c>
      <c r="E40" s="178">
        <v>0.81451612903225812</v>
      </c>
      <c r="F40" s="178">
        <v>0.55241935483870963</v>
      </c>
      <c r="G40" s="178">
        <v>0.81451612903225812</v>
      </c>
      <c r="H40" s="178">
        <v>0.87903225806451613</v>
      </c>
      <c r="I40" s="178">
        <v>0.90322580645161288</v>
      </c>
      <c r="J40" s="178">
        <v>0.89516129032258063</v>
      </c>
      <c r="K40" s="178">
        <v>1</v>
      </c>
      <c r="L40" s="178">
        <v>0.93548387096774188</v>
      </c>
      <c r="M40" s="178">
        <v>0.91935483870967738</v>
      </c>
      <c r="N40" s="178">
        <v>0.71370967741935487</v>
      </c>
      <c r="O40" s="178">
        <v>0.79838709677419351</v>
      </c>
      <c r="P40" s="178">
        <v>0.83064516129032262</v>
      </c>
      <c r="Q40" s="178">
        <v>0.83870967741935487</v>
      </c>
      <c r="R40" s="178">
        <v>0.52258064516129032</v>
      </c>
      <c r="S40" s="178">
        <v>0.967741935483871</v>
      </c>
      <c r="T40" s="178">
        <v>0.95967741935483875</v>
      </c>
      <c r="U40" s="178">
        <v>0.4653225806451613</v>
      </c>
      <c r="V40" s="178">
        <v>0.83064516129032262</v>
      </c>
      <c r="W40" s="178">
        <v>0.83870967741935487</v>
      </c>
      <c r="X40" s="178">
        <v>0.82258064516129037</v>
      </c>
      <c r="Y40" s="179">
        <v>0.74919354838709673</v>
      </c>
      <c r="Z40" s="178">
        <v>0.93548387096774188</v>
      </c>
      <c r="AA40" s="178">
        <v>1.185483870967742</v>
      </c>
      <c r="AB40" s="178">
        <v>1.217741935483871</v>
      </c>
    </row>
    <row r="41" spans="1:28">
      <c r="A41" s="136" t="s">
        <v>166</v>
      </c>
      <c r="B41" s="180">
        <v>1</v>
      </c>
      <c r="C41" s="180">
        <v>0.76771653543307083</v>
      </c>
      <c r="D41" s="180">
        <v>0.41338582677165353</v>
      </c>
      <c r="E41" s="180">
        <v>0.46850393700787396</v>
      </c>
      <c r="F41" s="180">
        <v>0.41338582677165353</v>
      </c>
      <c r="G41" s="180">
        <v>0.53149606299212604</v>
      </c>
      <c r="H41" s="180">
        <v>0.74015748031496054</v>
      </c>
      <c r="I41" s="180">
        <v>0.77559055118110232</v>
      </c>
      <c r="J41" s="180">
        <v>0.952755905511811</v>
      </c>
      <c r="K41" s="180">
        <v>1.1220472440944882</v>
      </c>
      <c r="L41" s="180">
        <v>0.77165354330708658</v>
      </c>
      <c r="M41" s="180">
        <v>0.77165354330708658</v>
      </c>
      <c r="N41" s="180">
        <v>0.66535433070866135</v>
      </c>
      <c r="O41" s="180">
        <v>1.3346456692913387</v>
      </c>
      <c r="P41" s="180">
        <v>1.2559055118110236</v>
      </c>
      <c r="Q41" s="180">
        <v>1.0314960629921259</v>
      </c>
      <c r="R41" s="180">
        <v>1.3543307086614174</v>
      </c>
      <c r="S41" s="180">
        <v>1.0826771653543308</v>
      </c>
      <c r="T41" s="180">
        <v>1.3700787401574803</v>
      </c>
      <c r="U41" s="180">
        <v>1.4488188976377954</v>
      </c>
      <c r="V41" s="180">
        <v>1.0708661417322836</v>
      </c>
      <c r="W41" s="180">
        <v>1.421259842519685</v>
      </c>
      <c r="X41" s="180">
        <v>1.2716535433070866</v>
      </c>
      <c r="Y41" s="180">
        <v>1.110236220472441</v>
      </c>
      <c r="Z41" s="180">
        <v>0.8307086614173228</v>
      </c>
      <c r="AA41" s="180">
        <v>0.70866141732283461</v>
      </c>
      <c r="AB41" s="180">
        <v>0.45669291338582674</v>
      </c>
    </row>
    <row r="42" spans="1:28">
      <c r="A42" s="136" t="s">
        <v>167</v>
      </c>
      <c r="B42" s="181">
        <v>1</v>
      </c>
      <c r="C42" s="182">
        <v>1.0805338028169016</v>
      </c>
      <c r="D42" s="182">
        <v>1.4131003521126762</v>
      </c>
      <c r="E42" s="182">
        <v>0.89049577464788743</v>
      </c>
      <c r="F42" s="182">
        <v>0.91973239436619725</v>
      </c>
      <c r="G42" s="182">
        <v>1.3071176056338027</v>
      </c>
      <c r="H42" s="182">
        <v>1.2924992957746479</v>
      </c>
      <c r="I42" s="182">
        <v>1.1938257042253522</v>
      </c>
      <c r="J42" s="181">
        <v>1.361904761904762</v>
      </c>
      <c r="K42" s="181">
        <v>1.0476190476190477</v>
      </c>
      <c r="L42" s="182">
        <v>1.0805338028169016</v>
      </c>
      <c r="M42" s="182">
        <v>0.94531443661971837</v>
      </c>
      <c r="N42" s="182">
        <v>0.96724190140845079</v>
      </c>
      <c r="O42" s="182">
        <v>1.0293697183098591</v>
      </c>
      <c r="P42" s="182">
        <v>0.78451302816901403</v>
      </c>
      <c r="Q42" s="182">
        <v>1.1974802816901409</v>
      </c>
      <c r="R42" s="182">
        <v>1.8077947183098593</v>
      </c>
      <c r="S42" s="182">
        <v>0.83567711267605649</v>
      </c>
      <c r="T42" s="182">
        <v>0.93435070422535227</v>
      </c>
      <c r="U42" s="182">
        <v>1.1390070422535212</v>
      </c>
      <c r="V42" s="182">
        <v>0.91242323943661985</v>
      </c>
      <c r="W42" s="182">
        <v>0.90876866197183115</v>
      </c>
      <c r="X42" s="182">
        <v>1.168243661971831</v>
      </c>
      <c r="Y42" s="182">
        <v>1.168243661971831</v>
      </c>
      <c r="Z42" s="182">
        <v>0.91607781690140855</v>
      </c>
      <c r="AA42" s="182">
        <v>0.72969436619718309</v>
      </c>
      <c r="AB42" s="182">
        <v>0.60982422535211267</v>
      </c>
    </row>
    <row r="43" spans="1:28">
      <c r="A43" s="136" t="s">
        <v>168</v>
      </c>
      <c r="B43" s="180">
        <v>1</v>
      </c>
      <c r="C43" s="180">
        <v>1.1582213029989661</v>
      </c>
      <c r="D43" s="180">
        <v>0.64115822130299893</v>
      </c>
      <c r="E43" s="180">
        <v>0.48086866597724925</v>
      </c>
      <c r="F43" s="180">
        <v>0.53567735263702176</v>
      </c>
      <c r="G43" s="180">
        <v>0.70941054808686665</v>
      </c>
      <c r="H43" s="180">
        <v>0.70113753877973117</v>
      </c>
      <c r="I43" s="180">
        <v>0.5191313340227508</v>
      </c>
      <c r="J43" s="180">
        <v>1.4270941054808686</v>
      </c>
      <c r="K43" s="180">
        <v>2.2750775594622548</v>
      </c>
      <c r="L43" s="180">
        <v>0.82523267838676329</v>
      </c>
      <c r="M43" s="180">
        <v>0.86142709410548091</v>
      </c>
      <c r="N43" s="180">
        <v>0.85935884177869704</v>
      </c>
      <c r="O43" s="180">
        <v>1.6649431230610137</v>
      </c>
      <c r="P43" s="180">
        <v>0.65046535677352635</v>
      </c>
      <c r="Q43" s="180">
        <v>0.43123061013443642</v>
      </c>
      <c r="R43" s="180">
        <v>0.89245087900723885</v>
      </c>
      <c r="S43" s="180">
        <v>0.74870734229576008</v>
      </c>
      <c r="T43" s="180">
        <v>1.0858324715615306</v>
      </c>
      <c r="U43" s="180">
        <v>0.75698035160289556</v>
      </c>
      <c r="V43" s="180">
        <v>0.26473629782833508</v>
      </c>
      <c r="W43" s="180">
        <v>0.37435367114788004</v>
      </c>
      <c r="X43" s="180">
        <v>0.32885211995863495</v>
      </c>
      <c r="Y43" s="180">
        <v>0.88004136504653563</v>
      </c>
      <c r="Z43" s="180">
        <v>0.75904860392967943</v>
      </c>
      <c r="AA43" s="180">
        <v>0.52430196483971048</v>
      </c>
      <c r="AB43" s="180">
        <v>0.58945191313340228</v>
      </c>
    </row>
    <row r="44" spans="1:28">
      <c r="A44" s="136" t="s">
        <v>169</v>
      </c>
      <c r="B44" s="180">
        <v>1</v>
      </c>
      <c r="C44" s="180">
        <v>2.0107816711590298</v>
      </c>
      <c r="D44" s="180">
        <v>1.0754716981132075</v>
      </c>
      <c r="E44" s="180">
        <v>2.2425876010781671</v>
      </c>
      <c r="F44" s="180">
        <v>1.3153638814016173</v>
      </c>
      <c r="G44" s="180">
        <v>1.3342318059299192</v>
      </c>
      <c r="H44" s="180">
        <v>0.94339622641509435</v>
      </c>
      <c r="I44" s="180">
        <v>1.0323450134770891</v>
      </c>
      <c r="J44" s="180">
        <v>0.8328840970350404</v>
      </c>
      <c r="K44" s="180">
        <v>0.91105121293800539</v>
      </c>
      <c r="L44" s="180">
        <v>0.93261455525606474</v>
      </c>
      <c r="M44" s="180">
        <v>0.94878706199460916</v>
      </c>
      <c r="N44" s="180">
        <v>0.94339622641509435</v>
      </c>
      <c r="O44" s="180">
        <v>0.8328840970350404</v>
      </c>
      <c r="P44" s="180">
        <v>1</v>
      </c>
      <c r="Q44" s="180">
        <v>1.142857142857143</v>
      </c>
      <c r="R44" s="180">
        <v>0.91913746630727766</v>
      </c>
      <c r="S44" s="180">
        <v>1.0080862533692723</v>
      </c>
      <c r="T44" s="180">
        <v>1.1671159029649596</v>
      </c>
      <c r="U44" s="180">
        <v>1.0781671159029649</v>
      </c>
      <c r="V44" s="180">
        <v>1.2102425876010783</v>
      </c>
      <c r="W44" s="180">
        <v>1.4150943396226414</v>
      </c>
      <c r="X44" s="180">
        <v>1.2884097035040432</v>
      </c>
      <c r="Y44" s="180">
        <v>0.63611859838274931</v>
      </c>
      <c r="Z44" s="180">
        <v>0.71967654986522911</v>
      </c>
      <c r="AA44" s="180">
        <v>0.57142857142857151</v>
      </c>
      <c r="AB44" s="180">
        <v>0.83827493261455521</v>
      </c>
    </row>
    <row r="45" spans="1:28">
      <c r="A45" s="136" t="s">
        <v>170</v>
      </c>
      <c r="B45" s="181">
        <v>1</v>
      </c>
      <c r="C45" s="182">
        <v>1.1037471698113206</v>
      </c>
      <c r="D45" s="182">
        <v>0.93215471698113195</v>
      </c>
      <c r="E45" s="182">
        <v>1.189543396226415</v>
      </c>
      <c r="F45" s="182">
        <v>0.25114716981132079</v>
      </c>
      <c r="G45" s="182">
        <v>0.98845849056603763</v>
      </c>
      <c r="H45" s="182">
        <v>0.96432830188679231</v>
      </c>
      <c r="I45" s="182">
        <v>0.7605622641509433</v>
      </c>
      <c r="J45" s="182">
        <v>1.0742547169811318</v>
      </c>
      <c r="K45" s="182">
        <v>1.3209188679245281</v>
      </c>
      <c r="L45" s="182">
        <v>1.1573698113207547</v>
      </c>
      <c r="M45" s="182">
        <v>0.96700943396226413</v>
      </c>
      <c r="N45" s="182">
        <v>1.1117905660377356</v>
      </c>
      <c r="O45" s="182">
        <v>0.70693962264150945</v>
      </c>
      <c r="P45" s="182">
        <v>0.87316981132075444</v>
      </c>
      <c r="Q45" s="182">
        <v>1.0903415094339621</v>
      </c>
      <c r="R45" s="182">
        <v>1.0983849056603772</v>
      </c>
      <c r="S45" s="182">
        <v>0.75519999999999987</v>
      </c>
      <c r="T45" s="182">
        <v>0.9830962264150942</v>
      </c>
      <c r="U45" s="182">
        <v>1.0152698113207546</v>
      </c>
      <c r="V45" s="182">
        <v>1.0903415094339621</v>
      </c>
      <c r="W45" s="182">
        <v>1.3396867924528302</v>
      </c>
      <c r="X45" s="182">
        <v>1.3959905660377359</v>
      </c>
      <c r="Y45" s="181">
        <v>0.80234833659491189</v>
      </c>
      <c r="Z45" s="181">
        <v>0.95303326810176126</v>
      </c>
      <c r="AA45" s="183">
        <v>1.0448353249999998</v>
      </c>
      <c r="AB45" s="181">
        <v>1.1056751467710371</v>
      </c>
    </row>
    <row r="46" spans="1:28">
      <c r="A46" s="136" t="s">
        <v>171</v>
      </c>
      <c r="B46" s="180">
        <v>1</v>
      </c>
      <c r="C46" s="180">
        <v>1.3773584905660377</v>
      </c>
      <c r="D46" s="180">
        <v>1.2358490566037736</v>
      </c>
      <c r="E46" s="180">
        <v>1.0188679245283019</v>
      </c>
      <c r="F46" s="180">
        <v>0.96226415094339623</v>
      </c>
      <c r="G46" s="180">
        <v>1.0283018867924529</v>
      </c>
      <c r="H46" s="180">
        <v>0.66603773584905657</v>
      </c>
      <c r="I46" s="180">
        <v>0.56509433962264144</v>
      </c>
      <c r="J46" s="180">
        <v>0.66132075471698104</v>
      </c>
      <c r="K46" s="180">
        <v>1.1792452830188678</v>
      </c>
      <c r="L46" s="180">
        <v>0.59905660377358494</v>
      </c>
      <c r="M46" s="180">
        <v>0.61981132075471701</v>
      </c>
      <c r="N46" s="180">
        <v>0.55283018867924527</v>
      </c>
      <c r="O46" s="180">
        <v>0.98113207547169812</v>
      </c>
      <c r="P46" s="180">
        <v>0.93679245283018864</v>
      </c>
      <c r="Q46" s="180">
        <v>0.84056603773584904</v>
      </c>
      <c r="R46" s="180">
        <v>0.87452830188679243</v>
      </c>
      <c r="S46" s="180">
        <v>0.52169811320754722</v>
      </c>
      <c r="T46" s="180">
        <v>0.75660377358490571</v>
      </c>
      <c r="U46" s="180">
        <v>0.73207547169811316</v>
      </c>
      <c r="V46" s="180">
        <v>0.80754716981132069</v>
      </c>
      <c r="W46" s="180">
        <v>1.1792452830188678</v>
      </c>
      <c r="X46" s="180">
        <v>0.91226415094339619</v>
      </c>
      <c r="Y46" s="180">
        <v>1.7547169811320755</v>
      </c>
      <c r="Z46" s="180">
        <v>1.4150943396226414</v>
      </c>
      <c r="AA46" s="180">
        <v>1.2547169811320755</v>
      </c>
      <c r="AB46" s="180">
        <v>1.3490566037735847</v>
      </c>
    </row>
    <row r="47" spans="1:28">
      <c r="A47" s="136" t="s">
        <v>172</v>
      </c>
      <c r="B47" s="180">
        <v>1</v>
      </c>
      <c r="C47" s="180">
        <v>3.7142857142857149</v>
      </c>
      <c r="D47" s="180">
        <v>2.3785714285714286</v>
      </c>
      <c r="E47" s="180">
        <v>2.1285714285714286</v>
      </c>
      <c r="F47" s="180">
        <v>1.6000000000000003</v>
      </c>
      <c r="G47" s="180">
        <v>3.2642857142857147</v>
      </c>
      <c r="H47" s="180">
        <v>1.5857142857142859</v>
      </c>
      <c r="I47" s="180">
        <v>1.2071428571428571</v>
      </c>
      <c r="J47" s="180">
        <v>0.41857142857142859</v>
      </c>
      <c r="K47" s="180">
        <v>0.52642857142857147</v>
      </c>
      <c r="L47" s="180">
        <v>0.28000000000000003</v>
      </c>
      <c r="M47" s="180">
        <v>0.32642857142857146</v>
      </c>
      <c r="N47" s="180">
        <v>0.25285714285714284</v>
      </c>
      <c r="O47" s="180">
        <v>0.62071428571428577</v>
      </c>
      <c r="P47" s="180">
        <v>1.2357142857142858</v>
      </c>
      <c r="Q47" s="180">
        <v>0.3928571428571429</v>
      </c>
      <c r="R47" s="180">
        <v>0.57642857142857151</v>
      </c>
      <c r="S47" s="180">
        <v>0.3928571428571429</v>
      </c>
      <c r="T47" s="180">
        <v>0.49928571428571428</v>
      </c>
      <c r="U47" s="180">
        <v>0.45428571428571435</v>
      </c>
      <c r="V47" s="180">
        <v>0.33142857142857146</v>
      </c>
      <c r="W47" s="180">
        <v>0.46357142857142863</v>
      </c>
      <c r="X47" s="180">
        <v>0.37642857142857145</v>
      </c>
      <c r="Y47" s="180">
        <v>0.44142857142857145</v>
      </c>
      <c r="Z47" s="180">
        <v>0.24785714285714286</v>
      </c>
      <c r="AA47" s="180">
        <v>0.29428571428571426</v>
      </c>
      <c r="AB47" s="180">
        <v>0.34428571428571431</v>
      </c>
    </row>
    <row r="48" spans="1:28">
      <c r="A48" s="136" t="s">
        <v>173</v>
      </c>
      <c r="B48" s="180">
        <v>1</v>
      </c>
      <c r="C48" s="180">
        <v>2.6086956521739131</v>
      </c>
      <c r="D48" s="180">
        <v>1.4809782608695654</v>
      </c>
      <c r="E48" s="180">
        <v>1.9130434782608694</v>
      </c>
      <c r="F48" s="180">
        <v>1.4809782608695654</v>
      </c>
      <c r="G48" s="180">
        <v>2.6956521739130435</v>
      </c>
      <c r="H48" s="180">
        <v>1.6141304347826086</v>
      </c>
      <c r="I48" s="180">
        <v>1.2282608695652175</v>
      </c>
      <c r="J48" s="180">
        <v>0.59510869565217395</v>
      </c>
      <c r="K48" s="180">
        <v>0.72282608695652184</v>
      </c>
      <c r="L48" s="180">
        <v>0.44565217391304351</v>
      </c>
      <c r="M48" s="180">
        <v>0.38315217391304346</v>
      </c>
      <c r="N48" s="180">
        <v>0.34239130434782611</v>
      </c>
      <c r="O48" s="180">
        <v>0.66304347826086951</v>
      </c>
      <c r="P48" s="180">
        <v>1.3505434782608696</v>
      </c>
      <c r="Q48" s="180">
        <v>0.77717391304347816</v>
      </c>
      <c r="R48" s="180">
        <v>1.7418478260869565</v>
      </c>
      <c r="S48" s="180">
        <v>1.0597826086956523</v>
      </c>
      <c r="T48" s="180">
        <v>1.4157608695652175</v>
      </c>
      <c r="U48" s="180">
        <v>1.0271739130434783</v>
      </c>
      <c r="V48" s="180">
        <v>0.70923913043478259</v>
      </c>
      <c r="W48" s="180">
        <v>0.87228260869565222</v>
      </c>
      <c r="X48" s="180">
        <v>0.74184782608695654</v>
      </c>
      <c r="Y48" s="180">
        <v>0.48369565217391303</v>
      </c>
      <c r="Z48" s="180">
        <v>0.46195652173913049</v>
      </c>
      <c r="AA48" s="180">
        <v>0.59782608695652173</v>
      </c>
      <c r="AB48" s="180">
        <v>0.85054347826086962</v>
      </c>
    </row>
    <row r="49" spans="1:28">
      <c r="A49" s="136" t="s">
        <v>175</v>
      </c>
      <c r="B49" s="180">
        <v>1</v>
      </c>
      <c r="C49" s="180">
        <v>1.0192592592592591</v>
      </c>
      <c r="D49" s="180">
        <v>1.3318518518518518</v>
      </c>
      <c r="E49" s="180">
        <v>1.2118518518518517</v>
      </c>
      <c r="F49" s="180">
        <v>1.0192592592592591</v>
      </c>
      <c r="G49" s="180">
        <v>1.0874074074074074</v>
      </c>
      <c r="H49" s="180">
        <v>0.93629629629629629</v>
      </c>
      <c r="I49" s="180">
        <v>1.1762962962962962</v>
      </c>
      <c r="J49" s="180">
        <v>1.8962962962962961</v>
      </c>
      <c r="K49" s="180">
        <v>2.4888888888888885</v>
      </c>
      <c r="L49" s="180">
        <v>0.42370370370370364</v>
      </c>
      <c r="M49" s="180">
        <v>0.4148148148148148</v>
      </c>
      <c r="N49" s="180">
        <v>0.50370370370370365</v>
      </c>
      <c r="O49" s="180">
        <v>2</v>
      </c>
      <c r="P49" s="180">
        <v>1.0533333333333332</v>
      </c>
      <c r="Q49" s="180">
        <v>1.077037037037037</v>
      </c>
      <c r="R49" s="180">
        <v>1.7037037037037035</v>
      </c>
      <c r="S49" s="180">
        <v>1.0355555555555553</v>
      </c>
      <c r="T49" s="180">
        <v>1.0992592592592592</v>
      </c>
      <c r="U49" s="180">
        <v>1.0977777777777777</v>
      </c>
      <c r="V49" s="180">
        <v>1.1111111111111109</v>
      </c>
      <c r="W49" s="180">
        <v>1.2385185185185184</v>
      </c>
      <c r="X49" s="180">
        <v>1.1940740740740741</v>
      </c>
      <c r="Y49" s="180">
        <v>0.84444444444444433</v>
      </c>
      <c r="Z49" s="180">
        <v>0.58962962962962961</v>
      </c>
      <c r="AA49" s="180">
        <v>0.72</v>
      </c>
      <c r="AB49" s="180">
        <v>1.2874074074074073</v>
      </c>
    </row>
    <row r="50" spans="1:28">
      <c r="A50" s="136" t="s">
        <v>176</v>
      </c>
      <c r="B50" s="180">
        <v>1</v>
      </c>
      <c r="C50" s="180">
        <v>1.5086206896551726</v>
      </c>
      <c r="D50" s="180">
        <v>0.99137931034482762</v>
      </c>
      <c r="E50" s="180">
        <v>0.9655172413793105</v>
      </c>
      <c r="F50" s="180">
        <v>0.5525862068965518</v>
      </c>
      <c r="G50" s="180">
        <v>1.4655172413793105</v>
      </c>
      <c r="H50" s="180">
        <v>0.68017241379310356</v>
      </c>
      <c r="I50" s="180">
        <v>1.2155172413793103</v>
      </c>
      <c r="J50" s="180">
        <v>0.73448275862068968</v>
      </c>
      <c r="K50" s="180">
        <v>0.65603448275862075</v>
      </c>
      <c r="L50" s="180">
        <v>0.31982758620689655</v>
      </c>
      <c r="M50" s="180">
        <v>0.30172413793103448</v>
      </c>
      <c r="N50" s="180">
        <v>0.26551724137931038</v>
      </c>
      <c r="O50" s="180">
        <v>0.55517241379310345</v>
      </c>
      <c r="P50" s="180">
        <v>1.2586206896551724</v>
      </c>
      <c r="Q50" s="180">
        <v>0.8172413793103448</v>
      </c>
      <c r="R50" s="180">
        <v>0.36724137931034484</v>
      </c>
      <c r="S50" s="180">
        <v>0.49051724137931035</v>
      </c>
      <c r="T50" s="180">
        <v>0.42586206896551726</v>
      </c>
      <c r="U50" s="180">
        <v>0.31120689655172412</v>
      </c>
      <c r="V50" s="180">
        <v>0.83189655172413801</v>
      </c>
      <c r="W50" s="180">
        <v>1.2327586206896552</v>
      </c>
      <c r="X50" s="180">
        <v>0.93965517241379326</v>
      </c>
      <c r="Y50" s="180">
        <v>0.39655172413793111</v>
      </c>
      <c r="Z50" s="180">
        <v>0.4327586206896552</v>
      </c>
      <c r="AA50" s="180">
        <v>0.36465517241379314</v>
      </c>
      <c r="AB50" s="180">
        <v>0.14913793103448275</v>
      </c>
    </row>
    <row r="51" spans="1:28">
      <c r="A51" s="136" t="s">
        <v>179</v>
      </c>
      <c r="B51" s="180">
        <v>1</v>
      </c>
      <c r="C51" s="180">
        <v>2.2758620689655173</v>
      </c>
      <c r="D51" s="180">
        <v>3.0043103448275859</v>
      </c>
      <c r="E51" s="180">
        <v>0.5862068965517242</v>
      </c>
      <c r="F51" s="180">
        <v>1.4655172413793103</v>
      </c>
      <c r="G51" s="180">
        <v>1.5991379310344827</v>
      </c>
      <c r="H51" s="180">
        <v>1.5215517241379308</v>
      </c>
      <c r="I51" s="180">
        <v>1.5818965517241379</v>
      </c>
      <c r="J51" s="180">
        <v>1.1163793103448276</v>
      </c>
      <c r="K51" s="180">
        <v>0.85775862068965514</v>
      </c>
      <c r="L51" s="180">
        <v>0.51293103448275856</v>
      </c>
      <c r="M51" s="180">
        <v>0.51293103448275856</v>
      </c>
      <c r="N51" s="180">
        <v>0.4280172413793103</v>
      </c>
      <c r="O51" s="180">
        <v>1.0043103448275863</v>
      </c>
      <c r="P51" s="180">
        <v>1.8275862068965516</v>
      </c>
      <c r="Q51" s="180">
        <v>0.82758620689655171</v>
      </c>
      <c r="R51" s="180">
        <v>0.59913793103448276</v>
      </c>
      <c r="S51" s="180">
        <v>0.98275862068965514</v>
      </c>
      <c r="T51" s="180">
        <v>0.93103448275862066</v>
      </c>
      <c r="U51" s="180">
        <v>1.4482758620689655</v>
      </c>
      <c r="V51" s="180">
        <v>0.95258620689655171</v>
      </c>
      <c r="W51" s="180">
        <v>0.95258620689655171</v>
      </c>
      <c r="X51" s="180">
        <v>1.0431034482758619</v>
      </c>
      <c r="Y51" s="180">
        <v>0.74137931034482751</v>
      </c>
      <c r="Z51" s="180">
        <v>0.60775862068965514</v>
      </c>
      <c r="AA51" s="180">
        <v>0.71120689655172409</v>
      </c>
      <c r="AB51" s="180">
        <v>0.17413793103448275</v>
      </c>
    </row>
    <row r="52" spans="1:28">
      <c r="A52" s="136" t="s">
        <v>180</v>
      </c>
      <c r="B52" s="178">
        <v>1</v>
      </c>
      <c r="C52" s="178">
        <v>0.78888888888888886</v>
      </c>
      <c r="D52" s="178">
        <v>0.85555555555555551</v>
      </c>
      <c r="E52" s="178">
        <v>0.34629629629629627</v>
      </c>
      <c r="F52" s="178">
        <v>0.63703703703703707</v>
      </c>
      <c r="G52" s="178">
        <v>0.80740740740740746</v>
      </c>
      <c r="H52" s="178">
        <v>0.77407407407407403</v>
      </c>
      <c r="I52" s="178">
        <v>0.92962962962962958</v>
      </c>
      <c r="J52" s="178">
        <v>0.8</v>
      </c>
      <c r="K52" s="178">
        <v>0.84074074074074079</v>
      </c>
      <c r="L52" s="178">
        <v>0.67407407407407405</v>
      </c>
      <c r="M52" s="178">
        <v>0.78148148148148144</v>
      </c>
      <c r="N52" s="178">
        <v>0.94814814814814818</v>
      </c>
      <c r="O52" s="178">
        <v>0.82962962962962961</v>
      </c>
      <c r="P52" s="178">
        <v>0.50740740740740742</v>
      </c>
      <c r="Q52" s="178">
        <v>0.88148148148148153</v>
      </c>
      <c r="R52" s="178">
        <v>2.1074074074074076</v>
      </c>
      <c r="S52" s="178">
        <v>0.82592592592592595</v>
      </c>
      <c r="T52" s="178">
        <v>0.78518518518518521</v>
      </c>
      <c r="U52" s="178">
        <v>1.2037037037037037</v>
      </c>
      <c r="V52" s="178">
        <v>0.90370370370370368</v>
      </c>
      <c r="W52" s="178">
        <v>0.78888888888888886</v>
      </c>
      <c r="X52" s="178">
        <v>0.92962962962962958</v>
      </c>
      <c r="Y52" s="179">
        <v>1.125925925925926</v>
      </c>
      <c r="Z52" s="178">
        <v>0.58148148148148149</v>
      </c>
      <c r="AA52" s="178">
        <v>0.71851851851851856</v>
      </c>
      <c r="AB52" s="178">
        <v>0.28296296296296297</v>
      </c>
    </row>
    <row r="53" spans="1:28">
      <c r="A53" s="136" t="s">
        <v>181</v>
      </c>
      <c r="B53" s="178">
        <v>1</v>
      </c>
      <c r="C53" s="178">
        <v>0.64396551724137929</v>
      </c>
      <c r="D53" s="178">
        <v>0.71810344827586203</v>
      </c>
      <c r="E53" s="178">
        <v>0.29396551724137931</v>
      </c>
      <c r="F53" s="178">
        <v>0.73793103448275865</v>
      </c>
      <c r="G53" s="178">
        <v>0.69482758620689655</v>
      </c>
      <c r="H53" s="178">
        <v>0.72931034482758617</v>
      </c>
      <c r="I53" s="178">
        <v>0.81637931034482758</v>
      </c>
      <c r="J53" s="178">
        <v>0.60517241379310349</v>
      </c>
      <c r="K53" s="178">
        <v>0.73706896551724133</v>
      </c>
      <c r="L53" s="178">
        <v>0.63189655172413794</v>
      </c>
      <c r="M53" s="178">
        <v>0.66379310344827591</v>
      </c>
      <c r="N53" s="178">
        <v>0.59568965517241379</v>
      </c>
      <c r="O53" s="178">
        <v>0.65689655172413797</v>
      </c>
      <c r="P53" s="178">
        <v>0.60603448275862071</v>
      </c>
      <c r="Q53" s="178">
        <v>0.5767241379310345</v>
      </c>
      <c r="R53" s="178">
        <v>1.7068965517241379</v>
      </c>
      <c r="S53" s="178">
        <v>1</v>
      </c>
      <c r="T53" s="178">
        <v>0.73189655172413792</v>
      </c>
      <c r="U53" s="178">
        <v>1.0948275862068966</v>
      </c>
      <c r="V53" s="178">
        <v>0.76982758620689651</v>
      </c>
      <c r="W53" s="178">
        <v>0.72586206896551719</v>
      </c>
      <c r="X53" s="178">
        <v>0.67241379310344829</v>
      </c>
      <c r="Y53" s="179">
        <v>0.82931034482758625</v>
      </c>
      <c r="Z53" s="178">
        <v>0.52155172413793105</v>
      </c>
      <c r="AA53" s="178">
        <v>0.60344827586206895</v>
      </c>
      <c r="AB53" s="178">
        <v>0.25517241379310346</v>
      </c>
    </row>
    <row r="54" spans="1:28">
      <c r="A54" s="136" t="s">
        <v>182</v>
      </c>
      <c r="B54" s="178">
        <v>1</v>
      </c>
      <c r="C54" s="178">
        <v>0.82</v>
      </c>
      <c r="D54" s="178">
        <v>0.9363636363636364</v>
      </c>
      <c r="E54" s="178">
        <v>0.34090909090909088</v>
      </c>
      <c r="F54" s="178">
        <v>0.8290909090909091</v>
      </c>
      <c r="G54" s="178">
        <v>0.83272727272727276</v>
      </c>
      <c r="H54" s="178">
        <v>0.9363636363636364</v>
      </c>
      <c r="I54" s="178">
        <v>1.0363636363636364</v>
      </c>
      <c r="J54" s="178">
        <v>0.72818181818181815</v>
      </c>
      <c r="K54" s="178">
        <v>0.74818181818181817</v>
      </c>
      <c r="L54" s="178">
        <v>0.72545454545454546</v>
      </c>
      <c r="M54" s="178">
        <v>0.89818181818181819</v>
      </c>
      <c r="N54" s="178">
        <v>0.72</v>
      </c>
      <c r="O54" s="178">
        <v>0.88181818181818183</v>
      </c>
      <c r="P54" s="178">
        <v>0.66545454545454541</v>
      </c>
      <c r="Q54" s="178">
        <v>0.8418181818181818</v>
      </c>
      <c r="R54" s="178">
        <v>1.790909090909091</v>
      </c>
      <c r="S54" s="178">
        <v>0.9</v>
      </c>
      <c r="T54" s="178">
        <v>0.92727272727272725</v>
      </c>
      <c r="U54" s="178">
        <v>1.1636363636363636</v>
      </c>
      <c r="V54" s="178">
        <v>0.96363636363636362</v>
      </c>
      <c r="W54" s="178">
        <v>0.87454545454545451</v>
      </c>
      <c r="X54" s="178">
        <v>0.82272727272727275</v>
      </c>
      <c r="Y54" s="179">
        <v>1.1000000000000001</v>
      </c>
      <c r="Z54" s="178">
        <v>0.65909090909090906</v>
      </c>
      <c r="AA54" s="178">
        <v>0.80636363636363639</v>
      </c>
      <c r="AB54" s="178">
        <v>0.28545454545454546</v>
      </c>
    </row>
    <row r="55" spans="1:28">
      <c r="A55" s="136" t="s">
        <v>183</v>
      </c>
      <c r="B55" s="180">
        <v>1</v>
      </c>
      <c r="C55" s="180">
        <v>2.7777777777777777</v>
      </c>
      <c r="D55" s="180">
        <v>0.81481481481481477</v>
      </c>
      <c r="E55" s="180">
        <v>1.2222222222222223</v>
      </c>
      <c r="F55" s="180">
        <v>1.324074074074074</v>
      </c>
      <c r="G55" s="180">
        <v>1.7824074074074074</v>
      </c>
      <c r="H55" s="180">
        <v>1.7777777777777779</v>
      </c>
      <c r="I55" s="180">
        <v>0.8842592592592593</v>
      </c>
      <c r="J55" s="180">
        <v>0.71296296296296291</v>
      </c>
      <c r="K55" s="180">
        <v>1.0601851851851853</v>
      </c>
      <c r="L55" s="180">
        <v>0.63888888888888895</v>
      </c>
      <c r="M55" s="180">
        <v>0.56481481481481477</v>
      </c>
      <c r="N55" s="180">
        <v>0.53240740740740744</v>
      </c>
      <c r="O55" s="180">
        <v>1.2731481481481484</v>
      </c>
      <c r="P55" s="180">
        <v>1.6712962962962963</v>
      </c>
      <c r="Q55" s="180">
        <v>0.80555555555555547</v>
      </c>
      <c r="R55" s="180">
        <v>1.0648148148148149</v>
      </c>
      <c r="S55" s="180">
        <v>0.60648148148148151</v>
      </c>
      <c r="T55" s="180">
        <v>1.0046296296296295</v>
      </c>
      <c r="U55" s="180">
        <v>0.71759259259259256</v>
      </c>
      <c r="V55" s="180">
        <v>0.437962962962963</v>
      </c>
      <c r="W55" s="180">
        <v>0.75462962962962965</v>
      </c>
      <c r="X55" s="180">
        <v>0.55555555555555558</v>
      </c>
      <c r="Y55" s="180">
        <v>0.7685185185185186</v>
      </c>
      <c r="Z55" s="180">
        <v>1.1157407407407407</v>
      </c>
      <c r="AA55" s="180">
        <v>0.96296296296296291</v>
      </c>
      <c r="AB55" s="180">
        <v>0.75</v>
      </c>
    </row>
    <row r="56" spans="1:28">
      <c r="A56" s="136" t="s">
        <v>184</v>
      </c>
      <c r="B56" s="180">
        <v>1</v>
      </c>
      <c r="C56" s="180">
        <v>1.0305676855895196</v>
      </c>
      <c r="D56" s="180">
        <v>0.45851528384279477</v>
      </c>
      <c r="E56" s="180">
        <v>0.5240174672489083</v>
      </c>
      <c r="F56" s="180">
        <v>0.38646288209606988</v>
      </c>
      <c r="G56" s="180">
        <v>0.27685589519650655</v>
      </c>
      <c r="H56" s="180">
        <v>1.2183406113537119</v>
      </c>
      <c r="I56" s="180">
        <v>0.89956331877729256</v>
      </c>
      <c r="J56" s="180">
        <v>0.20917030567685591</v>
      </c>
      <c r="K56" s="180">
        <v>0.225764192139738</v>
      </c>
      <c r="L56" s="180">
        <v>1.3755458515283843</v>
      </c>
      <c r="M56" s="180">
        <v>2.0698689956331875</v>
      </c>
      <c r="N56" s="180">
        <v>1.9781659388646289</v>
      </c>
      <c r="O56" s="180">
        <v>0.25458515283842797</v>
      </c>
      <c r="P56" s="180">
        <v>2.2445414847161573</v>
      </c>
      <c r="Q56" s="180">
        <v>0.40829694323144106</v>
      </c>
      <c r="R56" s="180">
        <v>3.6681222707423582</v>
      </c>
      <c r="S56" s="180">
        <v>3.3886462882096069</v>
      </c>
      <c r="T56" s="180">
        <v>3.8646288209606983</v>
      </c>
      <c r="U56" s="180">
        <v>4.3275109170305672</v>
      </c>
      <c r="V56" s="180">
        <v>0.44541484716157209</v>
      </c>
      <c r="W56" s="180">
        <v>0.37030567685589516</v>
      </c>
      <c r="X56" s="180">
        <v>0.19344978165938864</v>
      </c>
      <c r="Y56" s="180">
        <v>8.5589519650655019E-2</v>
      </c>
      <c r="Z56" s="180">
        <v>0.12794759825327509</v>
      </c>
      <c r="AA56" s="180">
        <v>5.3711790393013097E-2</v>
      </c>
      <c r="AB56" s="180">
        <v>0.41004366812227078</v>
      </c>
    </row>
    <row r="57" spans="1:28">
      <c r="A57" s="136" t="s">
        <v>185</v>
      </c>
      <c r="B57" s="180">
        <v>1</v>
      </c>
      <c r="C57" s="180">
        <v>1.4457013574660633</v>
      </c>
      <c r="D57" s="180">
        <v>1.5226244343891404</v>
      </c>
      <c r="E57" s="180">
        <v>1.0678733031674208</v>
      </c>
      <c r="F57" s="180">
        <v>1.0384615384615385</v>
      </c>
      <c r="G57" s="180">
        <v>1.6380090497737556</v>
      </c>
      <c r="H57" s="180">
        <v>1.497737556561086</v>
      </c>
      <c r="I57" s="180">
        <v>0.83710407239819007</v>
      </c>
      <c r="J57" s="180">
        <v>0.7601809954751132</v>
      </c>
      <c r="K57" s="180">
        <v>0.66968325791855199</v>
      </c>
      <c r="L57" s="180">
        <v>0.65610859728506787</v>
      </c>
      <c r="M57" s="180">
        <v>0.70361990950226239</v>
      </c>
      <c r="N57" s="180">
        <v>0.78959276018099545</v>
      </c>
      <c r="O57" s="180">
        <v>0.86199095022624439</v>
      </c>
      <c r="P57" s="180">
        <v>1.246606334841629</v>
      </c>
      <c r="Q57" s="180">
        <v>0.72624434389140269</v>
      </c>
      <c r="R57" s="180">
        <v>0.35294117647058826</v>
      </c>
      <c r="S57" s="180">
        <v>0.87782805429864252</v>
      </c>
      <c r="T57" s="180">
        <v>1.1244343891402715</v>
      </c>
      <c r="U57" s="180">
        <v>1.2149321266968327</v>
      </c>
      <c r="V57" s="180">
        <v>0.64253393665158365</v>
      </c>
      <c r="W57" s="180">
        <v>0.69683257918552033</v>
      </c>
      <c r="X57" s="180">
        <v>0.82126696832579182</v>
      </c>
      <c r="Y57" s="180">
        <v>0.88914027149321273</v>
      </c>
      <c r="Z57" s="180">
        <v>0.35294117647058826</v>
      </c>
      <c r="AA57" s="180">
        <v>0.12850678733031676</v>
      </c>
      <c r="AB57" s="180">
        <v>0.22307692307692306</v>
      </c>
    </row>
    <row r="58" spans="1:28">
      <c r="A58" s="136" t="s">
        <v>186</v>
      </c>
      <c r="B58" s="181">
        <v>1</v>
      </c>
      <c r="C58" s="182">
        <v>0.99940862308762157</v>
      </c>
      <c r="D58" s="182">
        <v>0.91287955493741313</v>
      </c>
      <c r="E58" s="182">
        <v>1.075121557719054</v>
      </c>
      <c r="F58" s="182">
        <v>0.65329235048678735</v>
      </c>
      <c r="G58" s="182">
        <v>1.0913457579972183</v>
      </c>
      <c r="H58" s="182">
        <v>1.2265474269819194</v>
      </c>
      <c r="I58" s="182">
        <v>0.75063755215577199</v>
      </c>
      <c r="J58" s="181">
        <v>1.1813471502590673</v>
      </c>
      <c r="K58" s="182">
        <v>1.0048166898470097</v>
      </c>
      <c r="L58" s="181">
        <v>0.82124352331606221</v>
      </c>
      <c r="M58" s="181">
        <v>0.7538860103626942</v>
      </c>
      <c r="N58" s="181">
        <v>0.81606217616580312</v>
      </c>
      <c r="O58" s="181">
        <v>0.61658031088082899</v>
      </c>
      <c r="P58" s="182">
        <v>1.1400183588317105</v>
      </c>
      <c r="Q58" s="181">
        <v>1.0906735751295336</v>
      </c>
      <c r="R58" s="181">
        <v>1.4041450777202074</v>
      </c>
      <c r="S58" s="182">
        <v>1.4996547983310153</v>
      </c>
      <c r="T58" s="181">
        <v>0.8704663212435233</v>
      </c>
      <c r="U58" s="181">
        <v>0.65544041450777202</v>
      </c>
      <c r="V58" s="181">
        <v>1.2720207253886009</v>
      </c>
      <c r="W58" s="181">
        <v>1.2694300518134713</v>
      </c>
      <c r="X58" s="181">
        <v>0.96632124352331605</v>
      </c>
      <c r="Y58" s="182">
        <v>0.75874965229485403</v>
      </c>
      <c r="Z58" s="182">
        <v>1.3401168289290681</v>
      </c>
      <c r="AA58" s="182">
        <v>1.3076684283727398</v>
      </c>
      <c r="AB58" s="182">
        <v>1.0967538247566064</v>
      </c>
    </row>
    <row r="59" spans="1:28">
      <c r="A59" s="136" t="s">
        <v>187</v>
      </c>
      <c r="B59" s="180">
        <v>1</v>
      </c>
      <c r="C59" s="180">
        <v>0.58232931726907633</v>
      </c>
      <c r="D59" s="180">
        <v>0.48995983935742971</v>
      </c>
      <c r="E59" s="180">
        <v>0.77108433734939763</v>
      </c>
      <c r="F59" s="180">
        <v>0.45381526104417674</v>
      </c>
      <c r="G59" s="180">
        <v>0.90763052208835349</v>
      </c>
      <c r="H59" s="180">
        <v>0.86345381526104426</v>
      </c>
      <c r="I59" s="180">
        <v>1.2650602409638554</v>
      </c>
      <c r="J59" s="180">
        <v>0.87148594377510047</v>
      </c>
      <c r="K59" s="180">
        <v>0.99598393574297195</v>
      </c>
      <c r="L59" s="180">
        <v>0.87148594377510047</v>
      </c>
      <c r="M59" s="180">
        <v>0.97590361445783136</v>
      </c>
      <c r="N59" s="180">
        <v>0.97991967871485941</v>
      </c>
      <c r="O59" s="180">
        <v>0.89156626506024095</v>
      </c>
      <c r="P59" s="180">
        <v>0.80321285140562249</v>
      </c>
      <c r="Q59" s="180">
        <v>0.99196787148594379</v>
      </c>
      <c r="R59" s="180">
        <v>0.45381526104417674</v>
      </c>
      <c r="S59" s="180">
        <v>1.1405622489959839</v>
      </c>
      <c r="T59" s="180">
        <v>1.321285140562249</v>
      </c>
      <c r="U59" s="180">
        <v>1.5180722891566265</v>
      </c>
      <c r="V59" s="180">
        <v>1.0843373493975905</v>
      </c>
      <c r="W59" s="180">
        <v>1.2008032128514057</v>
      </c>
      <c r="X59" s="180">
        <v>1.1646586345381527</v>
      </c>
      <c r="Y59" s="180">
        <v>0.96787148594377526</v>
      </c>
      <c r="Z59" s="180">
        <v>0.57028112449799195</v>
      </c>
      <c r="AA59" s="180">
        <v>0.29678714859437749</v>
      </c>
      <c r="AB59" s="180">
        <v>0.13935742971887552</v>
      </c>
    </row>
    <row r="60" spans="1:28">
      <c r="A60" s="136" t="s">
        <v>188</v>
      </c>
      <c r="B60" s="180">
        <v>1</v>
      </c>
      <c r="C60" s="180">
        <v>1.1035353535353536</v>
      </c>
      <c r="D60" s="180">
        <v>0.81691919191919193</v>
      </c>
      <c r="E60" s="180">
        <v>1.6792929292929295</v>
      </c>
      <c r="F60" s="180">
        <v>1.0214646464646464</v>
      </c>
      <c r="G60" s="180">
        <v>1.3888888888888888</v>
      </c>
      <c r="H60" s="180">
        <v>1.1527777777777779</v>
      </c>
      <c r="I60" s="180">
        <v>1.6414141414141414</v>
      </c>
      <c r="J60" s="180">
        <v>0.74242424242424243</v>
      </c>
      <c r="K60" s="180">
        <v>0.86237373737373735</v>
      </c>
      <c r="L60" s="180">
        <v>0.70580808080808077</v>
      </c>
      <c r="M60" s="180">
        <v>0.78156565656565657</v>
      </c>
      <c r="N60" s="180">
        <v>0.80176767676767668</v>
      </c>
      <c r="O60" s="180">
        <v>0.84343434343434343</v>
      </c>
      <c r="P60" s="180">
        <v>0.89520202020202022</v>
      </c>
      <c r="Q60" s="180">
        <v>1.0340909090909089</v>
      </c>
      <c r="R60" s="180">
        <v>0.59722222222222232</v>
      </c>
      <c r="S60" s="180">
        <v>1.0126262626262625</v>
      </c>
      <c r="T60" s="180">
        <v>1.1717171717171717</v>
      </c>
      <c r="U60" s="180">
        <v>1.351010101010101</v>
      </c>
      <c r="V60" s="180">
        <v>0.97222222222222221</v>
      </c>
      <c r="W60" s="180">
        <v>1.2878787878787878</v>
      </c>
      <c r="X60" s="180">
        <v>1.2260101010101012</v>
      </c>
      <c r="Y60" s="180">
        <v>0.96338383838383834</v>
      </c>
      <c r="Z60" s="180">
        <v>0.61489898989898994</v>
      </c>
      <c r="AA60" s="180">
        <v>0.43813131313131315</v>
      </c>
      <c r="AB60" s="180">
        <v>0.39267676767676768</v>
      </c>
    </row>
    <row r="61" spans="1:28">
      <c r="A61" s="136" t="s">
        <v>189</v>
      </c>
      <c r="B61" s="180">
        <v>1</v>
      </c>
      <c r="C61" s="180">
        <v>2.4894514767932487</v>
      </c>
      <c r="D61" s="180">
        <v>1.647679324894515</v>
      </c>
      <c r="E61" s="180">
        <v>0.81645569620253167</v>
      </c>
      <c r="F61" s="180">
        <v>1.6033755274261605</v>
      </c>
      <c r="G61" s="180">
        <v>1.8375527426160339</v>
      </c>
      <c r="H61" s="180">
        <v>0.46413502109704646</v>
      </c>
      <c r="I61" s="180">
        <v>0.68143459915611815</v>
      </c>
      <c r="J61" s="180">
        <v>0.7067510548523207</v>
      </c>
      <c r="K61" s="180">
        <v>1.0527426160337554</v>
      </c>
      <c r="L61" s="180">
        <v>0.65400843881856541</v>
      </c>
      <c r="M61" s="180">
        <v>0.6371308016877637</v>
      </c>
      <c r="N61" s="180">
        <v>0.53586497890295359</v>
      </c>
      <c r="O61" s="180">
        <v>1.0253164556962024</v>
      </c>
      <c r="P61" s="180">
        <v>0.6371308016877637</v>
      </c>
      <c r="Q61" s="180">
        <v>0.829113924050633</v>
      </c>
      <c r="R61" s="180">
        <v>0.93670886075949378</v>
      </c>
      <c r="S61" s="180">
        <v>1.1729957805907174</v>
      </c>
      <c r="T61" s="180">
        <v>1.1772151898734178</v>
      </c>
      <c r="U61" s="180">
        <v>1.2805907172995781</v>
      </c>
      <c r="V61" s="180">
        <v>0.90717299578059074</v>
      </c>
      <c r="W61" s="180">
        <v>1.1434599156118144</v>
      </c>
      <c r="X61" s="180">
        <v>1.0379746835443038</v>
      </c>
      <c r="Y61" s="180">
        <v>0.66033755274261607</v>
      </c>
      <c r="Z61" s="180">
        <v>0.69831223628691985</v>
      </c>
      <c r="AA61" s="180">
        <v>0.33544303797468356</v>
      </c>
      <c r="AB61" s="180">
        <v>0.15379746835443039</v>
      </c>
    </row>
    <row r="62" spans="1:28">
      <c r="A62" s="136" t="s">
        <v>190</v>
      </c>
      <c r="B62" s="180">
        <v>1</v>
      </c>
      <c r="C62" s="180">
        <v>1.6035353535353536</v>
      </c>
      <c r="D62" s="180">
        <v>1.553030303030303</v>
      </c>
      <c r="E62" s="180">
        <v>0.61489898989898983</v>
      </c>
      <c r="F62" s="180">
        <v>1.0517676767676767</v>
      </c>
      <c r="G62" s="180">
        <v>1.4898989898989898</v>
      </c>
      <c r="H62" s="180">
        <v>0.4621212121212121</v>
      </c>
      <c r="I62" s="180">
        <v>0.48358585858585856</v>
      </c>
      <c r="J62" s="180">
        <v>0.63888888888888884</v>
      </c>
      <c r="K62" s="180">
        <v>0.98737373737373735</v>
      </c>
      <c r="L62" s="180">
        <v>0.47474747474747475</v>
      </c>
      <c r="M62" s="180">
        <v>0.46969696969696967</v>
      </c>
      <c r="N62" s="180">
        <v>0.45959595959595956</v>
      </c>
      <c r="O62" s="180">
        <v>1.2108585858585859</v>
      </c>
      <c r="P62" s="180">
        <v>0.57828282828282829</v>
      </c>
      <c r="Q62" s="180">
        <v>0.98611111111111105</v>
      </c>
      <c r="R62" s="180">
        <v>0.5732323232323232</v>
      </c>
      <c r="S62" s="180">
        <v>0.63636363636363635</v>
      </c>
      <c r="T62" s="180">
        <v>0.93686868686868685</v>
      </c>
      <c r="U62" s="180">
        <v>1.0416666666666665</v>
      </c>
      <c r="V62" s="180">
        <v>0.88762626262626254</v>
      </c>
      <c r="W62" s="180">
        <v>0.96590909090909083</v>
      </c>
      <c r="X62" s="180">
        <v>0.88888888888888884</v>
      </c>
      <c r="Y62" s="180">
        <v>0.49873737373737376</v>
      </c>
      <c r="Z62" s="180">
        <v>0.26136363636363635</v>
      </c>
      <c r="AA62" s="180">
        <v>2.6515151515151516E-2</v>
      </c>
      <c r="AB62" s="184"/>
    </row>
    <row r="63" spans="1:28">
      <c r="A63" s="136" t="s">
        <v>191</v>
      </c>
      <c r="B63" s="180">
        <v>1</v>
      </c>
      <c r="C63" s="180">
        <v>3.3665835411471328</v>
      </c>
      <c r="D63" s="180">
        <v>2.5810473815461346</v>
      </c>
      <c r="E63" s="180">
        <v>0.76932668329177056</v>
      </c>
      <c r="F63" s="180">
        <v>3.117206982543641</v>
      </c>
      <c r="G63" s="180">
        <v>2.007481296758105</v>
      </c>
      <c r="H63" s="180">
        <v>0.89276807980049877</v>
      </c>
      <c r="I63" s="180">
        <v>1.2219451371571073</v>
      </c>
      <c r="J63" s="180">
        <v>0.91645885286783046</v>
      </c>
      <c r="K63" s="180">
        <v>0.84788029925187047</v>
      </c>
      <c r="L63" s="180">
        <v>0.23316708229426439</v>
      </c>
      <c r="M63" s="180">
        <v>0.30798004987531175</v>
      </c>
      <c r="N63" s="180">
        <v>0.36034912718204493</v>
      </c>
      <c r="O63" s="180">
        <v>0.70448877805486287</v>
      </c>
      <c r="P63" s="180">
        <v>1.1047381546134665</v>
      </c>
      <c r="Q63" s="180">
        <v>1.1197007481296759</v>
      </c>
      <c r="R63" s="180">
        <v>0</v>
      </c>
      <c r="S63" s="180">
        <v>0.8728179551122196</v>
      </c>
      <c r="T63" s="180">
        <v>0.89526184538653375</v>
      </c>
      <c r="U63" s="180">
        <v>0.87905236907730677</v>
      </c>
      <c r="V63" s="180">
        <v>1.1134663341645887</v>
      </c>
      <c r="W63" s="180">
        <v>1.2468827930174566</v>
      </c>
      <c r="X63" s="180">
        <v>1.3092269326683292</v>
      </c>
      <c r="Y63" s="180">
        <v>0.10997506234413966</v>
      </c>
      <c r="Z63" s="180">
        <v>0.20698254364089777</v>
      </c>
      <c r="AA63" s="180">
        <v>0.43391521197007482</v>
      </c>
      <c r="AB63" s="180">
        <v>0.32543640897755616</v>
      </c>
    </row>
    <row r="64" spans="1:28">
      <c r="A64" s="136" t="s">
        <v>192</v>
      </c>
      <c r="B64" s="185">
        <v>1</v>
      </c>
      <c r="C64" s="180">
        <v>1.8942731277533038</v>
      </c>
      <c r="D64" s="180">
        <v>2.0616740088105727</v>
      </c>
      <c r="E64" s="180">
        <v>1.5374449339207048</v>
      </c>
      <c r="F64" s="180">
        <v>1.8942731277533038</v>
      </c>
      <c r="G64" s="180">
        <v>1.9647577092511013</v>
      </c>
      <c r="H64" s="180">
        <v>0.74008810572687223</v>
      </c>
      <c r="I64" s="180">
        <v>1.8237885462555063</v>
      </c>
      <c r="J64" s="180">
        <v>1.1850220264317182</v>
      </c>
      <c r="K64" s="180">
        <v>0.9603524229074889</v>
      </c>
      <c r="L64" s="180">
        <v>1.1453744493392071</v>
      </c>
      <c r="M64" s="180">
        <v>1.1145374449339207</v>
      </c>
      <c r="N64" s="180">
        <v>1.1674008810572687</v>
      </c>
      <c r="O64" s="180">
        <v>1.0396475770925109</v>
      </c>
      <c r="P64" s="180">
        <v>1.4493392070484581</v>
      </c>
      <c r="Q64" s="180">
        <v>0.93392070484581491</v>
      </c>
      <c r="R64" s="180">
        <v>0.88105726872246704</v>
      </c>
      <c r="S64" s="180">
        <v>0.64317180616740077</v>
      </c>
      <c r="T64" s="180">
        <v>0.98237885462555063</v>
      </c>
      <c r="U64" s="180">
        <v>1.277533039647577</v>
      </c>
      <c r="V64" s="180">
        <v>1.2643171806167399</v>
      </c>
      <c r="W64" s="180">
        <v>1.6299559471365639</v>
      </c>
      <c r="X64" s="180">
        <v>1.2202643171806169</v>
      </c>
      <c r="Y64" s="180">
        <v>0.50660792951541855</v>
      </c>
      <c r="Z64" s="180">
        <v>0.53303964757709243</v>
      </c>
      <c r="AA64" s="180">
        <v>0.30837004405286345</v>
      </c>
      <c r="AB64" s="180">
        <v>0.50220264317180618</v>
      </c>
    </row>
    <row r="65" spans="1:28">
      <c r="A65" s="136" t="s">
        <v>196</v>
      </c>
      <c r="B65" s="185">
        <v>1</v>
      </c>
      <c r="C65" s="180">
        <v>2.1319148936170214</v>
      </c>
      <c r="D65" s="180">
        <v>1.6851063829787236</v>
      </c>
      <c r="E65" s="180">
        <v>3.1659574468085103</v>
      </c>
      <c r="F65" s="180">
        <v>1.0808510638297872</v>
      </c>
      <c r="G65" s="180">
        <v>2.3702127659574468</v>
      </c>
      <c r="H65" s="180">
        <v>3.0765957446808514</v>
      </c>
      <c r="I65" s="180">
        <v>0.97021276595744688</v>
      </c>
      <c r="J65" s="180">
        <v>0.97021276595744688</v>
      </c>
      <c r="K65" s="180">
        <v>0.48510638297872344</v>
      </c>
      <c r="L65" s="180">
        <v>0.39021276595744681</v>
      </c>
      <c r="M65" s="180">
        <v>0.36042553191489363</v>
      </c>
      <c r="N65" s="180">
        <v>0.32978723404255317</v>
      </c>
      <c r="O65" s="180">
        <v>1.1872340425531915</v>
      </c>
      <c r="P65" s="180">
        <v>0.90638297872340423</v>
      </c>
      <c r="Q65" s="180">
        <v>0.83404255319148934</v>
      </c>
      <c r="R65" s="180">
        <v>2.1702127659574466</v>
      </c>
      <c r="S65" s="180">
        <v>1.0936170212765957</v>
      </c>
      <c r="T65" s="180">
        <v>1.3914893617021276</v>
      </c>
      <c r="U65" s="180">
        <v>1</v>
      </c>
      <c r="V65" s="180">
        <v>0.87659574468085111</v>
      </c>
      <c r="W65" s="180">
        <v>1.2765957446808509</v>
      </c>
      <c r="X65" s="180">
        <v>0.55319148936170215</v>
      </c>
      <c r="Y65" s="180">
        <v>0.57021276595744685</v>
      </c>
      <c r="Z65" s="180">
        <v>0.23957446808510635</v>
      </c>
      <c r="AA65" s="180">
        <v>0.68936170212765957</v>
      </c>
      <c r="AB65" s="180">
        <v>1.6</v>
      </c>
    </row>
    <row r="66" spans="1:28">
      <c r="A66" s="136" t="s">
        <v>197</v>
      </c>
      <c r="B66" s="185">
        <v>1</v>
      </c>
      <c r="C66" s="180">
        <v>0.90889370932754876</v>
      </c>
      <c r="D66" s="180">
        <v>1.3015184381778742</v>
      </c>
      <c r="E66" s="180">
        <v>0.63774403470715824</v>
      </c>
      <c r="F66" s="180">
        <v>0.93058568329717994</v>
      </c>
      <c r="G66" s="180">
        <v>0.91214750542299339</v>
      </c>
      <c r="H66" s="180">
        <v>0.68438177874186545</v>
      </c>
      <c r="I66" s="180">
        <v>0.9316702819956616</v>
      </c>
      <c r="J66" s="180">
        <v>0.70715835140997829</v>
      </c>
      <c r="K66" s="180">
        <v>0.75596529284164848</v>
      </c>
      <c r="L66" s="180">
        <v>1.2472885032537959</v>
      </c>
      <c r="M66" s="180">
        <v>1.2364425162689803</v>
      </c>
      <c r="N66" s="180">
        <v>1.1822125813449025</v>
      </c>
      <c r="O66" s="180">
        <v>0.77440347071583504</v>
      </c>
      <c r="P66" s="180">
        <v>0.76464208242950105</v>
      </c>
      <c r="Q66" s="180">
        <v>0.85683297180043383</v>
      </c>
      <c r="R66" s="180">
        <v>0.94577006507592187</v>
      </c>
      <c r="S66" s="180">
        <v>0.58676789587852496</v>
      </c>
      <c r="T66" s="180">
        <v>0.83514099783080253</v>
      </c>
      <c r="U66" s="180">
        <v>1.1496746203904555</v>
      </c>
      <c r="V66" s="180">
        <v>0.56073752711496749</v>
      </c>
      <c r="W66" s="180">
        <v>0.8904555314533622</v>
      </c>
      <c r="X66" s="180">
        <v>0.94685466377440342</v>
      </c>
      <c r="Y66" s="180">
        <v>1.5943600867678958</v>
      </c>
      <c r="Z66" s="180">
        <v>1.1388286334056399</v>
      </c>
      <c r="AA66" s="180">
        <v>1.8763557483731019</v>
      </c>
      <c r="AB66" s="180">
        <v>1.4750542299349241</v>
      </c>
    </row>
    <row r="67" spans="1:28">
      <c r="A67" s="136" t="s">
        <v>198</v>
      </c>
      <c r="B67" s="186">
        <v>1</v>
      </c>
      <c r="C67" s="178">
        <v>0.8582677165354331</v>
      </c>
      <c r="D67" s="178">
        <v>0.84251968503937003</v>
      </c>
      <c r="E67" s="178">
        <v>0.62913385826771651</v>
      </c>
      <c r="F67" s="178">
        <v>0.96062992125984248</v>
      </c>
      <c r="G67" s="178">
        <v>0.76220472440944886</v>
      </c>
      <c r="H67" s="178">
        <v>0.77401574803149609</v>
      </c>
      <c r="I67" s="178">
        <v>0.81889763779527558</v>
      </c>
      <c r="J67" s="178">
        <v>0.70078740157480313</v>
      </c>
      <c r="K67" s="178">
        <v>0.64724409448818898</v>
      </c>
      <c r="L67" s="178">
        <v>0.64488188976377958</v>
      </c>
      <c r="M67" s="178">
        <v>0.57559055118110236</v>
      </c>
      <c r="N67" s="178">
        <v>0.69448818897637798</v>
      </c>
      <c r="O67" s="178">
        <v>0.93700787401574803</v>
      </c>
      <c r="P67" s="178">
        <v>0.77637795275590549</v>
      </c>
      <c r="Q67" s="178">
        <v>0.57086614173228345</v>
      </c>
      <c r="R67" s="178">
        <v>1.3070866141732282</v>
      </c>
      <c r="S67" s="178">
        <v>1.094488188976378</v>
      </c>
      <c r="T67" s="178">
        <v>0.80314960629921262</v>
      </c>
      <c r="U67" s="178">
        <v>0.96850393700787396</v>
      </c>
      <c r="V67" s="178">
        <v>0.64881889763779532</v>
      </c>
      <c r="W67" s="178">
        <v>0.78740157480314965</v>
      </c>
      <c r="X67" s="178">
        <v>0.91338582677165359</v>
      </c>
      <c r="Y67" s="179">
        <v>0.96850393700787396</v>
      </c>
      <c r="Z67" s="178">
        <v>0.58582677165354335</v>
      </c>
      <c r="AA67" s="178">
        <v>0.61574803149606294</v>
      </c>
      <c r="AB67" s="178">
        <v>0.52204724409448822</v>
      </c>
    </row>
    <row r="68" spans="1:28">
      <c r="A68" s="136" t="s">
        <v>199</v>
      </c>
      <c r="B68" s="178">
        <v>1</v>
      </c>
      <c r="C68" s="178">
        <v>0.98290598290598286</v>
      </c>
      <c r="D68" s="178">
        <v>0.79914529914529919</v>
      </c>
      <c r="E68" s="178">
        <v>0.70940170940170943</v>
      </c>
      <c r="F68" s="178">
        <v>1</v>
      </c>
      <c r="G68" s="178">
        <v>0.89743589743589747</v>
      </c>
      <c r="H68" s="178">
        <v>0.90598290598290598</v>
      </c>
      <c r="I68" s="178">
        <v>1.0940170940170941</v>
      </c>
      <c r="J68" s="178">
        <v>0.70170940170940166</v>
      </c>
      <c r="K68" s="178">
        <v>0.66239316239316237</v>
      </c>
      <c r="L68" s="178">
        <v>0.71282051282051284</v>
      </c>
      <c r="M68" s="178">
        <v>0.78376068376068375</v>
      </c>
      <c r="N68" s="178">
        <v>0.79316239316239312</v>
      </c>
      <c r="O68" s="178">
        <v>0.9145299145299145</v>
      </c>
      <c r="P68" s="178">
        <v>0.81025641025641026</v>
      </c>
      <c r="Q68" s="178">
        <v>0.73076923076923073</v>
      </c>
      <c r="R68" s="178">
        <v>1.0085470085470085</v>
      </c>
      <c r="S68" s="178">
        <v>0.8042735042735043</v>
      </c>
      <c r="T68" s="178">
        <v>0.86324786324786329</v>
      </c>
      <c r="U68" s="178">
        <v>1.2478632478632479</v>
      </c>
      <c r="V68" s="178">
        <v>0.82564102564102559</v>
      </c>
      <c r="W68" s="178">
        <v>0.9145299145299145</v>
      </c>
      <c r="X68" s="178">
        <v>1.1025641025641026</v>
      </c>
      <c r="Y68" s="179">
        <v>1.1452991452991452</v>
      </c>
      <c r="Z68" s="178">
        <v>0.6726495726495727</v>
      </c>
      <c r="AA68" s="178">
        <v>0.65982905982905982</v>
      </c>
      <c r="AB68" s="178">
        <v>0.63247863247863245</v>
      </c>
    </row>
    <row r="69" spans="1:28">
      <c r="A69" s="136" t="s">
        <v>200</v>
      </c>
      <c r="B69" s="185">
        <v>1</v>
      </c>
      <c r="C69" s="180">
        <v>1.2173913043478262</v>
      </c>
      <c r="D69" s="180">
        <v>1.9927536231884058</v>
      </c>
      <c r="E69" s="180">
        <v>0.57753623188405789</v>
      </c>
      <c r="F69" s="180">
        <v>0.73913043478260854</v>
      </c>
      <c r="G69" s="180">
        <v>0.93478260869565211</v>
      </c>
      <c r="H69" s="180">
        <v>1.1231884057971013</v>
      </c>
      <c r="I69" s="180">
        <v>1.507246376811594</v>
      </c>
      <c r="J69" s="180">
        <v>0.60507246376811596</v>
      </c>
      <c r="K69" s="180">
        <v>0.58913043478260863</v>
      </c>
      <c r="L69" s="180">
        <v>2.2028985507246372</v>
      </c>
      <c r="M69" s="180">
        <v>1.7898550724637678</v>
      </c>
      <c r="N69" s="180">
        <v>1.6666666666666665</v>
      </c>
      <c r="O69" s="180">
        <v>0.76811594202898548</v>
      </c>
      <c r="P69" s="180">
        <v>0.94202898550724634</v>
      </c>
      <c r="Q69" s="180">
        <v>0.87681159420289845</v>
      </c>
      <c r="R69" s="180">
        <v>3.7826086956521738</v>
      </c>
      <c r="S69" s="180">
        <v>0.71014492753623182</v>
      </c>
      <c r="T69" s="180">
        <v>0.39057971014492754</v>
      </c>
      <c r="U69" s="180">
        <v>0.31811594202898547</v>
      </c>
      <c r="V69" s="180">
        <v>0.51666666666666661</v>
      </c>
      <c r="W69" s="180">
        <v>0.49637681159420288</v>
      </c>
      <c r="X69" s="180">
        <v>0.41231884057971008</v>
      </c>
      <c r="Y69" s="180">
        <v>0.80434782608695643</v>
      </c>
      <c r="Z69" s="180">
        <v>0.87681159420289845</v>
      </c>
      <c r="AA69" s="180">
        <v>1.1666666666666665</v>
      </c>
      <c r="AB69" s="180">
        <v>4.2826086956521729</v>
      </c>
    </row>
    <row r="70" spans="1:28">
      <c r="A70" s="136" t="s">
        <v>201</v>
      </c>
      <c r="B70" s="185">
        <v>1</v>
      </c>
      <c r="C70" s="180">
        <v>1.6583333333333334</v>
      </c>
      <c r="D70" s="180">
        <v>2.166666666666667</v>
      </c>
      <c r="E70" s="180">
        <v>1.2333333333333334</v>
      </c>
      <c r="F70" s="180">
        <v>1.05</v>
      </c>
      <c r="G70" s="180">
        <v>1.1333333333333335</v>
      </c>
      <c r="H70" s="180">
        <v>1.3083333333333333</v>
      </c>
      <c r="I70" s="180">
        <v>1.7750000000000001</v>
      </c>
      <c r="J70" s="180">
        <v>1.4000000000000001</v>
      </c>
      <c r="K70" s="180">
        <v>1.5166666666666666</v>
      </c>
      <c r="L70" s="180">
        <v>0.255</v>
      </c>
      <c r="M70" s="180">
        <v>0.20583333333333334</v>
      </c>
      <c r="N70" s="180">
        <v>0.27833333333333332</v>
      </c>
      <c r="O70" s="180">
        <v>1.2249999999999999</v>
      </c>
      <c r="P70" s="180">
        <v>1.4916666666666667</v>
      </c>
      <c r="Q70" s="180">
        <v>0.76666666666666672</v>
      </c>
      <c r="R70" s="180">
        <v>1.0333333333333334</v>
      </c>
      <c r="S70" s="180">
        <v>0.6</v>
      </c>
      <c r="T70" s="180">
        <v>0.76</v>
      </c>
      <c r="U70" s="180">
        <v>0.97500000000000009</v>
      </c>
      <c r="V70" s="180">
        <v>0.81416666666666671</v>
      </c>
      <c r="W70" s="180">
        <v>0.83333333333333337</v>
      </c>
      <c r="X70" s="180">
        <v>0.9916666666666667</v>
      </c>
      <c r="Y70" s="180">
        <v>0.37916666666666665</v>
      </c>
      <c r="Z70" s="180">
        <v>0.14083333333333334</v>
      </c>
      <c r="AA70" s="180">
        <v>0.20333333333333337</v>
      </c>
      <c r="AB70" s="180">
        <v>0.39333333333333331</v>
      </c>
    </row>
    <row r="71" spans="1:28">
      <c r="A71" s="136" t="s">
        <v>202</v>
      </c>
      <c r="B71" s="185">
        <v>1</v>
      </c>
      <c r="C71" s="180">
        <v>1.675284384694933</v>
      </c>
      <c r="D71" s="180">
        <v>1.8821096173733196</v>
      </c>
      <c r="E71" s="180">
        <v>2.264736297828335</v>
      </c>
      <c r="F71" s="180">
        <v>2.2440537745604963</v>
      </c>
      <c r="G71" s="180">
        <v>1.5718717683557395</v>
      </c>
      <c r="H71" s="180">
        <v>0.70010341261633924</v>
      </c>
      <c r="I71" s="180">
        <v>1.0072388831437435</v>
      </c>
      <c r="J71" s="180">
        <v>0.27921406411582217</v>
      </c>
      <c r="K71" s="180">
        <v>0.25853154084798347</v>
      </c>
      <c r="L71" s="180">
        <v>1.2719751809720785</v>
      </c>
      <c r="M71" s="180">
        <v>1.2409513960703207</v>
      </c>
      <c r="N71" s="180">
        <v>1.220268872802482</v>
      </c>
      <c r="O71" s="180">
        <v>0.27094105480868669</v>
      </c>
      <c r="P71" s="180">
        <v>0.84901758014477768</v>
      </c>
      <c r="Q71" s="180">
        <v>1.1065149948293693</v>
      </c>
      <c r="R71" s="180">
        <v>1.6959669079627715</v>
      </c>
      <c r="S71" s="180">
        <v>1.5098241985522234</v>
      </c>
      <c r="T71" s="180">
        <v>1.1789038262668046</v>
      </c>
      <c r="U71" s="180">
        <v>1.5098241985522234</v>
      </c>
      <c r="V71" s="180">
        <v>1.2099276111685626</v>
      </c>
      <c r="W71" s="180">
        <v>1.1789038262668046</v>
      </c>
      <c r="X71" s="180">
        <v>1.2099276111685626</v>
      </c>
      <c r="Y71" s="180">
        <v>0.5987590486039297</v>
      </c>
      <c r="Z71" s="180">
        <v>0.92450879007238884</v>
      </c>
      <c r="AA71" s="180">
        <v>1.0248190279214064</v>
      </c>
      <c r="AB71" s="180">
        <v>1.127197518097208</v>
      </c>
    </row>
    <row r="72" spans="1:28">
      <c r="A72" s="136" t="s">
        <v>203</v>
      </c>
      <c r="B72" s="185">
        <v>1</v>
      </c>
      <c r="C72" s="180">
        <v>0.53540587219343694</v>
      </c>
      <c r="D72" s="180">
        <v>0.36096718480138168</v>
      </c>
      <c r="E72" s="180">
        <v>0.60967184801381691</v>
      </c>
      <c r="F72" s="180">
        <v>0.41968911917098445</v>
      </c>
      <c r="G72" s="180">
        <v>0.43005181347150256</v>
      </c>
      <c r="H72" s="180">
        <v>0.83246977547495682</v>
      </c>
      <c r="I72" s="180">
        <v>1.2797927461139895</v>
      </c>
      <c r="J72" s="180">
        <v>0.37651122625215888</v>
      </c>
      <c r="K72" s="180">
        <v>0.69084628670120896</v>
      </c>
      <c r="L72" s="180">
        <v>2.6252158894645943</v>
      </c>
      <c r="M72" s="180">
        <v>2.6252158894645943</v>
      </c>
      <c r="N72" s="180">
        <v>2.2970639032815199</v>
      </c>
      <c r="O72" s="180">
        <v>0.60967184801381691</v>
      </c>
      <c r="P72" s="180">
        <v>0.77029360967184801</v>
      </c>
      <c r="Q72" s="180">
        <v>0.56994818652849744</v>
      </c>
      <c r="R72" s="180">
        <v>0.95509499136442144</v>
      </c>
      <c r="S72" s="180">
        <v>0.65630397236614857</v>
      </c>
      <c r="T72" s="180">
        <v>0.8376511226252159</v>
      </c>
      <c r="U72" s="180">
        <v>0.68221070811744389</v>
      </c>
      <c r="V72" s="180">
        <v>0.47668393782383417</v>
      </c>
      <c r="W72" s="180">
        <v>0.38860103626943004</v>
      </c>
      <c r="X72" s="180">
        <v>0.52331606217616577</v>
      </c>
      <c r="Y72" s="180">
        <v>0.26252158894645944</v>
      </c>
      <c r="Z72" s="180">
        <v>0.73747841105354062</v>
      </c>
      <c r="AA72" s="180">
        <v>1.2901554404145079</v>
      </c>
      <c r="AB72" s="180">
        <v>2.4006908462867016</v>
      </c>
    </row>
    <row r="73" spans="1:28">
      <c r="A73" s="136" t="s">
        <v>204</v>
      </c>
      <c r="B73" s="178">
        <v>1</v>
      </c>
      <c r="C73" s="178">
        <v>0.88495575221238942</v>
      </c>
      <c r="D73" s="178">
        <v>0.74115044247787609</v>
      </c>
      <c r="E73" s="178">
        <v>0.67146017699115046</v>
      </c>
      <c r="F73" s="178">
        <v>0.44469026548672569</v>
      </c>
      <c r="G73" s="178">
        <v>0.81194690265486724</v>
      </c>
      <c r="H73" s="178">
        <v>0.8252212389380531</v>
      </c>
      <c r="I73" s="178">
        <v>0.78761061946902655</v>
      </c>
      <c r="J73" s="178">
        <v>0.88384955752212391</v>
      </c>
      <c r="K73" s="178">
        <v>1.043141592920354</v>
      </c>
      <c r="L73" s="178">
        <v>0.9502212389380531</v>
      </c>
      <c r="M73" s="178">
        <v>0.95243362831858402</v>
      </c>
      <c r="N73" s="178">
        <v>0.9502212389380531</v>
      </c>
      <c r="O73" s="178">
        <v>0.79314159292035402</v>
      </c>
      <c r="P73" s="178">
        <v>1.0188053097345133</v>
      </c>
      <c r="Q73" s="178">
        <v>0.99446902654867253</v>
      </c>
      <c r="R73" s="178">
        <v>0.65929203539823011</v>
      </c>
      <c r="S73" s="178">
        <v>1.3827433628318584</v>
      </c>
      <c r="T73" s="178">
        <v>1.2168141592920354</v>
      </c>
      <c r="U73" s="178">
        <v>0.6747787610619469</v>
      </c>
      <c r="V73" s="178">
        <v>1.0464601769911503</v>
      </c>
      <c r="W73" s="178">
        <v>1.0707964601769913</v>
      </c>
      <c r="X73" s="178">
        <v>0.99557522123893805</v>
      </c>
      <c r="Y73" s="179">
        <v>0.77323008849557517</v>
      </c>
      <c r="Z73" s="178">
        <v>0.90597345132743368</v>
      </c>
      <c r="AA73" s="178">
        <v>0.85176991150442483</v>
      </c>
      <c r="AB73" s="178">
        <v>0.61393805309734517</v>
      </c>
    </row>
    <row r="74" spans="1:28">
      <c r="A74" s="136" t="s">
        <v>205</v>
      </c>
      <c r="B74" s="178">
        <v>1</v>
      </c>
      <c r="C74" s="178">
        <v>0.83193277310924374</v>
      </c>
      <c r="D74" s="178">
        <v>0.65126050420168069</v>
      </c>
      <c r="E74" s="178">
        <v>0.91176470588235292</v>
      </c>
      <c r="F74" s="178">
        <v>0.55882352941176472</v>
      </c>
      <c r="G74" s="178">
        <v>0.7142857142857143</v>
      </c>
      <c r="H74" s="178">
        <v>0.86554621848739499</v>
      </c>
      <c r="I74" s="178">
        <v>0.80252100840336138</v>
      </c>
      <c r="J74" s="178">
        <v>0.8613445378151261</v>
      </c>
      <c r="K74" s="178">
        <v>0.94117647058823528</v>
      </c>
      <c r="L74" s="178">
        <v>0.87815126050420167</v>
      </c>
      <c r="M74" s="178">
        <v>0.84873949579831931</v>
      </c>
      <c r="N74" s="178">
        <v>0.8571428571428571</v>
      </c>
      <c r="O74" s="178">
        <v>0.97058823529411764</v>
      </c>
      <c r="P74" s="178">
        <v>0.76470588235294112</v>
      </c>
      <c r="Q74" s="178">
        <v>0.89915966386554624</v>
      </c>
      <c r="R74" s="178">
        <v>0.47058823529411764</v>
      </c>
      <c r="S74" s="178">
        <v>0.76470588235294112</v>
      </c>
      <c r="T74" s="178">
        <v>0.7857142857142857</v>
      </c>
      <c r="U74" s="178">
        <v>0.5672268907563025</v>
      </c>
      <c r="V74" s="178">
        <v>0.82352941176470584</v>
      </c>
      <c r="W74" s="178">
        <v>0.77310924369747902</v>
      </c>
      <c r="X74" s="178">
        <v>0.80252100840336138</v>
      </c>
      <c r="Y74" s="179">
        <v>0.60924369747899154</v>
      </c>
      <c r="Z74" s="178">
        <v>1.4285714285714286</v>
      </c>
      <c r="AA74" s="178">
        <v>2.0210084033613445</v>
      </c>
      <c r="AB74" s="178">
        <v>3.172268907563025</v>
      </c>
    </row>
    <row r="75" spans="1:28">
      <c r="A75" s="136" t="s">
        <v>206</v>
      </c>
      <c r="B75" s="178">
        <v>1</v>
      </c>
      <c r="C75" s="178">
        <v>0.84732824427480913</v>
      </c>
      <c r="D75" s="178">
        <v>0.58625954198473285</v>
      </c>
      <c r="E75" s="178">
        <v>0.75648854961832057</v>
      </c>
      <c r="F75" s="178">
        <v>0.48015267175572518</v>
      </c>
      <c r="G75" s="178">
        <v>0.66946564885496185</v>
      </c>
      <c r="H75" s="178">
        <v>0.77099236641221369</v>
      </c>
      <c r="I75" s="178">
        <v>0.67022900763358784</v>
      </c>
      <c r="J75" s="178">
        <v>0.69541984732824424</v>
      </c>
      <c r="K75" s="178">
        <v>0.67328244274809157</v>
      </c>
      <c r="L75" s="178">
        <v>0.68396946564885497</v>
      </c>
      <c r="M75" s="178">
        <v>0.72137404580152675</v>
      </c>
      <c r="N75" s="178">
        <v>0.53740458015267178</v>
      </c>
      <c r="O75" s="178">
        <v>0.69312977099236639</v>
      </c>
      <c r="P75" s="178">
        <v>0.54274809160305348</v>
      </c>
      <c r="Q75" s="178">
        <v>0.4580152671755725</v>
      </c>
      <c r="R75" s="178">
        <v>0.34351145038167941</v>
      </c>
      <c r="S75" s="178">
        <v>0.73587786259541987</v>
      </c>
      <c r="T75" s="178">
        <v>0.65954198473282444</v>
      </c>
      <c r="U75" s="178">
        <v>0.52900763358778624</v>
      </c>
      <c r="V75" s="178">
        <v>0.58778625954198471</v>
      </c>
      <c r="W75" s="178">
        <v>0.59312977099236641</v>
      </c>
      <c r="X75" s="178">
        <v>0.70152671755725193</v>
      </c>
      <c r="Y75" s="179">
        <v>0.44503816793893131</v>
      </c>
      <c r="Z75" s="178">
        <v>0.95419847328244278</v>
      </c>
      <c r="AA75" s="178">
        <v>1.5496183206106871</v>
      </c>
      <c r="AB75" s="178">
        <v>2.1603053435114505</v>
      </c>
    </row>
    <row r="76" spans="1:28">
      <c r="A76" s="136" t="s">
        <v>207</v>
      </c>
      <c r="B76" s="185">
        <v>1</v>
      </c>
      <c r="C76" s="180">
        <v>1.4066666666666665</v>
      </c>
      <c r="D76" s="180">
        <v>1.5199999999999998</v>
      </c>
      <c r="E76" s="180">
        <v>1.8866666666666667</v>
      </c>
      <c r="F76" s="180">
        <v>1.7300000000000002</v>
      </c>
      <c r="G76" s="180">
        <v>1.4466666666666665</v>
      </c>
      <c r="H76" s="180">
        <v>0.75</v>
      </c>
      <c r="I76" s="180">
        <v>0.85666666666666658</v>
      </c>
      <c r="J76" s="180">
        <v>1.3</v>
      </c>
      <c r="K76" s="180">
        <v>1.47</v>
      </c>
      <c r="L76" s="180">
        <v>0.84</v>
      </c>
      <c r="M76" s="180">
        <v>0.70000000000000007</v>
      </c>
      <c r="N76" s="180">
        <v>0.6333333333333333</v>
      </c>
      <c r="O76" s="180">
        <v>1.2566666666666666</v>
      </c>
      <c r="P76" s="180">
        <v>0.78333333333333333</v>
      </c>
      <c r="Q76" s="180">
        <v>1.0533333333333335</v>
      </c>
      <c r="R76" s="180">
        <v>0.94666666666666666</v>
      </c>
      <c r="S76" s="180">
        <v>0.76666666666666661</v>
      </c>
      <c r="T76" s="180">
        <v>0.84</v>
      </c>
      <c r="U76" s="180">
        <v>0.8833333333333333</v>
      </c>
      <c r="V76" s="180">
        <v>1.1500000000000001</v>
      </c>
      <c r="W76" s="180">
        <v>1.1500000000000001</v>
      </c>
      <c r="X76" s="180">
        <v>1.28</v>
      </c>
      <c r="Y76" s="180">
        <v>0.45999999999999996</v>
      </c>
      <c r="Z76" s="180">
        <v>0.6333333333333333</v>
      </c>
      <c r="AA76" s="180">
        <v>0.81</v>
      </c>
      <c r="AB76" s="180">
        <v>1.06</v>
      </c>
    </row>
    <row r="77" spans="1:28" ht="15.95" thickBot="1">
      <c r="A77" s="146" t="s">
        <v>208</v>
      </c>
      <c r="B77" s="187">
        <v>1</v>
      </c>
      <c r="C77" s="188">
        <v>0.72222222222222221</v>
      </c>
      <c r="D77" s="188">
        <v>0.57341269841269837</v>
      </c>
      <c r="E77" s="188">
        <v>0.93849206349206349</v>
      </c>
      <c r="F77" s="188">
        <v>0.7142857142857143</v>
      </c>
      <c r="G77" s="188">
        <v>0.65674603174603174</v>
      </c>
      <c r="H77" s="188">
        <v>1.0436507936507937</v>
      </c>
      <c r="I77" s="188">
        <v>1.8829365079365079</v>
      </c>
      <c r="J77" s="188">
        <v>1.0376984126984128</v>
      </c>
      <c r="K77" s="188">
        <v>0.98611111111111105</v>
      </c>
      <c r="L77" s="188">
        <v>1.1825396825396826</v>
      </c>
      <c r="M77" s="188">
        <v>1.1150793650793651</v>
      </c>
      <c r="N77" s="188">
        <v>1.0833333333333335</v>
      </c>
      <c r="O77" s="188">
        <v>1.125</v>
      </c>
      <c r="P77" s="188">
        <v>0.90277777777777779</v>
      </c>
      <c r="Q77" s="188">
        <v>1.2440476190476191</v>
      </c>
      <c r="R77" s="188">
        <v>2.3809523809523809</v>
      </c>
      <c r="S77" s="188">
        <v>1.253968253968254</v>
      </c>
      <c r="T77" s="188">
        <v>1.5436507936507937</v>
      </c>
      <c r="U77" s="188">
        <v>1.3313492063492065</v>
      </c>
      <c r="V77" s="188">
        <v>1.5773809523809526</v>
      </c>
      <c r="W77" s="188">
        <v>1.3650793650793649</v>
      </c>
      <c r="X77" s="188">
        <v>1.5297619047619049</v>
      </c>
      <c r="Y77" s="188">
        <v>0.42857142857142855</v>
      </c>
      <c r="Z77" s="188">
        <v>0.60515873015873012</v>
      </c>
      <c r="AA77" s="188">
        <v>0.57341269841269837</v>
      </c>
      <c r="AB77" s="188">
        <v>1.0158730158730158</v>
      </c>
    </row>
    <row r="78" spans="1:28">
      <c r="A78" s="136" t="s">
        <v>209</v>
      </c>
      <c r="B78" s="178">
        <v>1</v>
      </c>
      <c r="C78" s="178">
        <v>0.70238095238095233</v>
      </c>
      <c r="D78" s="178">
        <v>0.8214285714285714</v>
      </c>
      <c r="E78" s="178">
        <v>0.90476190476190477</v>
      </c>
      <c r="F78" s="178">
        <v>0.8392857142857143</v>
      </c>
      <c r="G78" s="178">
        <v>0.76190476190476186</v>
      </c>
      <c r="H78" s="178">
        <v>0.7857142857142857</v>
      </c>
      <c r="I78" s="178">
        <v>0.80952380952380953</v>
      </c>
      <c r="J78" s="178">
        <v>0.75</v>
      </c>
      <c r="K78" s="178">
        <v>0.70833333333333337</v>
      </c>
      <c r="L78" s="178">
        <v>0.70833333333333337</v>
      </c>
      <c r="M78" s="178">
        <v>0.73809523809523814</v>
      </c>
      <c r="N78" s="178">
        <v>0.6607142857142857</v>
      </c>
      <c r="O78" s="178">
        <v>0.76190476190476186</v>
      </c>
      <c r="P78" s="178">
        <v>0.72619047619047616</v>
      </c>
      <c r="Q78" s="178">
        <v>0.64880952380952384</v>
      </c>
      <c r="R78" s="178">
        <v>1.1011904761904763</v>
      </c>
      <c r="S78" s="178">
        <v>1</v>
      </c>
      <c r="T78" s="178">
        <v>0.6964285714285714</v>
      </c>
      <c r="U78" s="178">
        <v>1.0476190476190477</v>
      </c>
      <c r="V78" s="178">
        <v>0.88095238095238093</v>
      </c>
      <c r="W78" s="178">
        <v>0.6785714285714286</v>
      </c>
      <c r="X78" s="178">
        <v>0.6964285714285714</v>
      </c>
      <c r="Y78" s="179">
        <v>0.6964285714285714</v>
      </c>
      <c r="Z78" s="178">
        <v>0.76190476190476186</v>
      </c>
      <c r="AA78" s="178">
        <v>0.93452380952380953</v>
      </c>
      <c r="AB78" s="178">
        <v>0.79166666666666663</v>
      </c>
    </row>
    <row r="79" spans="1:28" ht="15.95" thickBot="1">
      <c r="A79" s="146" t="s">
        <v>210</v>
      </c>
      <c r="B79" s="195">
        <v>1</v>
      </c>
      <c r="C79" s="195">
        <v>0.9862542955326461</v>
      </c>
      <c r="D79" s="195">
        <v>0.47079037800687284</v>
      </c>
      <c r="E79" s="195">
        <v>0.18969072164948453</v>
      </c>
      <c r="F79" s="195">
        <v>0.42611683848797249</v>
      </c>
      <c r="G79" s="195">
        <v>0.54639175257731953</v>
      </c>
      <c r="H79" s="195">
        <v>0.75945017182130581</v>
      </c>
      <c r="I79" s="195">
        <v>0.57731958762886593</v>
      </c>
      <c r="J79" s="195">
        <v>0.89690721649484539</v>
      </c>
      <c r="K79" s="195">
        <v>0.88659793814432986</v>
      </c>
      <c r="L79" s="195">
        <v>0.70446735395189009</v>
      </c>
      <c r="M79" s="195">
        <v>0.85910652920962194</v>
      </c>
      <c r="N79" s="195">
        <v>0.66323024054982815</v>
      </c>
      <c r="O79" s="195">
        <v>0.6426116838487973</v>
      </c>
      <c r="P79" s="195">
        <v>0.24982817869415808</v>
      </c>
      <c r="Q79" s="195">
        <v>0.6426116838487973</v>
      </c>
      <c r="R79" s="195">
        <v>9.4158075601374569E-2</v>
      </c>
      <c r="S79" s="195">
        <v>0.76632302405498287</v>
      </c>
      <c r="T79" s="195">
        <v>0.71477663230240551</v>
      </c>
      <c r="U79" s="195">
        <v>0.23367697594501718</v>
      </c>
      <c r="V79" s="195">
        <v>0.66666666666666663</v>
      </c>
      <c r="W79" s="195">
        <v>0.61168384879725091</v>
      </c>
      <c r="X79" s="195">
        <v>0.84879725085910651</v>
      </c>
      <c r="Y79" s="196">
        <v>0.32233676975945019</v>
      </c>
      <c r="Z79" s="195">
        <v>1.140893470790378</v>
      </c>
      <c r="AA79" s="195">
        <v>1.9587628865979381</v>
      </c>
      <c r="AB79" s="195">
        <v>1.2371134020618557</v>
      </c>
    </row>
  </sheetData>
  <mergeCells count="2">
    <mergeCell ref="A1:A2"/>
    <mergeCell ref="B1:B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C237"/>
  <sheetViews>
    <sheetView topLeftCell="P1" workbookViewId="0">
      <selection activeCell="AI233" sqref="AI233"/>
    </sheetView>
  </sheetViews>
  <sheetFormatPr defaultColWidth="8.85546875" defaultRowHeight="15"/>
  <cols>
    <col min="1" max="1" width="58.140625" bestFit="1" customWidth="1"/>
    <col min="2" max="2" width="9.28515625" bestFit="1" customWidth="1"/>
    <col min="25" max="28" width="10.140625" bestFit="1" customWidth="1"/>
  </cols>
  <sheetData>
    <row r="1" spans="1:29">
      <c r="A1" s="91" t="s">
        <v>72</v>
      </c>
      <c r="B1" s="197" t="s">
        <v>1140</v>
      </c>
      <c r="C1" s="30" t="s">
        <v>74</v>
      </c>
      <c r="D1" s="30" t="s">
        <v>75</v>
      </c>
      <c r="E1" s="30" t="s">
        <v>76</v>
      </c>
      <c r="F1" s="30" t="s">
        <v>78</v>
      </c>
      <c r="G1" s="30" t="s">
        <v>79</v>
      </c>
      <c r="H1" s="30" t="s">
        <v>80</v>
      </c>
      <c r="I1" s="30" t="s">
        <v>81</v>
      </c>
      <c r="J1" s="30" t="s">
        <v>83</v>
      </c>
      <c r="K1" s="30" t="s">
        <v>84</v>
      </c>
      <c r="L1" s="30" t="s">
        <v>85</v>
      </c>
      <c r="M1" s="30" t="s">
        <v>86</v>
      </c>
      <c r="N1" s="30" t="s">
        <v>87</v>
      </c>
      <c r="O1" s="30" t="s">
        <v>88</v>
      </c>
      <c r="P1" s="30" t="s">
        <v>89</v>
      </c>
      <c r="Q1" s="30" t="s">
        <v>90</v>
      </c>
      <c r="R1" s="30" t="s">
        <v>91</v>
      </c>
      <c r="S1" s="30" t="s">
        <v>92</v>
      </c>
      <c r="T1" s="30" t="s">
        <v>93</v>
      </c>
      <c r="U1" s="30" t="s">
        <v>94</v>
      </c>
      <c r="V1" s="30" t="s">
        <v>95</v>
      </c>
      <c r="W1" s="30" t="s">
        <v>96</v>
      </c>
      <c r="X1" s="199" t="s">
        <v>97</v>
      </c>
      <c r="Y1" s="102" t="s">
        <v>98</v>
      </c>
      <c r="Z1" s="103" t="s">
        <v>99</v>
      </c>
      <c r="AA1" s="103" t="s">
        <v>100</v>
      </c>
      <c r="AB1" s="104" t="s">
        <v>101</v>
      </c>
      <c r="AC1" s="5"/>
    </row>
    <row r="2" spans="1:29">
      <c r="A2" s="91" t="s">
        <v>1142</v>
      </c>
      <c r="B2" s="198" t="s">
        <v>1143</v>
      </c>
      <c r="C2" s="79" t="s">
        <v>112</v>
      </c>
      <c r="D2" s="79" t="s">
        <v>113</v>
      </c>
      <c r="E2" s="79" t="s">
        <v>114</v>
      </c>
      <c r="F2" s="79" t="s">
        <v>116</v>
      </c>
      <c r="G2" s="79" t="s">
        <v>117</v>
      </c>
      <c r="H2" s="79" t="s">
        <v>118</v>
      </c>
      <c r="I2" s="79" t="s">
        <v>119</v>
      </c>
      <c r="J2" s="79" t="s">
        <v>121</v>
      </c>
      <c r="K2" s="79" t="s">
        <v>122</v>
      </c>
      <c r="L2" s="79" t="s">
        <v>123</v>
      </c>
      <c r="M2" s="79" t="s">
        <v>124</v>
      </c>
      <c r="N2" s="79" t="s">
        <v>125</v>
      </c>
      <c r="O2" s="79" t="s">
        <v>126</v>
      </c>
      <c r="P2" s="79" t="s">
        <v>127</v>
      </c>
      <c r="Q2" s="79" t="s">
        <v>128</v>
      </c>
      <c r="R2" s="79" t="s">
        <v>129</v>
      </c>
      <c r="S2" s="79" t="s">
        <v>130</v>
      </c>
      <c r="T2" s="79" t="s">
        <v>131</v>
      </c>
      <c r="U2" s="79" t="s">
        <v>132</v>
      </c>
      <c r="V2" s="79" t="s">
        <v>133</v>
      </c>
      <c r="W2" s="79" t="s">
        <v>134</v>
      </c>
      <c r="X2" s="108" t="s">
        <v>135</v>
      </c>
      <c r="Y2" s="105" t="s">
        <v>136</v>
      </c>
      <c r="Z2" s="79" t="s">
        <v>137</v>
      </c>
      <c r="AA2" s="79" t="s">
        <v>138</v>
      </c>
      <c r="AB2" s="106" t="s">
        <v>139</v>
      </c>
      <c r="AC2" s="79" t="s">
        <v>3</v>
      </c>
    </row>
    <row r="3" spans="1:29">
      <c r="A3" s="93" t="s">
        <v>219</v>
      </c>
      <c r="B3" s="36">
        <v>0.128</v>
      </c>
      <c r="C3" s="36">
        <v>0.13500000000000001</v>
      </c>
      <c r="D3" s="36">
        <v>0.25800000000000001</v>
      </c>
      <c r="E3" s="5"/>
      <c r="F3" s="5"/>
      <c r="G3" s="36">
        <v>0.254</v>
      </c>
      <c r="H3" s="36">
        <v>0.153</v>
      </c>
      <c r="I3" s="36">
        <v>0.113</v>
      </c>
      <c r="J3" s="5"/>
      <c r="K3" s="5"/>
      <c r="L3" s="5"/>
      <c r="M3" s="5"/>
      <c r="N3" s="5"/>
      <c r="O3" s="5"/>
      <c r="P3" s="5"/>
      <c r="Q3" s="36">
        <v>0.27</v>
      </c>
      <c r="R3" s="36">
        <v>0.47799999999999998</v>
      </c>
      <c r="S3" s="36">
        <v>0.223</v>
      </c>
      <c r="T3" s="36">
        <v>0.191</v>
      </c>
      <c r="U3" s="36">
        <v>0.254</v>
      </c>
      <c r="V3" s="36">
        <v>0.13</v>
      </c>
      <c r="W3" s="36">
        <v>0.25900000000000001</v>
      </c>
      <c r="X3" s="200">
        <v>0.26600000000000001</v>
      </c>
      <c r="Y3" s="113"/>
      <c r="Z3" s="5"/>
      <c r="AA3" s="5"/>
      <c r="AB3" s="140">
        <v>0.26900000000000002</v>
      </c>
      <c r="AC3" s="36">
        <v>0.128</v>
      </c>
    </row>
    <row r="4" spans="1:29">
      <c r="A4" s="93" t="s">
        <v>231</v>
      </c>
      <c r="B4" s="5"/>
      <c r="C4" s="36">
        <v>5.79E-2</v>
      </c>
      <c r="D4" s="36">
        <v>4.3499999999999997E-2</v>
      </c>
      <c r="E4" s="5"/>
      <c r="F4" s="5"/>
      <c r="G4" s="36">
        <v>3.7900000000000003E-2</v>
      </c>
      <c r="H4" s="36">
        <v>4.6300000000000001E-2</v>
      </c>
      <c r="I4" s="36">
        <v>3.3799999999999997E-2</v>
      </c>
      <c r="J4" s="5"/>
      <c r="K4" s="5"/>
      <c r="L4" s="5"/>
      <c r="M4" s="5"/>
      <c r="N4" s="5"/>
      <c r="O4" s="5"/>
      <c r="P4" s="5"/>
      <c r="Q4" s="5"/>
      <c r="R4" s="5"/>
      <c r="S4" s="5"/>
      <c r="T4" s="5"/>
      <c r="U4" s="5"/>
      <c r="V4" s="5"/>
      <c r="W4" s="5"/>
      <c r="X4" s="201"/>
      <c r="Y4" s="113"/>
      <c r="Z4" s="5"/>
      <c r="AA4" s="5"/>
      <c r="AB4" s="114"/>
      <c r="AC4" s="5"/>
    </row>
    <row r="5" spans="1:29">
      <c r="A5" s="93" t="s">
        <v>236</v>
      </c>
      <c r="B5" s="35">
        <v>0.124</v>
      </c>
      <c r="C5" s="35">
        <v>0.158</v>
      </c>
      <c r="D5" s="35">
        <v>8.8900000000000007E-2</v>
      </c>
      <c r="E5" s="35">
        <v>0.12</v>
      </c>
      <c r="F5" s="35">
        <v>8.6499999999999994E-2</v>
      </c>
      <c r="G5" s="35">
        <v>0.20799999999999999</v>
      </c>
      <c r="H5" s="35">
        <v>0.16400000000000001</v>
      </c>
      <c r="I5" s="35">
        <v>0.155</v>
      </c>
      <c r="J5" s="35">
        <v>0.128</v>
      </c>
      <c r="K5" s="35">
        <v>0.13700000000000001</v>
      </c>
      <c r="L5" s="35">
        <v>0.123</v>
      </c>
      <c r="M5" s="35">
        <v>0.123</v>
      </c>
      <c r="N5" s="35">
        <v>0.159</v>
      </c>
      <c r="O5" s="35">
        <v>0.10299999999999999</v>
      </c>
      <c r="P5" s="35">
        <v>0.11700000000000001</v>
      </c>
      <c r="Q5" s="35">
        <v>0.16200000000000001</v>
      </c>
      <c r="R5" s="35">
        <v>9.3299999999999994E-2</v>
      </c>
      <c r="S5" s="35">
        <v>0.129</v>
      </c>
      <c r="T5" s="35">
        <v>0.186</v>
      </c>
      <c r="U5" s="35">
        <v>0.122</v>
      </c>
      <c r="V5" s="35">
        <v>9.0700000000000003E-2</v>
      </c>
      <c r="W5" s="35">
        <v>0.183</v>
      </c>
      <c r="X5" s="202">
        <v>0.157</v>
      </c>
      <c r="Y5" s="141"/>
      <c r="Z5" s="3"/>
      <c r="AA5" s="3"/>
      <c r="AB5" s="138">
        <v>6.8400000000000002E-2</v>
      </c>
      <c r="AC5" s="35">
        <v>0.124</v>
      </c>
    </row>
    <row r="6" spans="1:29">
      <c r="A6" s="93" t="s">
        <v>239</v>
      </c>
      <c r="B6" s="36">
        <v>5.7099999999999998E-2</v>
      </c>
      <c r="C6" s="36">
        <v>5.21E-2</v>
      </c>
      <c r="D6" s="36">
        <v>3.7199999999999997E-2</v>
      </c>
      <c r="E6" s="5"/>
      <c r="F6" s="36">
        <v>7.0999999999999994E-2</v>
      </c>
      <c r="G6" s="36">
        <v>8.6900000000000005E-2</v>
      </c>
      <c r="H6" s="36">
        <v>6.4799999999999996E-2</v>
      </c>
      <c r="I6" s="36">
        <v>8.6199999999999999E-2</v>
      </c>
      <c r="J6" s="5"/>
      <c r="K6" s="36">
        <v>5.3600000000000002E-2</v>
      </c>
      <c r="L6" s="36">
        <v>2.3599999999999999E-2</v>
      </c>
      <c r="M6" s="36">
        <v>5.5899999999999998E-2</v>
      </c>
      <c r="N6" s="36">
        <v>0.109</v>
      </c>
      <c r="O6" s="5"/>
      <c r="P6" s="36">
        <v>4.9799999999999997E-2</v>
      </c>
      <c r="Q6" s="36">
        <v>5.6800000000000003E-2</v>
      </c>
      <c r="R6" s="36">
        <v>9.3399999999999997E-2</v>
      </c>
      <c r="S6" s="36">
        <v>6.5600000000000006E-2</v>
      </c>
      <c r="T6" s="36">
        <v>3.8300000000000001E-2</v>
      </c>
      <c r="U6" s="36">
        <v>4.1799999999999997E-2</v>
      </c>
      <c r="V6" s="36">
        <v>3.0599999999999999E-2</v>
      </c>
      <c r="W6" s="36">
        <v>4.2900000000000001E-2</v>
      </c>
      <c r="X6" s="200">
        <v>7.5999999999999998E-2</v>
      </c>
      <c r="Y6" s="139">
        <v>0.128</v>
      </c>
      <c r="Z6" s="36">
        <v>3.85E-2</v>
      </c>
      <c r="AA6" s="36">
        <v>5.0799999999999998E-2</v>
      </c>
      <c r="AB6" s="140">
        <v>8.8800000000000004E-2</v>
      </c>
      <c r="AC6" s="36">
        <v>5.7099999999999998E-2</v>
      </c>
    </row>
    <row r="7" spans="1:29">
      <c r="A7" s="93" t="s">
        <v>240</v>
      </c>
      <c r="B7" s="35">
        <v>1.97</v>
      </c>
      <c r="C7" s="35">
        <v>0.113</v>
      </c>
      <c r="D7" s="35">
        <v>8.0699999999999994E-2</v>
      </c>
      <c r="E7" s="35">
        <v>4.7</v>
      </c>
      <c r="F7" s="35">
        <v>5.05</v>
      </c>
      <c r="G7" s="35">
        <v>6.4500000000000002E-2</v>
      </c>
      <c r="H7" s="35">
        <v>6.4000000000000001E-2</v>
      </c>
      <c r="I7" s="3"/>
      <c r="J7" s="3"/>
      <c r="K7" s="35">
        <v>1.6</v>
      </c>
      <c r="L7" s="35">
        <v>1.87</v>
      </c>
      <c r="M7" s="35">
        <v>1.96</v>
      </c>
      <c r="N7" s="35">
        <v>0.94299999999999995</v>
      </c>
      <c r="O7" s="35">
        <v>1.38</v>
      </c>
      <c r="P7" s="35">
        <v>5.74</v>
      </c>
      <c r="Q7" s="35">
        <v>5.6399999999999999E-2</v>
      </c>
      <c r="R7" s="35">
        <v>0.19900000000000001</v>
      </c>
      <c r="S7" s="35">
        <v>5.0799999999999998E-2</v>
      </c>
      <c r="T7" s="35">
        <v>3.49E-2</v>
      </c>
      <c r="U7" s="35">
        <v>3.32E-2</v>
      </c>
      <c r="V7" s="35">
        <v>2.1899999999999999E-2</v>
      </c>
      <c r="W7" s="35">
        <v>4.2500000000000003E-2</v>
      </c>
      <c r="X7" s="202">
        <v>3.5400000000000001E-2</v>
      </c>
      <c r="Y7" s="204">
        <v>0.69</v>
      </c>
      <c r="Z7" s="35">
        <v>2.1</v>
      </c>
      <c r="AA7" s="35">
        <v>0.72</v>
      </c>
      <c r="AB7" s="138">
        <v>0.86499999999999999</v>
      </c>
      <c r="AC7" s="35">
        <v>1.97</v>
      </c>
    </row>
    <row r="8" spans="1:29">
      <c r="A8" s="93" t="s">
        <v>241</v>
      </c>
      <c r="B8" s="36">
        <v>0.28100000000000003</v>
      </c>
      <c r="C8" s="36">
        <v>0.42199999999999999</v>
      </c>
      <c r="D8" s="36">
        <v>0.54700000000000004</v>
      </c>
      <c r="E8" s="5"/>
      <c r="F8" s="5"/>
      <c r="G8" s="36">
        <v>0.31</v>
      </c>
      <c r="H8" s="36">
        <v>0.253</v>
      </c>
      <c r="I8" s="5"/>
      <c r="J8" s="5"/>
      <c r="K8" s="5"/>
      <c r="L8" s="5"/>
      <c r="M8" s="5"/>
      <c r="N8" s="5"/>
      <c r="O8" s="5"/>
      <c r="P8" s="5"/>
      <c r="Q8" s="36">
        <v>0.109</v>
      </c>
      <c r="R8" s="36">
        <v>0.129</v>
      </c>
      <c r="S8" s="36">
        <v>0.58599999999999997</v>
      </c>
      <c r="T8" s="36">
        <v>7.0099999999999996E-2</v>
      </c>
      <c r="U8" s="36">
        <v>0.29599999999999999</v>
      </c>
      <c r="V8" s="36">
        <v>9.8299999999999998E-2</v>
      </c>
      <c r="W8" s="36">
        <v>0.16400000000000001</v>
      </c>
      <c r="X8" s="200">
        <v>8.5900000000000004E-2</v>
      </c>
      <c r="Y8" s="113"/>
      <c r="Z8" s="5"/>
      <c r="AA8" s="5"/>
      <c r="AB8" s="114"/>
      <c r="AC8" s="36">
        <v>0.28100000000000003</v>
      </c>
    </row>
    <row r="9" spans="1:29">
      <c r="A9" s="93" t="s">
        <v>242</v>
      </c>
      <c r="B9" s="35">
        <v>7.9500000000000001E-2</v>
      </c>
      <c r="C9" s="35">
        <v>4.1000000000000002E-2</v>
      </c>
      <c r="D9" s="35">
        <v>2.7900000000000001E-2</v>
      </c>
      <c r="E9" s="3"/>
      <c r="F9" s="3"/>
      <c r="G9" s="35">
        <v>8.3599999999999994E-3</v>
      </c>
      <c r="H9" s="35">
        <v>1.4E-2</v>
      </c>
      <c r="I9" s="3"/>
      <c r="J9" s="3"/>
      <c r="K9" s="3"/>
      <c r="L9" s="3"/>
      <c r="M9" s="3"/>
      <c r="N9" s="35">
        <v>4.3E-3</v>
      </c>
      <c r="O9" s="3"/>
      <c r="P9" s="3"/>
      <c r="Q9" s="3"/>
      <c r="R9" s="35">
        <v>2.5399999999999999E-2</v>
      </c>
      <c r="S9" s="35">
        <v>1.6400000000000001E-2</v>
      </c>
      <c r="T9" s="3"/>
      <c r="U9" s="3"/>
      <c r="V9" s="3"/>
      <c r="W9" s="3"/>
      <c r="X9" s="203"/>
      <c r="Y9" s="141"/>
      <c r="Z9" s="3"/>
      <c r="AA9" s="3"/>
      <c r="AB9" s="142"/>
      <c r="AC9" s="35">
        <v>7.9500000000000001E-2</v>
      </c>
    </row>
    <row r="10" spans="1:29">
      <c r="A10" s="93" t="s">
        <v>243</v>
      </c>
      <c r="B10" s="36">
        <v>6.9500000000000006E-2</v>
      </c>
      <c r="C10" s="36">
        <v>5.8900000000000001E-2</v>
      </c>
      <c r="D10" s="36">
        <v>5.4899999999999997E-2</v>
      </c>
      <c r="E10" s="36">
        <v>0.127</v>
      </c>
      <c r="F10" s="36">
        <v>0.108</v>
      </c>
      <c r="G10" s="36">
        <v>6.8599999999999994E-2</v>
      </c>
      <c r="H10" s="36">
        <v>5.5199999999999999E-2</v>
      </c>
      <c r="I10" s="36">
        <v>5.3900000000000003E-2</v>
      </c>
      <c r="J10" s="5"/>
      <c r="K10" s="36">
        <v>9.0999999999999998E-2</v>
      </c>
      <c r="L10" s="36">
        <v>8.9300000000000004E-2</v>
      </c>
      <c r="M10" s="36">
        <v>9.3399999999999997E-2</v>
      </c>
      <c r="N10" s="36">
        <v>0.11700000000000001</v>
      </c>
      <c r="O10" s="36">
        <v>7.2099999999999997E-2</v>
      </c>
      <c r="P10" s="36">
        <v>8.8300000000000003E-2</v>
      </c>
      <c r="Q10" s="36">
        <v>7.8299999999999995E-2</v>
      </c>
      <c r="R10" s="36">
        <v>6.0400000000000002E-2</v>
      </c>
      <c r="S10" s="36">
        <v>6.5799999999999997E-2</v>
      </c>
      <c r="T10" s="36">
        <v>3.9800000000000002E-2</v>
      </c>
      <c r="U10" s="36">
        <v>5.7200000000000001E-2</v>
      </c>
      <c r="V10" s="36">
        <v>2.92E-2</v>
      </c>
      <c r="W10" s="36">
        <v>6.8099999999999994E-2</v>
      </c>
      <c r="X10" s="200">
        <v>6.7400000000000002E-2</v>
      </c>
      <c r="Y10" s="139">
        <v>9.3700000000000006E-2</v>
      </c>
      <c r="Z10" s="36">
        <v>7.0499999999999993E-2</v>
      </c>
      <c r="AA10" s="36">
        <v>4.7500000000000001E-2</v>
      </c>
      <c r="AB10" s="140">
        <v>0.20200000000000001</v>
      </c>
      <c r="AC10" s="36">
        <v>6.9500000000000006E-2</v>
      </c>
    </row>
    <row r="11" spans="1:29">
      <c r="A11" s="93" t="s">
        <v>244</v>
      </c>
      <c r="B11" s="35">
        <v>0.32</v>
      </c>
      <c r="C11" s="35">
        <v>0.496</v>
      </c>
      <c r="D11" s="35">
        <v>0.499</v>
      </c>
      <c r="E11" s="3"/>
      <c r="F11" s="3"/>
      <c r="G11" s="35">
        <v>0.40600000000000003</v>
      </c>
      <c r="H11" s="35">
        <v>0.35799999999999998</v>
      </c>
      <c r="I11" s="35">
        <v>0.5</v>
      </c>
      <c r="J11" s="35">
        <v>0.64400000000000002</v>
      </c>
      <c r="K11" s="35">
        <v>7.2499999999999995E-2</v>
      </c>
      <c r="L11" s="35">
        <v>3.9899999999999998E-2</v>
      </c>
      <c r="M11" s="35">
        <v>2.41E-2</v>
      </c>
      <c r="N11" s="35">
        <v>1.0800000000000001E-2</v>
      </c>
      <c r="O11" s="3"/>
      <c r="P11" s="3"/>
      <c r="Q11" s="35">
        <v>5.2999999999999999E-2</v>
      </c>
      <c r="R11" s="35">
        <v>0.121</v>
      </c>
      <c r="S11" s="35">
        <v>0.1</v>
      </c>
      <c r="T11" s="3"/>
      <c r="U11" s="35">
        <v>0.108</v>
      </c>
      <c r="V11" s="35">
        <v>3.1099999999999999E-2</v>
      </c>
      <c r="W11" s="35">
        <v>5.3400000000000003E-2</v>
      </c>
      <c r="X11" s="202">
        <v>3.7600000000000001E-2</v>
      </c>
      <c r="Y11" s="141"/>
      <c r="Z11" s="3"/>
      <c r="AA11" s="3"/>
      <c r="AB11" s="138">
        <v>0.34100000000000003</v>
      </c>
      <c r="AC11" s="35">
        <v>0.32</v>
      </c>
    </row>
    <row r="12" spans="1:29">
      <c r="A12" s="93" t="s">
        <v>245</v>
      </c>
      <c r="B12" s="36">
        <v>5.0700000000000002E-2</v>
      </c>
      <c r="C12" s="36">
        <v>0.55100000000000005</v>
      </c>
      <c r="D12" s="36">
        <v>0.40600000000000003</v>
      </c>
      <c r="E12" s="5"/>
      <c r="F12" s="36">
        <v>1.9800000000000002E-2</v>
      </c>
      <c r="G12" s="36">
        <v>0.315</v>
      </c>
      <c r="H12" s="36">
        <v>0.20799999999999999</v>
      </c>
      <c r="I12" s="36">
        <v>0.32300000000000001</v>
      </c>
      <c r="J12" s="5"/>
      <c r="K12" s="36">
        <v>6.3899999999999998E-2</v>
      </c>
      <c r="L12" s="5"/>
      <c r="M12" s="5"/>
      <c r="N12" s="5"/>
      <c r="O12" s="5"/>
      <c r="P12" s="5"/>
      <c r="Q12" s="36">
        <v>5.2699999999999997E-2</v>
      </c>
      <c r="R12" s="5"/>
      <c r="S12" s="5"/>
      <c r="T12" s="5"/>
      <c r="U12" s="5"/>
      <c r="V12" s="5"/>
      <c r="W12" s="5"/>
      <c r="X12" s="201"/>
      <c r="Y12" s="139">
        <v>1.9199999999999998E-2</v>
      </c>
      <c r="Z12" s="36">
        <v>2.12E-2</v>
      </c>
      <c r="AA12" s="36">
        <v>2.63E-2</v>
      </c>
      <c r="AB12" s="114"/>
      <c r="AC12" s="36">
        <v>5.0700000000000002E-2</v>
      </c>
    </row>
    <row r="13" spans="1:29">
      <c r="A13" s="93" t="s">
        <v>249</v>
      </c>
      <c r="B13" s="5"/>
      <c r="C13" s="36">
        <v>1.35E-2</v>
      </c>
      <c r="D13" s="5"/>
      <c r="E13" s="5"/>
      <c r="F13" s="5"/>
      <c r="G13" s="5"/>
      <c r="H13" s="5"/>
      <c r="I13" s="5"/>
      <c r="J13" s="5"/>
      <c r="K13" s="5"/>
      <c r="L13" s="5"/>
      <c r="M13" s="5"/>
      <c r="N13" s="5"/>
      <c r="O13" s="5"/>
      <c r="P13" s="5"/>
      <c r="Q13" s="5"/>
      <c r="R13" s="5"/>
      <c r="S13" s="5"/>
      <c r="T13" s="5"/>
      <c r="U13" s="36">
        <v>1.0800000000000001E-2</v>
      </c>
      <c r="V13" s="5"/>
      <c r="W13" s="5"/>
      <c r="X13" s="201"/>
      <c r="Y13" s="113"/>
      <c r="Z13" s="5"/>
      <c r="AA13" s="5"/>
      <c r="AB13" s="114"/>
      <c r="AC13" s="5"/>
    </row>
    <row r="14" spans="1:29">
      <c r="A14" s="93" t="s">
        <v>252</v>
      </c>
      <c r="B14" s="35">
        <v>2.3E-2</v>
      </c>
      <c r="C14" s="35">
        <v>2.06E-2</v>
      </c>
      <c r="D14" s="35">
        <v>1.7399999999999999E-2</v>
      </c>
      <c r="E14" s="35">
        <v>1.78E-2</v>
      </c>
      <c r="F14" s="35">
        <v>1.37E-2</v>
      </c>
      <c r="G14" s="35">
        <v>1.6299999999999999E-2</v>
      </c>
      <c r="H14" s="35">
        <v>1.78E-2</v>
      </c>
      <c r="I14" s="35">
        <v>1.1599999999999999E-2</v>
      </c>
      <c r="J14" s="35">
        <v>5.8599999999999999E-2</v>
      </c>
      <c r="K14" s="35">
        <v>2.3400000000000001E-2</v>
      </c>
      <c r="L14" s="35">
        <v>2.0299999999999999E-2</v>
      </c>
      <c r="M14" s="35">
        <v>1.67E-2</v>
      </c>
      <c r="N14" s="35">
        <v>1.9599999999999999E-2</v>
      </c>
      <c r="O14" s="35">
        <v>2.12E-2</v>
      </c>
      <c r="P14" s="35">
        <v>5.7499999999999999E-3</v>
      </c>
      <c r="Q14" s="35">
        <v>1.6299999999999999E-2</v>
      </c>
      <c r="R14" s="35">
        <v>1.7100000000000001E-2</v>
      </c>
      <c r="S14" s="35">
        <v>1.5299999999999999E-2</v>
      </c>
      <c r="T14" s="35">
        <v>1.7100000000000001E-2</v>
      </c>
      <c r="U14" s="35">
        <v>9.41E-3</v>
      </c>
      <c r="V14" s="35">
        <v>9.0500000000000008E-3</v>
      </c>
      <c r="W14" s="35">
        <v>9.2499999999999995E-3</v>
      </c>
      <c r="X14" s="202">
        <v>1.7000000000000001E-2</v>
      </c>
      <c r="Y14" s="204">
        <v>1.0800000000000001E-2</v>
      </c>
      <c r="Z14" s="35">
        <v>1.0200000000000001E-2</v>
      </c>
      <c r="AA14" s="35">
        <v>1.24E-2</v>
      </c>
      <c r="AB14" s="138">
        <v>3.2500000000000001E-2</v>
      </c>
      <c r="AC14" s="35">
        <v>2.3E-2</v>
      </c>
    </row>
    <row r="15" spans="1:29">
      <c r="A15" s="93" t="s">
        <v>253</v>
      </c>
      <c r="B15" s="36">
        <v>3.1899999999999998E-2</v>
      </c>
      <c r="C15" s="36">
        <v>7.7700000000000005E-2</v>
      </c>
      <c r="D15" s="36">
        <v>7.4300000000000005E-2</v>
      </c>
      <c r="E15" s="36">
        <v>0.04</v>
      </c>
      <c r="F15" s="36">
        <v>2.6499999999999999E-2</v>
      </c>
      <c r="G15" s="36">
        <v>6.1899999999999997E-2</v>
      </c>
      <c r="H15" s="36">
        <v>4.5999999999999999E-2</v>
      </c>
      <c r="I15" s="36">
        <v>8.2699999999999996E-2</v>
      </c>
      <c r="J15" s="5"/>
      <c r="K15" s="36">
        <v>3.8100000000000002E-2</v>
      </c>
      <c r="L15" s="36">
        <v>2.5999999999999999E-2</v>
      </c>
      <c r="M15" s="36">
        <v>2.8799999999999999E-2</v>
      </c>
      <c r="N15" s="36">
        <v>1.7999999999999999E-2</v>
      </c>
      <c r="O15" s="36">
        <v>3.0200000000000001E-2</v>
      </c>
      <c r="P15" s="36">
        <v>3.3099999999999997E-2</v>
      </c>
      <c r="Q15" s="36">
        <v>2.5600000000000001E-2</v>
      </c>
      <c r="R15" s="36">
        <v>3.7600000000000001E-2</v>
      </c>
      <c r="S15" s="36">
        <v>2.5899999999999999E-2</v>
      </c>
      <c r="T15" s="36">
        <v>7.1900000000000002E-3</v>
      </c>
      <c r="U15" s="36">
        <v>2.2499999999999999E-2</v>
      </c>
      <c r="V15" s="36">
        <v>9.6900000000000007E-3</v>
      </c>
      <c r="W15" s="36">
        <v>1.5100000000000001E-2</v>
      </c>
      <c r="X15" s="200">
        <v>7.8399999999999997E-3</v>
      </c>
      <c r="Y15" s="139">
        <v>9.4599999999999997E-3</v>
      </c>
      <c r="Z15" s="36">
        <v>1.6299999999999999E-2</v>
      </c>
      <c r="AA15" s="36">
        <v>2.41E-2</v>
      </c>
      <c r="AB15" s="114"/>
      <c r="AC15" s="36">
        <v>3.1899999999999998E-2</v>
      </c>
    </row>
    <row r="16" spans="1:29">
      <c r="A16" s="93" t="s">
        <v>255</v>
      </c>
      <c r="B16" s="36">
        <v>9.2700000000000005E-3</v>
      </c>
      <c r="C16" s="36">
        <v>4.5400000000000003E-2</v>
      </c>
      <c r="D16" s="36">
        <v>3.44E-2</v>
      </c>
      <c r="E16" s="5"/>
      <c r="F16" s="5"/>
      <c r="G16" s="36">
        <v>2.7699999999999999E-2</v>
      </c>
      <c r="H16" s="36">
        <v>3.1E-2</v>
      </c>
      <c r="I16" s="36">
        <v>3.32E-2</v>
      </c>
      <c r="J16" s="5"/>
      <c r="K16" s="5"/>
      <c r="L16" s="5"/>
      <c r="M16" s="5"/>
      <c r="N16" s="5"/>
      <c r="O16" s="5"/>
      <c r="P16" s="5"/>
      <c r="Q16" s="36">
        <v>7.7499999999999999E-3</v>
      </c>
      <c r="R16" s="36">
        <v>4.4200000000000003E-3</v>
      </c>
      <c r="S16" s="36">
        <v>2.1000000000000001E-2</v>
      </c>
      <c r="T16" s="36">
        <v>3.6900000000000001E-3</v>
      </c>
      <c r="U16" s="36">
        <v>1.46E-2</v>
      </c>
      <c r="V16" s="36">
        <v>1.5100000000000001E-3</v>
      </c>
      <c r="W16" s="5"/>
      <c r="X16" s="200">
        <v>1.5499999999999999E-3</v>
      </c>
      <c r="Y16" s="113"/>
      <c r="Z16" s="5"/>
      <c r="AA16" s="5"/>
      <c r="AB16" s="114"/>
      <c r="AC16" s="36">
        <v>9.2700000000000005E-3</v>
      </c>
    </row>
    <row r="17" spans="1:29">
      <c r="A17" s="93" t="s">
        <v>256</v>
      </c>
      <c r="B17" s="35">
        <v>0.11799999999999999</v>
      </c>
      <c r="C17" s="35">
        <v>9.74E-2</v>
      </c>
      <c r="D17" s="35">
        <v>0.11700000000000001</v>
      </c>
      <c r="E17" s="3"/>
      <c r="F17" s="3"/>
      <c r="G17" s="35">
        <v>5.9700000000000003E-2</v>
      </c>
      <c r="H17" s="35">
        <v>3.61E-2</v>
      </c>
      <c r="I17" s="35">
        <v>0.109</v>
      </c>
      <c r="J17" s="3"/>
      <c r="K17" s="3"/>
      <c r="L17" s="3"/>
      <c r="M17" s="3"/>
      <c r="N17" s="3"/>
      <c r="O17" s="3"/>
      <c r="P17" s="3"/>
      <c r="Q17" s="3"/>
      <c r="R17" s="3"/>
      <c r="S17" s="3"/>
      <c r="T17" s="3"/>
      <c r="U17" s="3"/>
      <c r="V17" s="3"/>
      <c r="W17" s="3"/>
      <c r="X17" s="203"/>
      <c r="Y17" s="141"/>
      <c r="Z17" s="3"/>
      <c r="AA17" s="3"/>
      <c r="AB17" s="142"/>
      <c r="AC17" s="35">
        <v>0.11799999999999999</v>
      </c>
    </row>
    <row r="18" spans="1:29">
      <c r="A18" s="93" t="s">
        <v>263</v>
      </c>
      <c r="B18" s="36">
        <v>6.8599999999999994E-2</v>
      </c>
      <c r="C18" s="36">
        <v>7.46E-2</v>
      </c>
      <c r="D18" s="36">
        <v>7.5899999999999995E-2</v>
      </c>
      <c r="E18" s="5"/>
      <c r="F18" s="36">
        <v>0.105</v>
      </c>
      <c r="G18" s="36">
        <v>0.16600000000000001</v>
      </c>
      <c r="H18" s="36">
        <v>9.2700000000000005E-2</v>
      </c>
      <c r="I18" s="36">
        <v>8.3299999999999999E-2</v>
      </c>
      <c r="J18" s="5"/>
      <c r="K18" s="36">
        <v>6.9599999999999995E-2</v>
      </c>
      <c r="L18" s="36">
        <v>5.2299999999999999E-2</v>
      </c>
      <c r="M18" s="36">
        <v>0.10299999999999999</v>
      </c>
      <c r="N18" s="36">
        <v>0.224</v>
      </c>
      <c r="O18" s="5"/>
      <c r="P18" s="36">
        <v>6.0699999999999997E-2</v>
      </c>
      <c r="Q18" s="36">
        <v>0.11600000000000001</v>
      </c>
      <c r="R18" s="36">
        <v>8.4699999999999998E-2</v>
      </c>
      <c r="S18" s="36">
        <v>9.3200000000000005E-2</v>
      </c>
      <c r="T18" s="36">
        <v>3.3500000000000002E-2</v>
      </c>
      <c r="U18" s="36">
        <v>7.0099999999999996E-2</v>
      </c>
      <c r="V18" s="36">
        <v>5.2900000000000003E-2</v>
      </c>
      <c r="W18" s="36">
        <v>0.129</v>
      </c>
      <c r="X18" s="200">
        <v>0.20799999999999999</v>
      </c>
      <c r="Y18" s="139">
        <v>0.34100000000000003</v>
      </c>
      <c r="Z18" s="36">
        <v>6.9800000000000001E-2</v>
      </c>
      <c r="AA18" s="36">
        <v>6.0900000000000003E-2</v>
      </c>
      <c r="AB18" s="140">
        <v>0.182</v>
      </c>
      <c r="AC18" s="36">
        <v>6.8599999999999994E-2</v>
      </c>
    </row>
    <row r="19" spans="1:29">
      <c r="A19" s="93" t="s">
        <v>268</v>
      </c>
      <c r="B19" s="3"/>
      <c r="C19" s="35">
        <v>5.9499999999999997E-2</v>
      </c>
      <c r="D19" s="35">
        <v>5.0799999999999998E-2</v>
      </c>
      <c r="E19" s="3"/>
      <c r="F19" s="3"/>
      <c r="G19" s="35">
        <v>3.4799999999999998E-2</v>
      </c>
      <c r="H19" s="35">
        <v>4.2000000000000003E-2</v>
      </c>
      <c r="I19" s="35">
        <v>2.01E-2</v>
      </c>
      <c r="J19" s="3"/>
      <c r="K19" s="3"/>
      <c r="L19" s="3"/>
      <c r="M19" s="3"/>
      <c r="N19" s="3"/>
      <c r="O19" s="3"/>
      <c r="P19" s="3"/>
      <c r="Q19" s="3"/>
      <c r="R19" s="3"/>
      <c r="S19" s="3"/>
      <c r="T19" s="3"/>
      <c r="U19" s="3"/>
      <c r="V19" s="3"/>
      <c r="W19" s="3"/>
      <c r="X19" s="203"/>
      <c r="Y19" s="141"/>
      <c r="Z19" s="3"/>
      <c r="AA19" s="3"/>
      <c r="AB19" s="142"/>
      <c r="AC19" s="3"/>
    </row>
    <row r="20" spans="1:29">
      <c r="A20" s="93" t="s">
        <v>273</v>
      </c>
      <c r="B20" s="36">
        <v>7.9500000000000001E-2</v>
      </c>
      <c r="C20" s="36">
        <v>0.29199999999999998</v>
      </c>
      <c r="D20" s="36">
        <v>0.441</v>
      </c>
      <c r="E20" s="5"/>
      <c r="F20" s="5"/>
      <c r="G20" s="36">
        <v>0.13600000000000001</v>
      </c>
      <c r="H20" s="36">
        <v>6.0199999999999997E-2</v>
      </c>
      <c r="I20" s="36">
        <v>0.16900000000000001</v>
      </c>
      <c r="J20" s="5"/>
      <c r="K20" s="5"/>
      <c r="L20" s="5"/>
      <c r="M20" s="5"/>
      <c r="N20" s="5"/>
      <c r="O20" s="5"/>
      <c r="P20" s="5"/>
      <c r="Q20" s="5"/>
      <c r="R20" s="5"/>
      <c r="S20" s="5"/>
      <c r="T20" s="5"/>
      <c r="U20" s="5"/>
      <c r="V20" s="5"/>
      <c r="W20" s="5"/>
      <c r="X20" s="201"/>
      <c r="Y20" s="113"/>
      <c r="Z20" s="5"/>
      <c r="AA20" s="5"/>
      <c r="AB20" s="114"/>
      <c r="AC20" s="36">
        <v>7.9500000000000001E-2</v>
      </c>
    </row>
    <row r="21" spans="1:29">
      <c r="A21" s="93" t="s">
        <v>274</v>
      </c>
      <c r="B21" s="35">
        <v>3.0099999999999998E-2</v>
      </c>
      <c r="C21" s="35">
        <v>4.6199999999999998E-2</v>
      </c>
      <c r="D21" s="3"/>
      <c r="E21" s="3"/>
      <c r="F21" s="3"/>
      <c r="G21" s="35">
        <v>4.6899999999999997E-2</v>
      </c>
      <c r="H21" s="35">
        <v>3.6600000000000001E-2</v>
      </c>
      <c r="I21" s="35">
        <v>5.1999999999999998E-2</v>
      </c>
      <c r="J21" s="3"/>
      <c r="K21" s="35">
        <v>5.0599999999999999E-2</v>
      </c>
      <c r="L21" s="3"/>
      <c r="M21" s="3"/>
      <c r="N21" s="35">
        <v>4.8099999999999997E-2</v>
      </c>
      <c r="O21" s="3"/>
      <c r="P21" s="3"/>
      <c r="Q21" s="35">
        <v>0.111</v>
      </c>
      <c r="R21" s="3"/>
      <c r="S21" s="3"/>
      <c r="T21" s="3"/>
      <c r="U21" s="3"/>
      <c r="V21" s="3"/>
      <c r="W21" s="35">
        <v>5.0900000000000001E-2</v>
      </c>
      <c r="X21" s="202">
        <v>6.7699999999999996E-2</v>
      </c>
      <c r="Y21" s="204">
        <v>7.3800000000000004E-2</v>
      </c>
      <c r="Z21" s="3"/>
      <c r="AA21" s="3"/>
      <c r="AB21" s="142"/>
      <c r="AC21" s="35">
        <v>3.0099999999999998E-2</v>
      </c>
    </row>
    <row r="22" spans="1:29">
      <c r="A22" s="93" t="s">
        <v>276</v>
      </c>
      <c r="B22" s="35">
        <v>3.47</v>
      </c>
      <c r="C22" s="35">
        <v>2.17</v>
      </c>
      <c r="D22" s="35">
        <v>0.76700000000000002</v>
      </c>
      <c r="E22" s="35">
        <v>1.1599999999999999</v>
      </c>
      <c r="F22" s="35">
        <v>1.59</v>
      </c>
      <c r="G22" s="35">
        <v>4.13</v>
      </c>
      <c r="H22" s="35">
        <v>3.51</v>
      </c>
      <c r="I22" s="35">
        <v>4.6100000000000003</v>
      </c>
      <c r="J22" s="35">
        <v>4.75</v>
      </c>
      <c r="K22" s="35">
        <v>8.73</v>
      </c>
      <c r="L22" s="35">
        <v>3.22</v>
      </c>
      <c r="M22" s="35">
        <v>2.5</v>
      </c>
      <c r="N22" s="35">
        <v>2.68</v>
      </c>
      <c r="O22" s="35">
        <v>2.76</v>
      </c>
      <c r="P22" s="35">
        <v>2.38</v>
      </c>
      <c r="Q22" s="35">
        <v>5.19</v>
      </c>
      <c r="R22" s="35">
        <v>3.73</v>
      </c>
      <c r="S22" s="35">
        <v>3.77</v>
      </c>
      <c r="T22" s="35">
        <v>13.1</v>
      </c>
      <c r="U22" s="35">
        <v>6.9</v>
      </c>
      <c r="V22" s="35">
        <v>3.18</v>
      </c>
      <c r="W22" s="35">
        <v>4.0199999999999996</v>
      </c>
      <c r="X22" s="202">
        <v>4.9000000000000004</v>
      </c>
      <c r="Y22" s="204">
        <v>2.37</v>
      </c>
      <c r="Z22" s="35">
        <v>5.17</v>
      </c>
      <c r="AA22" s="35">
        <v>5.15</v>
      </c>
      <c r="AB22" s="138">
        <v>2.61</v>
      </c>
      <c r="AC22" s="35">
        <v>3.47</v>
      </c>
    </row>
    <row r="23" spans="1:29">
      <c r="A23" s="93" t="s">
        <v>279</v>
      </c>
      <c r="B23" s="36">
        <v>9.3899999999999997E-2</v>
      </c>
      <c r="C23" s="36">
        <v>5.4800000000000001E-2</v>
      </c>
      <c r="D23" s="36">
        <v>1.7899999999999999E-2</v>
      </c>
      <c r="E23" s="5"/>
      <c r="F23" s="36">
        <v>3.5700000000000003E-2</v>
      </c>
      <c r="G23" s="36">
        <v>0.105</v>
      </c>
      <c r="H23" s="36">
        <v>7.0900000000000005E-2</v>
      </c>
      <c r="I23" s="36">
        <v>0.109</v>
      </c>
      <c r="J23" s="5"/>
      <c r="K23" s="36">
        <v>0.17100000000000001</v>
      </c>
      <c r="L23" s="36">
        <v>6.0199999999999997E-2</v>
      </c>
      <c r="M23" s="36">
        <v>4.9000000000000002E-2</v>
      </c>
      <c r="N23" s="36">
        <v>5.8400000000000001E-2</v>
      </c>
      <c r="O23" s="36">
        <v>0.10199999999999999</v>
      </c>
      <c r="P23" s="36">
        <v>4.7800000000000002E-2</v>
      </c>
      <c r="Q23" s="36">
        <v>0.14099999999999999</v>
      </c>
      <c r="R23" s="36">
        <v>0.14499999999999999</v>
      </c>
      <c r="S23" s="36">
        <v>9.6699999999999994E-2</v>
      </c>
      <c r="T23" s="36">
        <v>0.13900000000000001</v>
      </c>
      <c r="U23" s="36">
        <v>0.14199999999999999</v>
      </c>
      <c r="V23" s="5"/>
      <c r="W23" s="36">
        <v>9.0700000000000003E-2</v>
      </c>
      <c r="X23" s="200">
        <v>0.112</v>
      </c>
      <c r="Y23" s="139">
        <v>4.8399999999999999E-2</v>
      </c>
      <c r="Z23" s="36">
        <v>9.4600000000000004E-2</v>
      </c>
      <c r="AA23" s="36">
        <v>9.74E-2</v>
      </c>
      <c r="AB23" s="140">
        <v>9.9500000000000005E-2</v>
      </c>
      <c r="AC23" s="36">
        <v>9.3899999999999997E-2</v>
      </c>
    </row>
    <row r="24" spans="1:29">
      <c r="A24" s="93" t="s">
        <v>283</v>
      </c>
      <c r="B24" s="36">
        <v>0.21199999999999999</v>
      </c>
      <c r="C24" s="36">
        <v>5.4300000000000001E-2</v>
      </c>
      <c r="D24" s="36">
        <v>0.06</v>
      </c>
      <c r="E24" s="36">
        <v>1.6799999999999999E-2</v>
      </c>
      <c r="F24" s="5"/>
      <c r="G24" s="36">
        <v>4.9500000000000002E-2</v>
      </c>
      <c r="H24" s="36">
        <v>2.7300000000000001E-2</v>
      </c>
      <c r="I24" s="36">
        <v>4.5199999999999997E-2</v>
      </c>
      <c r="J24" s="36">
        <v>0.25700000000000001</v>
      </c>
      <c r="K24" s="36">
        <v>0.22800000000000001</v>
      </c>
      <c r="L24" s="36">
        <v>3.3099999999999997E-2</v>
      </c>
      <c r="M24" s="36">
        <v>2.7099999999999999E-2</v>
      </c>
      <c r="N24" s="36">
        <v>6.1100000000000002E-2</v>
      </c>
      <c r="O24" s="36">
        <v>7.1999999999999995E-2</v>
      </c>
      <c r="P24" s="5"/>
      <c r="Q24" s="36">
        <v>0.10199999999999999</v>
      </c>
      <c r="R24" s="36">
        <v>0.36499999999999999</v>
      </c>
      <c r="S24" s="36">
        <v>0.29799999999999999</v>
      </c>
      <c r="T24" s="36">
        <v>4.0800000000000003E-2</v>
      </c>
      <c r="U24" s="36">
        <v>0.187</v>
      </c>
      <c r="V24" s="36">
        <v>3.04E-2</v>
      </c>
      <c r="W24" s="36">
        <v>5.0599999999999999E-2</v>
      </c>
      <c r="X24" s="200">
        <v>2.87E-2</v>
      </c>
      <c r="Y24" s="113"/>
      <c r="Z24" s="5"/>
      <c r="AA24" s="5"/>
      <c r="AB24" s="140">
        <v>1.6E-2</v>
      </c>
      <c r="AC24" s="36">
        <v>0.21199999999999999</v>
      </c>
    </row>
    <row r="25" spans="1:29">
      <c r="A25" s="93" t="s">
        <v>306</v>
      </c>
      <c r="B25" s="35">
        <v>0.12</v>
      </c>
      <c r="C25" s="35">
        <v>2.75E-2</v>
      </c>
      <c r="D25" s="35">
        <v>1.8800000000000001E-2</v>
      </c>
      <c r="E25" s="3"/>
      <c r="F25" s="35">
        <v>1.2999999999999999E-2</v>
      </c>
      <c r="G25" s="35">
        <v>6.1600000000000002E-2</v>
      </c>
      <c r="H25" s="35">
        <v>6.6400000000000001E-2</v>
      </c>
      <c r="I25" s="35">
        <v>3.95E-2</v>
      </c>
      <c r="J25" s="3"/>
      <c r="K25" s="35">
        <v>0.215</v>
      </c>
      <c r="L25" s="35">
        <v>0.23</v>
      </c>
      <c r="M25" s="35">
        <v>0.159</v>
      </c>
      <c r="N25" s="35">
        <v>8.2500000000000004E-2</v>
      </c>
      <c r="O25" s="3"/>
      <c r="P25" s="35">
        <v>2.6599999999999999E-2</v>
      </c>
      <c r="Q25" s="35">
        <v>0.10199999999999999</v>
      </c>
      <c r="R25" s="35">
        <v>2.6599999999999999E-2</v>
      </c>
      <c r="S25" s="35">
        <v>5.7500000000000002E-2</v>
      </c>
      <c r="T25" s="35">
        <v>6.9199999999999998E-2</v>
      </c>
      <c r="U25" s="3"/>
      <c r="V25" s="35">
        <v>1.7500000000000002E-2</v>
      </c>
      <c r="W25" s="35">
        <v>8.2699999999999996E-2</v>
      </c>
      <c r="X25" s="202">
        <v>7.8200000000000006E-2</v>
      </c>
      <c r="Y25" s="204">
        <v>1.8100000000000002E-2</v>
      </c>
      <c r="Z25" s="35">
        <v>6.9500000000000006E-2</v>
      </c>
      <c r="AA25" s="35">
        <v>4.7699999999999999E-2</v>
      </c>
      <c r="AB25" s="138">
        <v>0.14899999999999999</v>
      </c>
      <c r="AC25" s="35">
        <v>0.12</v>
      </c>
    </row>
    <row r="26" spans="1:29">
      <c r="A26" s="93" t="s">
        <v>311</v>
      </c>
      <c r="B26" s="36">
        <v>0.126</v>
      </c>
      <c r="C26" s="5"/>
      <c r="D26" s="5"/>
      <c r="E26" s="5"/>
      <c r="F26" s="36">
        <v>0.107</v>
      </c>
      <c r="G26" s="5"/>
      <c r="H26" s="5"/>
      <c r="I26" s="5"/>
      <c r="J26" s="5"/>
      <c r="K26" s="5"/>
      <c r="L26" s="5"/>
      <c r="M26" s="5"/>
      <c r="N26" s="5"/>
      <c r="O26" s="5"/>
      <c r="P26" s="36">
        <v>5.7299999999999997E-2</v>
      </c>
      <c r="Q26" s="36">
        <v>3.7299999999999998E-3</v>
      </c>
      <c r="R26" s="36">
        <v>4.82E-2</v>
      </c>
      <c r="S26" s="36">
        <v>7.3800000000000003E-3</v>
      </c>
      <c r="T26" s="5"/>
      <c r="U26" s="36">
        <v>2.1700000000000001E-3</v>
      </c>
      <c r="V26" s="5"/>
      <c r="W26" s="5"/>
      <c r="X26" s="200">
        <v>5.7999999999999996E-3</v>
      </c>
      <c r="Y26" s="139">
        <v>0.27100000000000002</v>
      </c>
      <c r="Z26" s="36">
        <v>6.9500000000000006E-2</v>
      </c>
      <c r="AA26" s="36">
        <v>0.11899999999999999</v>
      </c>
      <c r="AB26" s="140">
        <v>0.192</v>
      </c>
      <c r="AC26" s="36">
        <v>0.126</v>
      </c>
    </row>
    <row r="27" spans="1:29">
      <c r="A27" s="93" t="s">
        <v>312</v>
      </c>
      <c r="B27" s="35">
        <v>0.22900000000000001</v>
      </c>
      <c r="C27" s="35">
        <v>9.7699999999999995E-2</v>
      </c>
      <c r="D27" s="35">
        <v>8.7599999999999997E-2</v>
      </c>
      <c r="E27" s="35">
        <v>0.23599999999999999</v>
      </c>
      <c r="F27" s="35">
        <v>0.184</v>
      </c>
      <c r="G27" s="35">
        <v>0.185</v>
      </c>
      <c r="H27" s="35">
        <v>0.17699999999999999</v>
      </c>
      <c r="I27" s="35">
        <v>0.13500000000000001</v>
      </c>
      <c r="J27" s="3"/>
      <c r="K27" s="35">
        <v>0.28999999999999998</v>
      </c>
      <c r="L27" s="35">
        <v>0.152</v>
      </c>
      <c r="M27" s="35">
        <v>0.24</v>
      </c>
      <c r="N27" s="35">
        <v>0.32</v>
      </c>
      <c r="O27" s="35">
        <v>0.30599999999999999</v>
      </c>
      <c r="P27" s="35">
        <v>0.17699999999999999</v>
      </c>
      <c r="Q27" s="35">
        <v>0.14299999999999999</v>
      </c>
      <c r="R27" s="35">
        <v>0.14000000000000001</v>
      </c>
      <c r="S27" s="35">
        <v>0.376</v>
      </c>
      <c r="T27" s="35">
        <v>0.189</v>
      </c>
      <c r="U27" s="35">
        <v>0.20300000000000001</v>
      </c>
      <c r="V27" s="35">
        <v>7.8899999999999998E-2</v>
      </c>
      <c r="W27" s="35">
        <v>0.2</v>
      </c>
      <c r="X27" s="202">
        <v>0.23100000000000001</v>
      </c>
      <c r="Y27" s="204">
        <v>0.156</v>
      </c>
      <c r="Z27" s="35">
        <v>0.16800000000000001</v>
      </c>
      <c r="AA27" s="35">
        <v>0.151</v>
      </c>
      <c r="AB27" s="138">
        <v>0.14699999999999999</v>
      </c>
      <c r="AC27" s="35">
        <v>0.22900000000000001</v>
      </c>
    </row>
    <row r="28" spans="1:29">
      <c r="A28" s="93" t="s">
        <v>313</v>
      </c>
      <c r="B28" s="5"/>
      <c r="C28" s="36">
        <v>3.1E-2</v>
      </c>
      <c r="D28" s="36">
        <v>3.2199999999999999E-2</v>
      </c>
      <c r="E28" s="5"/>
      <c r="F28" s="5"/>
      <c r="G28" s="36">
        <v>1.8599999999999998E-2</v>
      </c>
      <c r="H28" s="36">
        <v>8.4799999999999997E-3</v>
      </c>
      <c r="I28" s="36">
        <v>4.9700000000000001E-2</v>
      </c>
      <c r="J28" s="5"/>
      <c r="K28" s="5"/>
      <c r="L28" s="5"/>
      <c r="M28" s="5"/>
      <c r="N28" s="5"/>
      <c r="O28" s="5"/>
      <c r="P28" s="5"/>
      <c r="Q28" s="5"/>
      <c r="R28" s="5"/>
      <c r="S28" s="5"/>
      <c r="T28" s="5"/>
      <c r="U28" s="5"/>
      <c r="V28" s="5"/>
      <c r="W28" s="5"/>
      <c r="X28" s="201"/>
      <c r="Y28" s="113"/>
      <c r="Z28" s="5"/>
      <c r="AA28" s="5"/>
      <c r="AB28" s="114"/>
      <c r="AC28" s="5"/>
    </row>
    <row r="29" spans="1:29">
      <c r="A29" s="93" t="s">
        <v>317</v>
      </c>
      <c r="B29" s="5"/>
      <c r="C29" s="36">
        <v>1.9900000000000001E-2</v>
      </c>
      <c r="D29" s="5"/>
      <c r="E29" s="5"/>
      <c r="F29" s="5"/>
      <c r="G29" s="5"/>
      <c r="H29" s="36">
        <v>1.5599999999999999E-2</v>
      </c>
      <c r="I29" s="5"/>
      <c r="J29" s="5"/>
      <c r="K29" s="5"/>
      <c r="L29" s="5"/>
      <c r="M29" s="5"/>
      <c r="N29" s="5"/>
      <c r="O29" s="5"/>
      <c r="P29" s="5"/>
      <c r="Q29" s="5"/>
      <c r="R29" s="5"/>
      <c r="S29" s="5"/>
      <c r="T29" s="5"/>
      <c r="U29" s="5"/>
      <c r="V29" s="5"/>
      <c r="W29" s="5"/>
      <c r="X29" s="201"/>
      <c r="Y29" s="113"/>
      <c r="Z29" s="5"/>
      <c r="AA29" s="5"/>
      <c r="AB29" s="114"/>
      <c r="AC29" s="5"/>
    </row>
    <row r="30" spans="1:29">
      <c r="A30" s="93" t="s">
        <v>318</v>
      </c>
      <c r="B30" s="3"/>
      <c r="C30" s="35">
        <v>1.01E-2</v>
      </c>
      <c r="D30" s="35">
        <v>4.6100000000000004E-3</v>
      </c>
      <c r="E30" s="3"/>
      <c r="F30" s="3"/>
      <c r="G30" s="35">
        <v>2.9399999999999999E-3</v>
      </c>
      <c r="H30" s="35">
        <v>4.8900000000000002E-3</v>
      </c>
      <c r="I30" s="3"/>
      <c r="J30" s="3"/>
      <c r="K30" s="3"/>
      <c r="L30" s="3"/>
      <c r="M30" s="3"/>
      <c r="N30" s="3"/>
      <c r="O30" s="3"/>
      <c r="P30" s="3"/>
      <c r="Q30" s="3"/>
      <c r="R30" s="3"/>
      <c r="S30" s="3"/>
      <c r="T30" s="3"/>
      <c r="U30" s="3"/>
      <c r="V30" s="3"/>
      <c r="W30" s="3"/>
      <c r="X30" s="203"/>
      <c r="Y30" s="141"/>
      <c r="Z30" s="3"/>
      <c r="AA30" s="3"/>
      <c r="AB30" s="142"/>
      <c r="AC30" s="3"/>
    </row>
    <row r="31" spans="1:29">
      <c r="A31" s="93" t="s">
        <v>320</v>
      </c>
      <c r="B31" s="3"/>
      <c r="C31" s="3"/>
      <c r="D31" s="3"/>
      <c r="E31" s="35">
        <v>4.0999999999999996</v>
      </c>
      <c r="F31" s="3"/>
      <c r="G31" s="3"/>
      <c r="H31" s="3"/>
      <c r="I31" s="3"/>
      <c r="J31" s="3"/>
      <c r="K31" s="3"/>
      <c r="L31" s="3"/>
      <c r="M31" s="3"/>
      <c r="N31" s="3"/>
      <c r="O31" s="3"/>
      <c r="P31" s="3"/>
      <c r="Q31" s="3"/>
      <c r="R31" s="35">
        <v>1.61E-2</v>
      </c>
      <c r="S31" s="3"/>
      <c r="T31" s="3"/>
      <c r="U31" s="3"/>
      <c r="V31" s="3"/>
      <c r="W31" s="3"/>
      <c r="X31" s="203"/>
      <c r="Y31" s="141"/>
      <c r="Z31" s="3"/>
      <c r="AA31" s="3"/>
      <c r="AB31" s="142"/>
      <c r="AC31" s="3"/>
    </row>
    <row r="32" spans="1:29">
      <c r="A32" s="93" t="s">
        <v>321</v>
      </c>
      <c r="B32" s="36">
        <v>5.2200000000000003E-2</v>
      </c>
      <c r="C32" s="36">
        <v>2.7300000000000001E-2</v>
      </c>
      <c r="D32" s="36">
        <v>1.04E-2</v>
      </c>
      <c r="E32" s="5"/>
      <c r="F32" s="36">
        <v>1.8700000000000001E-2</v>
      </c>
      <c r="G32" s="36">
        <v>5.4199999999999998E-2</v>
      </c>
      <c r="H32" s="36">
        <v>4.8099999999999997E-2</v>
      </c>
      <c r="I32" s="36">
        <v>3.2599999999999997E-2</v>
      </c>
      <c r="J32" s="36">
        <v>9.6600000000000005E-2</v>
      </c>
      <c r="K32" s="36">
        <v>7.6200000000000004E-2</v>
      </c>
      <c r="L32" s="36">
        <v>2.1600000000000001E-2</v>
      </c>
      <c r="M32" s="36">
        <v>2.46E-2</v>
      </c>
      <c r="N32" s="36">
        <v>2.6700000000000002E-2</v>
      </c>
      <c r="O32" s="36">
        <v>1.4500000000000001E-2</v>
      </c>
      <c r="P32" s="36">
        <v>2.2200000000000001E-2</v>
      </c>
      <c r="Q32" s="36">
        <v>0.13400000000000001</v>
      </c>
      <c r="R32" s="36">
        <v>0.23300000000000001</v>
      </c>
      <c r="S32" s="36">
        <v>6.5699999999999995E-2</v>
      </c>
      <c r="T32" s="36">
        <v>7.2499999999999995E-2</v>
      </c>
      <c r="U32" s="36">
        <v>2.6700000000000002E-2</v>
      </c>
      <c r="V32" s="36">
        <v>3.6400000000000002E-2</v>
      </c>
      <c r="W32" s="36">
        <v>4.6600000000000003E-2</v>
      </c>
      <c r="X32" s="200">
        <v>6.7900000000000002E-2</v>
      </c>
      <c r="Y32" s="139">
        <v>1.46E-2</v>
      </c>
      <c r="Z32" s="36">
        <v>0.222</v>
      </c>
      <c r="AA32" s="36">
        <v>1.45</v>
      </c>
      <c r="AB32" s="140">
        <v>1.47</v>
      </c>
      <c r="AC32" s="36">
        <v>5.2200000000000003E-2</v>
      </c>
    </row>
    <row r="33" spans="1:29">
      <c r="A33" s="93" t="s">
        <v>322</v>
      </c>
      <c r="B33" s="35">
        <v>0.51400000000000001</v>
      </c>
      <c r="C33" s="35">
        <v>0.17599999999999999</v>
      </c>
      <c r="D33" s="35">
        <v>2.8799999999999999E-2</v>
      </c>
      <c r="E33" s="35">
        <v>5.5E-2</v>
      </c>
      <c r="F33" s="3"/>
      <c r="G33" s="35">
        <v>0.624</v>
      </c>
      <c r="H33" s="35">
        <v>0.61699999999999999</v>
      </c>
      <c r="I33" s="35">
        <v>0.32300000000000001</v>
      </c>
      <c r="J33" s="35">
        <v>0.66800000000000004</v>
      </c>
      <c r="K33" s="35">
        <v>0.68</v>
      </c>
      <c r="L33" s="35">
        <v>0.25600000000000001</v>
      </c>
      <c r="M33" s="35">
        <v>0.34499999999999997</v>
      </c>
      <c r="N33" s="35">
        <v>0.27700000000000002</v>
      </c>
      <c r="O33" s="35">
        <v>0.14599999999999999</v>
      </c>
      <c r="P33" s="35">
        <v>0.17799999999999999</v>
      </c>
      <c r="Q33" s="35">
        <v>0.97399999999999998</v>
      </c>
      <c r="R33" s="35">
        <v>0.159</v>
      </c>
      <c r="S33" s="35">
        <v>0.80400000000000005</v>
      </c>
      <c r="T33" s="35">
        <v>0.623</v>
      </c>
      <c r="U33" s="35">
        <v>0.40400000000000003</v>
      </c>
      <c r="V33" s="35">
        <v>0.40600000000000003</v>
      </c>
      <c r="W33" s="35">
        <v>0.60499999999999998</v>
      </c>
      <c r="X33" s="202">
        <v>0.71799999999999997</v>
      </c>
      <c r="Y33" s="204">
        <v>0.24199999999999999</v>
      </c>
      <c r="Z33" s="35">
        <v>0.33200000000000002</v>
      </c>
      <c r="AA33" s="35">
        <v>0.26300000000000001</v>
      </c>
      <c r="AB33" s="138">
        <v>0.45400000000000001</v>
      </c>
      <c r="AC33" s="35">
        <v>0.51400000000000001</v>
      </c>
    </row>
    <row r="34" spans="1:29">
      <c r="A34" s="93" t="s">
        <v>328</v>
      </c>
      <c r="B34" s="35">
        <v>0.92300000000000004</v>
      </c>
      <c r="C34" s="3"/>
      <c r="D34" s="3"/>
      <c r="E34" s="3"/>
      <c r="F34" s="3"/>
      <c r="G34" s="3"/>
      <c r="H34" s="3"/>
      <c r="I34" s="3"/>
      <c r="J34" s="3"/>
      <c r="K34" s="35">
        <v>0.17199999999999999</v>
      </c>
      <c r="L34" s="35">
        <v>0.109</v>
      </c>
      <c r="M34" s="35">
        <v>0.13300000000000001</v>
      </c>
      <c r="N34" s="35">
        <v>0.17899999999999999</v>
      </c>
      <c r="O34" s="3"/>
      <c r="P34" s="3"/>
      <c r="Q34" s="35">
        <v>0.16300000000000001</v>
      </c>
      <c r="R34" s="35">
        <v>0.379</v>
      </c>
      <c r="S34" s="35">
        <v>0.20699999999999999</v>
      </c>
      <c r="T34" s="35">
        <v>0.20599999999999999</v>
      </c>
      <c r="U34" s="35">
        <v>0.14099999999999999</v>
      </c>
      <c r="V34" s="35">
        <v>0.13100000000000001</v>
      </c>
      <c r="W34" s="35">
        <v>0.21199999999999999</v>
      </c>
      <c r="X34" s="202">
        <v>0.28999999999999998</v>
      </c>
      <c r="Y34" s="141"/>
      <c r="Z34" s="3"/>
      <c r="AA34" s="3"/>
      <c r="AB34" s="138">
        <v>4.9400000000000004</v>
      </c>
      <c r="AC34" s="35">
        <v>0.92300000000000004</v>
      </c>
    </row>
    <row r="35" spans="1:29">
      <c r="A35" s="93" t="s">
        <v>330</v>
      </c>
      <c r="B35" s="3"/>
      <c r="C35" s="35">
        <v>9.1400000000000006E-3</v>
      </c>
      <c r="D35" s="35">
        <v>3.0100000000000001E-3</v>
      </c>
      <c r="E35" s="35">
        <v>3.7399999999999998E-3</v>
      </c>
      <c r="F35" s="3"/>
      <c r="G35" s="35">
        <v>8.9800000000000004E-4</v>
      </c>
      <c r="H35" s="35">
        <v>4.6100000000000004E-3</v>
      </c>
      <c r="I35" s="3"/>
      <c r="J35" s="3"/>
      <c r="K35" s="3"/>
      <c r="L35" s="3"/>
      <c r="M35" s="3"/>
      <c r="N35" s="3"/>
      <c r="O35" s="3"/>
      <c r="P35" s="3"/>
      <c r="Q35" s="3"/>
      <c r="R35" s="3"/>
      <c r="S35" s="3"/>
      <c r="T35" s="3"/>
      <c r="U35" s="3"/>
      <c r="V35" s="3"/>
      <c r="W35" s="3"/>
      <c r="X35" s="203"/>
      <c r="Y35" s="141"/>
      <c r="Z35" s="3"/>
      <c r="AA35" s="3"/>
      <c r="AB35" s="142"/>
      <c r="AC35" s="3"/>
    </row>
    <row r="36" spans="1:29">
      <c r="A36" s="93" t="s">
        <v>334</v>
      </c>
      <c r="B36" s="35">
        <v>0.50600000000000001</v>
      </c>
      <c r="C36" s="35">
        <v>0.1</v>
      </c>
      <c r="D36" s="35">
        <v>7.2499999999999995E-2</v>
      </c>
      <c r="E36" s="3"/>
      <c r="F36" s="35">
        <v>4.4299999999999999E-2</v>
      </c>
      <c r="G36" s="35">
        <v>0.377</v>
      </c>
      <c r="H36" s="35">
        <v>0.33900000000000002</v>
      </c>
      <c r="I36" s="35">
        <v>0.13300000000000001</v>
      </c>
      <c r="J36" s="3"/>
      <c r="K36" s="35">
        <v>0.73499999999999999</v>
      </c>
      <c r="L36" s="35">
        <v>0.70099999999999996</v>
      </c>
      <c r="M36" s="35">
        <v>0.55100000000000005</v>
      </c>
      <c r="N36" s="35">
        <v>0.44</v>
      </c>
      <c r="O36" s="35">
        <v>0.17499999999999999</v>
      </c>
      <c r="P36" s="35">
        <v>8.9200000000000002E-2</v>
      </c>
      <c r="Q36" s="35">
        <v>0.45200000000000001</v>
      </c>
      <c r="R36" s="35">
        <v>0.13800000000000001</v>
      </c>
      <c r="S36" s="35">
        <v>0.30099999999999999</v>
      </c>
      <c r="T36" s="35">
        <v>0.40899999999999997</v>
      </c>
      <c r="U36" s="35">
        <v>0.154</v>
      </c>
      <c r="V36" s="35">
        <v>0.14099999999999999</v>
      </c>
      <c r="W36" s="35">
        <v>0.59699999999999998</v>
      </c>
      <c r="X36" s="202">
        <v>0.44</v>
      </c>
      <c r="Y36" s="204">
        <v>0.21</v>
      </c>
      <c r="Z36" s="35">
        <v>0.23599999999999999</v>
      </c>
      <c r="AA36" s="35">
        <v>0.17299999999999999</v>
      </c>
      <c r="AB36" s="138">
        <v>0.78900000000000003</v>
      </c>
      <c r="AC36" s="35">
        <v>0.50600000000000001</v>
      </c>
    </row>
    <row r="37" spans="1:29">
      <c r="A37" s="93" t="s">
        <v>336</v>
      </c>
      <c r="B37" s="35">
        <v>1.89E-2</v>
      </c>
      <c r="C37" s="35">
        <v>1.9300000000000001E-2</v>
      </c>
      <c r="D37" s="35">
        <v>1.6E-2</v>
      </c>
      <c r="E37" s="35">
        <v>4.2500000000000003E-2</v>
      </c>
      <c r="F37" s="35">
        <v>1.5800000000000002E-2</v>
      </c>
      <c r="G37" s="35">
        <v>1.78E-2</v>
      </c>
      <c r="H37" s="35">
        <v>1.54E-2</v>
      </c>
      <c r="I37" s="35">
        <v>2.5399999999999999E-2</v>
      </c>
      <c r="J37" s="3"/>
      <c r="K37" s="35">
        <v>1.61E-2</v>
      </c>
      <c r="L37" s="35">
        <v>2.01E-2</v>
      </c>
      <c r="M37" s="35">
        <v>1.8700000000000001E-2</v>
      </c>
      <c r="N37" s="35">
        <v>1.8599999999999998E-2</v>
      </c>
      <c r="O37" s="35">
        <v>3.5700000000000003E-2</v>
      </c>
      <c r="P37" s="35">
        <v>9.4699999999999993E-3</v>
      </c>
      <c r="Q37" s="35">
        <v>9.5399999999999999E-3</v>
      </c>
      <c r="R37" s="35">
        <v>1.0200000000000001E-2</v>
      </c>
      <c r="S37" s="35">
        <v>2.1399999999999999E-2</v>
      </c>
      <c r="T37" s="35">
        <v>1.26E-2</v>
      </c>
      <c r="U37" s="35">
        <v>8.5500000000000003E-3</v>
      </c>
      <c r="V37" s="35">
        <v>5.1599999999999997E-3</v>
      </c>
      <c r="W37" s="35">
        <v>7.3299999999999997E-3</v>
      </c>
      <c r="X37" s="202">
        <v>6.9300000000000004E-3</v>
      </c>
      <c r="Y37" s="204">
        <v>1.66E-2</v>
      </c>
      <c r="Z37" s="35">
        <v>2.0400000000000001E-2</v>
      </c>
      <c r="AA37" s="35">
        <v>1.3299999999999999E-2</v>
      </c>
      <c r="AB37" s="138">
        <v>4.8800000000000003E-2</v>
      </c>
      <c r="AC37" s="35">
        <v>1.89E-2</v>
      </c>
    </row>
    <row r="38" spans="1:29">
      <c r="A38" s="93" t="s">
        <v>338</v>
      </c>
      <c r="B38" s="35">
        <v>9.75E-3</v>
      </c>
      <c r="C38" s="35">
        <v>1.09E-2</v>
      </c>
      <c r="D38" s="3"/>
      <c r="E38" s="3"/>
      <c r="F38" s="3"/>
      <c r="G38" s="35">
        <v>1.0200000000000001E-2</v>
      </c>
      <c r="H38" s="35">
        <v>1.0200000000000001E-2</v>
      </c>
      <c r="I38" s="3"/>
      <c r="J38" s="35">
        <v>5.0999999999999997E-2</v>
      </c>
      <c r="K38" s="35">
        <v>3.2300000000000002E-2</v>
      </c>
      <c r="L38" s="35">
        <v>5.4900000000000001E-3</v>
      </c>
      <c r="M38" s="35">
        <v>4.9100000000000003E-3</v>
      </c>
      <c r="N38" s="35">
        <v>5.0600000000000003E-3</v>
      </c>
      <c r="O38" s="35">
        <v>8.4100000000000008E-3</v>
      </c>
      <c r="P38" s="35">
        <v>5.8599999999999998E-3</v>
      </c>
      <c r="Q38" s="35">
        <v>1.2500000000000001E-2</v>
      </c>
      <c r="R38" s="3"/>
      <c r="S38" s="35">
        <v>1.77E-2</v>
      </c>
      <c r="T38" s="35">
        <v>2.1899999999999999E-2</v>
      </c>
      <c r="U38" s="35">
        <v>8.4899999999999993E-3</v>
      </c>
      <c r="V38" s="35">
        <v>8.0499999999999999E-3</v>
      </c>
      <c r="W38" s="35">
        <v>7.9799999999999992E-3</v>
      </c>
      <c r="X38" s="202">
        <v>2.1299999999999999E-2</v>
      </c>
      <c r="Y38" s="204">
        <v>6.6299999999999996E-3</v>
      </c>
      <c r="Z38" s="35">
        <v>2.1600000000000001E-2</v>
      </c>
      <c r="AA38" s="35">
        <v>3.9199999999999999E-2</v>
      </c>
      <c r="AB38" s="138">
        <v>7.2999999999999995E-2</v>
      </c>
      <c r="AC38" s="35">
        <v>9.75E-3</v>
      </c>
    </row>
    <row r="39" spans="1:29">
      <c r="A39" s="93" t="s">
        <v>344</v>
      </c>
      <c r="B39" s="35">
        <v>0.13</v>
      </c>
      <c r="C39" s="3"/>
      <c r="D39" s="3"/>
      <c r="E39" s="35">
        <v>1.87</v>
      </c>
      <c r="F39" s="3"/>
      <c r="G39" s="3"/>
      <c r="H39" s="3"/>
      <c r="I39" s="3"/>
      <c r="J39" s="3"/>
      <c r="K39" s="3"/>
      <c r="L39" s="3"/>
      <c r="M39" s="3"/>
      <c r="N39" s="3"/>
      <c r="O39" s="35">
        <v>0.29299999999999998</v>
      </c>
      <c r="P39" s="3"/>
      <c r="Q39" s="3"/>
      <c r="R39" s="3"/>
      <c r="S39" s="35">
        <v>2.2599999999999999E-2</v>
      </c>
      <c r="T39" s="3"/>
      <c r="U39" s="3"/>
      <c r="V39" s="3"/>
      <c r="W39" s="35">
        <v>2.5600000000000002E-3</v>
      </c>
      <c r="X39" s="203"/>
      <c r="Y39" s="141"/>
      <c r="Z39" s="3"/>
      <c r="AA39" s="3"/>
      <c r="AB39" s="138">
        <v>0.23599999999999999</v>
      </c>
      <c r="AC39" s="35">
        <v>0.13</v>
      </c>
    </row>
    <row r="40" spans="1:29">
      <c r="A40" s="93" t="s">
        <v>345</v>
      </c>
      <c r="B40" s="5"/>
      <c r="C40" s="5"/>
      <c r="D40" s="5"/>
      <c r="E40" s="36">
        <v>0.48499999999999999</v>
      </c>
      <c r="F40" s="5"/>
      <c r="G40" s="5"/>
      <c r="H40" s="5"/>
      <c r="I40" s="5"/>
      <c r="J40" s="5"/>
      <c r="K40" s="5"/>
      <c r="L40" s="5"/>
      <c r="M40" s="5"/>
      <c r="N40" s="5"/>
      <c r="O40" s="36">
        <v>6.1499999999999999E-2</v>
      </c>
      <c r="P40" s="5"/>
      <c r="Q40" s="5"/>
      <c r="R40" s="5"/>
      <c r="S40" s="5"/>
      <c r="T40" s="5"/>
      <c r="U40" s="5"/>
      <c r="V40" s="5"/>
      <c r="W40" s="5"/>
      <c r="X40" s="201"/>
      <c r="Y40" s="113"/>
      <c r="Z40" s="5"/>
      <c r="AA40" s="5"/>
      <c r="AB40" s="114"/>
      <c r="AC40" s="5"/>
    </row>
    <row r="41" spans="1:29">
      <c r="A41" s="93" t="s">
        <v>354</v>
      </c>
      <c r="B41" s="3"/>
      <c r="C41" s="35">
        <v>5.4600000000000003E-2</v>
      </c>
      <c r="D41" s="35">
        <v>0.10299999999999999</v>
      </c>
      <c r="E41" s="3"/>
      <c r="F41" s="3"/>
      <c r="G41" s="35">
        <v>4.5600000000000002E-2</v>
      </c>
      <c r="H41" s="35">
        <v>1.84E-2</v>
      </c>
      <c r="I41" s="35">
        <v>0.13500000000000001</v>
      </c>
      <c r="J41" s="3"/>
      <c r="K41" s="3"/>
      <c r="L41" s="3"/>
      <c r="M41" s="3"/>
      <c r="N41" s="3"/>
      <c r="O41" s="3"/>
      <c r="P41" s="3"/>
      <c r="Q41" s="3"/>
      <c r="R41" s="3"/>
      <c r="S41" s="35">
        <v>2.8199999999999999E-2</v>
      </c>
      <c r="T41" s="3"/>
      <c r="U41" s="3"/>
      <c r="V41" s="3"/>
      <c r="W41" s="3"/>
      <c r="X41" s="203"/>
      <c r="Y41" s="141"/>
      <c r="Z41" s="3"/>
      <c r="AA41" s="3"/>
      <c r="AB41" s="142"/>
      <c r="AC41" s="3"/>
    </row>
    <row r="42" spans="1:29">
      <c r="A42" s="93" t="s">
        <v>357</v>
      </c>
      <c r="B42" s="36">
        <v>4.0600000000000002E-3</v>
      </c>
      <c r="C42" s="36">
        <v>8.2699999999999996E-3</v>
      </c>
      <c r="D42" s="36">
        <v>2.5100000000000001E-3</v>
      </c>
      <c r="E42" s="36">
        <v>8.2000000000000007E-3</v>
      </c>
      <c r="F42" s="36">
        <v>2.0500000000000002E-3</v>
      </c>
      <c r="G42" s="36">
        <v>2.7100000000000002E-3</v>
      </c>
      <c r="H42" s="36">
        <v>4.6499999999999996E-3</v>
      </c>
      <c r="I42" s="36">
        <v>5.2700000000000004E-3</v>
      </c>
      <c r="J42" s="5"/>
      <c r="K42" s="36">
        <v>1.14E-3</v>
      </c>
      <c r="L42" s="36">
        <v>2.82E-3</v>
      </c>
      <c r="M42" s="36">
        <v>2.3600000000000001E-3</v>
      </c>
      <c r="N42" s="36">
        <v>2.8E-3</v>
      </c>
      <c r="O42" s="5"/>
      <c r="P42" s="36">
        <v>1.8400000000000001E-3</v>
      </c>
      <c r="Q42" s="36">
        <v>7.8299999999999995E-4</v>
      </c>
      <c r="R42" s="5"/>
      <c r="S42" s="5"/>
      <c r="T42" s="5"/>
      <c r="U42" s="5"/>
      <c r="V42" s="5"/>
      <c r="W42" s="5"/>
      <c r="X42" s="201"/>
      <c r="Y42" s="113"/>
      <c r="Z42" s="5"/>
      <c r="AA42" s="5"/>
      <c r="AB42" s="114"/>
      <c r="AC42" s="36">
        <v>4.0600000000000002E-3</v>
      </c>
    </row>
    <row r="43" spans="1:29">
      <c r="A43" s="93" t="s">
        <v>363</v>
      </c>
      <c r="B43" s="36">
        <v>2.31E-3</v>
      </c>
      <c r="C43" s="5"/>
      <c r="D43" s="5"/>
      <c r="E43" s="5"/>
      <c r="F43" s="5"/>
      <c r="G43" s="5"/>
      <c r="H43" s="5"/>
      <c r="I43" s="5"/>
      <c r="J43" s="5"/>
      <c r="K43" s="36">
        <v>2.3800000000000002E-3</v>
      </c>
      <c r="L43" s="36">
        <v>1.6000000000000001E-3</v>
      </c>
      <c r="M43" s="36">
        <v>1.8600000000000001E-3</v>
      </c>
      <c r="N43" s="36">
        <v>1.48E-3</v>
      </c>
      <c r="O43" s="5"/>
      <c r="P43" s="5"/>
      <c r="Q43" s="36">
        <v>1.6199999999999999E-3</v>
      </c>
      <c r="R43" s="5"/>
      <c r="S43" s="5"/>
      <c r="T43" s="5"/>
      <c r="U43" s="5"/>
      <c r="V43" s="5"/>
      <c r="W43" s="5"/>
      <c r="X43" s="201"/>
      <c r="Y43" s="113"/>
      <c r="Z43" s="5"/>
      <c r="AA43" s="5"/>
      <c r="AB43" s="114"/>
      <c r="AC43" s="36">
        <v>2.31E-3</v>
      </c>
    </row>
    <row r="44" spans="1:29">
      <c r="A44" s="93" t="s">
        <v>368</v>
      </c>
      <c r="B44" s="35">
        <v>5.5399999999999998E-2</v>
      </c>
      <c r="C44" s="35">
        <v>1.9099999999999999E-2</v>
      </c>
      <c r="D44" s="35">
        <v>8.8500000000000002E-3</v>
      </c>
      <c r="E44" s="3"/>
      <c r="F44" s="35">
        <v>2.8400000000000002E-2</v>
      </c>
      <c r="G44" s="35">
        <v>3.8300000000000001E-2</v>
      </c>
      <c r="H44" s="35">
        <v>3.1899999999999998E-2</v>
      </c>
      <c r="I44" s="35">
        <v>3.6400000000000002E-2</v>
      </c>
      <c r="J44" s="3"/>
      <c r="K44" s="35">
        <v>1.4800000000000001E-2</v>
      </c>
      <c r="L44" s="35">
        <v>7.7200000000000003E-3</v>
      </c>
      <c r="M44" s="35">
        <v>1.09E-2</v>
      </c>
      <c r="N44" s="35">
        <v>1.46E-2</v>
      </c>
      <c r="O44" s="3"/>
      <c r="P44" s="35">
        <v>2.6700000000000002E-2</v>
      </c>
      <c r="Q44" s="35">
        <v>4.6800000000000001E-2</v>
      </c>
      <c r="R44" s="35">
        <v>3.6999999999999998E-2</v>
      </c>
      <c r="S44" s="35">
        <v>5.9799999999999999E-2</v>
      </c>
      <c r="T44" s="35">
        <v>9.8599999999999993E-2</v>
      </c>
      <c r="U44" s="35">
        <v>4.8500000000000001E-2</v>
      </c>
      <c r="V44" s="35">
        <v>4.4400000000000002E-2</v>
      </c>
      <c r="W44" s="35">
        <v>8.14E-2</v>
      </c>
      <c r="X44" s="202">
        <v>9.6799999999999997E-2</v>
      </c>
      <c r="Y44" s="204">
        <v>2.5399999999999999E-2</v>
      </c>
      <c r="Z44" s="35">
        <v>2.8000000000000001E-2</v>
      </c>
      <c r="AA44" s="35">
        <v>3.8300000000000001E-2</v>
      </c>
      <c r="AB44" s="142"/>
      <c r="AC44" s="35">
        <v>5.5399999999999998E-2</v>
      </c>
    </row>
    <row r="45" spans="1:29">
      <c r="A45" s="93" t="s">
        <v>370</v>
      </c>
      <c r="B45" s="35">
        <v>2.4299999999999999E-2</v>
      </c>
      <c r="C45" s="35">
        <v>1.7299999999999999E-2</v>
      </c>
      <c r="D45" s="3"/>
      <c r="E45" s="35">
        <v>1.44E-2</v>
      </c>
      <c r="F45" s="35">
        <v>2.01E-2</v>
      </c>
      <c r="G45" s="35">
        <v>1.9E-2</v>
      </c>
      <c r="H45" s="35">
        <v>1.9300000000000001E-2</v>
      </c>
      <c r="I45" s="35">
        <v>3.8100000000000002E-2</v>
      </c>
      <c r="J45" s="3"/>
      <c r="K45" s="35">
        <v>1.6799999999999999E-2</v>
      </c>
      <c r="L45" s="35">
        <v>1.5100000000000001E-2</v>
      </c>
      <c r="M45" s="35">
        <v>1.0200000000000001E-2</v>
      </c>
      <c r="N45" s="35">
        <v>1.2999999999999999E-2</v>
      </c>
      <c r="O45" s="35">
        <v>1.11E-2</v>
      </c>
      <c r="P45" s="35">
        <v>0.02</v>
      </c>
      <c r="Q45" s="35">
        <v>2.1999999999999999E-2</v>
      </c>
      <c r="R45" s="35">
        <v>5.6599999999999998E-2</v>
      </c>
      <c r="S45" s="35">
        <v>1.8599999999999998E-2</v>
      </c>
      <c r="T45" s="35">
        <v>1.9E-2</v>
      </c>
      <c r="U45" s="35">
        <v>2.9100000000000001E-2</v>
      </c>
      <c r="V45" s="35">
        <v>1.8700000000000001E-2</v>
      </c>
      <c r="W45" s="35">
        <v>2.0400000000000001E-2</v>
      </c>
      <c r="X45" s="202">
        <v>1.7600000000000001E-2</v>
      </c>
      <c r="Y45" s="204">
        <v>2.2100000000000002E-2</v>
      </c>
      <c r="Z45" s="35">
        <v>2.41E-2</v>
      </c>
      <c r="AA45" s="35">
        <v>3.9300000000000002E-2</v>
      </c>
      <c r="AB45" s="138">
        <v>2.87E-2</v>
      </c>
      <c r="AC45" s="35">
        <v>2.4299999999999999E-2</v>
      </c>
    </row>
    <row r="46" spans="1:29">
      <c r="A46" s="93" t="s">
        <v>374</v>
      </c>
      <c r="B46" s="35">
        <v>0.128</v>
      </c>
      <c r="C46" s="35">
        <v>5.2999999999999999E-2</v>
      </c>
      <c r="D46" s="35">
        <v>5.1999999999999998E-2</v>
      </c>
      <c r="E46" s="35">
        <v>0.29699999999999999</v>
      </c>
      <c r="F46" s="35">
        <v>0.221</v>
      </c>
      <c r="G46" s="35">
        <v>9.3200000000000005E-2</v>
      </c>
      <c r="H46" s="35">
        <v>6.7199999999999996E-2</v>
      </c>
      <c r="I46" s="35">
        <v>0.106</v>
      </c>
      <c r="J46" s="3"/>
      <c r="K46" s="35">
        <v>9.4100000000000003E-2</v>
      </c>
      <c r="L46" s="35">
        <v>8.3500000000000005E-2</v>
      </c>
      <c r="M46" s="35">
        <v>0.108</v>
      </c>
      <c r="N46" s="35">
        <v>0.109</v>
      </c>
      <c r="O46" s="35">
        <v>7.0999999999999994E-2</v>
      </c>
      <c r="P46" s="35">
        <v>4.1300000000000003E-2</v>
      </c>
      <c r="Q46" s="35">
        <v>4.1099999999999998E-2</v>
      </c>
      <c r="R46" s="35">
        <v>6.46</v>
      </c>
      <c r="S46" s="35">
        <v>0.36599999999999999</v>
      </c>
      <c r="T46" s="35">
        <v>0.36499999999999999</v>
      </c>
      <c r="U46" s="35">
        <v>0.54</v>
      </c>
      <c r="V46" s="35">
        <v>0.192</v>
      </c>
      <c r="W46" s="35">
        <v>0.29899999999999999</v>
      </c>
      <c r="X46" s="202">
        <v>0.57999999999999996</v>
      </c>
      <c r="Y46" s="204">
        <v>0.14699999999999999</v>
      </c>
      <c r="Z46" s="35">
        <v>6.7500000000000004E-2</v>
      </c>
      <c r="AA46" s="35">
        <v>7.0999999999999994E-2</v>
      </c>
      <c r="AB46" s="138">
        <v>0.16800000000000001</v>
      </c>
      <c r="AC46" s="35">
        <v>0.128</v>
      </c>
    </row>
    <row r="47" spans="1:29">
      <c r="A47" s="93" t="s">
        <v>375</v>
      </c>
      <c r="B47" s="36">
        <v>3.6200000000000003E-2</v>
      </c>
      <c r="C47" s="36">
        <v>1.37E-2</v>
      </c>
      <c r="D47" s="5"/>
      <c r="E47" s="5"/>
      <c r="F47" s="5"/>
      <c r="G47" s="5"/>
      <c r="H47" s="5"/>
      <c r="I47" s="5"/>
      <c r="J47" s="5"/>
      <c r="K47" s="36">
        <v>1.2800000000000001E-2</v>
      </c>
      <c r="L47" s="36">
        <v>6.8300000000000001E-3</v>
      </c>
      <c r="M47" s="36">
        <v>6.8500000000000002E-3</v>
      </c>
      <c r="N47" s="36">
        <v>1.15E-2</v>
      </c>
      <c r="O47" s="5"/>
      <c r="P47" s="5"/>
      <c r="Q47" s="36">
        <v>1.89E-2</v>
      </c>
      <c r="R47" s="36">
        <v>0.69199999999999995</v>
      </c>
      <c r="S47" s="36">
        <v>0.10199999999999999</v>
      </c>
      <c r="T47" s="36">
        <v>0.11600000000000001</v>
      </c>
      <c r="U47" s="36">
        <v>0.18099999999999999</v>
      </c>
      <c r="V47" s="36">
        <v>7.1499999999999994E-2</v>
      </c>
      <c r="W47" s="36">
        <v>0.107</v>
      </c>
      <c r="X47" s="200">
        <v>0.17699999999999999</v>
      </c>
      <c r="Y47" s="139">
        <v>3.78E-2</v>
      </c>
      <c r="Z47" s="5"/>
      <c r="AA47" s="36">
        <v>1.8499999999999999E-2</v>
      </c>
      <c r="AB47" s="140">
        <v>7.9000000000000001E-2</v>
      </c>
      <c r="AC47" s="36">
        <v>3.6200000000000003E-2</v>
      </c>
    </row>
    <row r="48" spans="1:29">
      <c r="A48" s="93" t="s">
        <v>376</v>
      </c>
      <c r="B48" s="35">
        <v>3.46E-3</v>
      </c>
      <c r="C48" s="35">
        <v>6.5199999999999998E-3</v>
      </c>
      <c r="D48" s="35">
        <v>2.2699999999999999E-3</v>
      </c>
      <c r="E48" s="3"/>
      <c r="F48" s="35">
        <v>1.57E-3</v>
      </c>
      <c r="G48" s="3"/>
      <c r="H48" s="35">
        <v>2.81E-3</v>
      </c>
      <c r="I48" s="3"/>
      <c r="J48" s="3"/>
      <c r="K48" s="35">
        <v>2.8400000000000001E-3</v>
      </c>
      <c r="L48" s="35">
        <v>4.3E-3</v>
      </c>
      <c r="M48" s="35">
        <v>4.2399999999999998E-3</v>
      </c>
      <c r="N48" s="35">
        <v>3.9399999999999999E-3</v>
      </c>
      <c r="O48" s="35">
        <v>3.7799999999999999E-3</v>
      </c>
      <c r="P48" s="35">
        <v>1.41E-3</v>
      </c>
      <c r="Q48" s="35">
        <v>1.23E-3</v>
      </c>
      <c r="R48" s="35">
        <v>2.2799999999999999E-3</v>
      </c>
      <c r="S48" s="35">
        <v>5.0800000000000003E-3</v>
      </c>
      <c r="T48" s="35">
        <v>1.7799999999999999E-3</v>
      </c>
      <c r="U48" s="35">
        <v>1.6100000000000001E-3</v>
      </c>
      <c r="V48" s="3"/>
      <c r="W48" s="3"/>
      <c r="X48" s="203"/>
      <c r="Y48" s="141"/>
      <c r="Z48" s="3"/>
      <c r="AA48" s="3"/>
      <c r="AB48" s="142"/>
      <c r="AC48" s="35">
        <v>3.46E-3</v>
      </c>
    </row>
    <row r="49" spans="1:29">
      <c r="A49" s="93" t="s">
        <v>378</v>
      </c>
      <c r="B49" s="35">
        <v>5.6000000000000001E-2</v>
      </c>
      <c r="C49" s="35">
        <v>2.1499999999999998E-2</v>
      </c>
      <c r="D49" s="35">
        <v>1.03E-2</v>
      </c>
      <c r="E49" s="3"/>
      <c r="F49" s="3"/>
      <c r="G49" s="35">
        <v>2.0799999999999999E-2</v>
      </c>
      <c r="H49" s="35">
        <v>2.01E-2</v>
      </c>
      <c r="I49" s="35">
        <v>2.87E-2</v>
      </c>
      <c r="J49" s="3"/>
      <c r="K49" s="35">
        <v>2.9899999999999999E-2</v>
      </c>
      <c r="L49" s="35">
        <v>1.09E-2</v>
      </c>
      <c r="M49" s="35">
        <v>6.5199999999999998E-3</v>
      </c>
      <c r="N49" s="35">
        <v>1.9300000000000001E-2</v>
      </c>
      <c r="O49" s="3"/>
      <c r="P49" s="3"/>
      <c r="Q49" s="35">
        <v>3.4599999999999999E-2</v>
      </c>
      <c r="R49" s="35">
        <v>2.3900000000000001E-2</v>
      </c>
      <c r="S49" s="35">
        <v>1.2500000000000001E-2</v>
      </c>
      <c r="T49" s="35">
        <v>1.9400000000000001E-2</v>
      </c>
      <c r="U49" s="35">
        <v>3.5200000000000002E-2</v>
      </c>
      <c r="V49" s="35">
        <v>2.07E-2</v>
      </c>
      <c r="W49" s="35">
        <v>3.6799999999999999E-2</v>
      </c>
      <c r="X49" s="202">
        <v>5.16E-2</v>
      </c>
      <c r="Y49" s="141"/>
      <c r="Z49" s="3"/>
      <c r="AA49" s="3"/>
      <c r="AB49" s="142"/>
      <c r="AC49" s="35">
        <v>5.6000000000000001E-2</v>
      </c>
    </row>
    <row r="50" spans="1:29">
      <c r="A50" s="93" t="s">
        <v>380</v>
      </c>
      <c r="B50" s="35">
        <v>0.24399999999999999</v>
      </c>
      <c r="C50" s="3"/>
      <c r="D50" s="35">
        <v>0.17699999999999999</v>
      </c>
      <c r="E50" s="3"/>
      <c r="F50" s="3"/>
      <c r="G50" s="35">
        <v>0.22900000000000001</v>
      </c>
      <c r="H50" s="35">
        <v>0.26500000000000001</v>
      </c>
      <c r="I50" s="35">
        <v>0.22</v>
      </c>
      <c r="J50" s="3"/>
      <c r="K50" s="35">
        <v>0.21</v>
      </c>
      <c r="L50" s="35">
        <v>0.14499999999999999</v>
      </c>
      <c r="M50" s="35">
        <v>0.15</v>
      </c>
      <c r="N50" s="35">
        <v>0.17399999999999999</v>
      </c>
      <c r="O50" s="3"/>
      <c r="P50" s="3"/>
      <c r="Q50" s="35">
        <v>0.187</v>
      </c>
      <c r="R50" s="35">
        <v>0.55100000000000005</v>
      </c>
      <c r="S50" s="35">
        <v>0.31900000000000001</v>
      </c>
      <c r="T50" s="35">
        <v>0.40799999999999997</v>
      </c>
      <c r="U50" s="35">
        <v>0.41599999999999998</v>
      </c>
      <c r="V50" s="35">
        <v>0.20300000000000001</v>
      </c>
      <c r="W50" s="35">
        <v>0.34799999999999998</v>
      </c>
      <c r="X50" s="202">
        <v>0.437</v>
      </c>
      <c r="Y50" s="141"/>
      <c r="Z50" s="3"/>
      <c r="AA50" s="3"/>
      <c r="AB50" s="142"/>
      <c r="AC50" s="35">
        <v>0.24399999999999999</v>
      </c>
    </row>
    <row r="51" spans="1:29">
      <c r="A51" s="93" t="s">
        <v>381</v>
      </c>
      <c r="B51" s="36">
        <v>0.51</v>
      </c>
      <c r="C51" s="36">
        <v>0.31</v>
      </c>
      <c r="D51" s="36">
        <v>0.21199999999999999</v>
      </c>
      <c r="E51" s="5"/>
      <c r="F51" s="36">
        <v>0.29699999999999999</v>
      </c>
      <c r="G51" s="36">
        <v>0.374</v>
      </c>
      <c r="H51" s="36">
        <v>0.377</v>
      </c>
      <c r="I51" s="36">
        <v>0.377</v>
      </c>
      <c r="J51" s="5"/>
      <c r="K51" s="36">
        <v>0.73799999999999999</v>
      </c>
      <c r="L51" s="36">
        <v>0.51100000000000001</v>
      </c>
      <c r="M51" s="36">
        <v>0.46400000000000002</v>
      </c>
      <c r="N51" s="36">
        <v>0.59</v>
      </c>
      <c r="O51" s="36">
        <v>0.41099999999999998</v>
      </c>
      <c r="P51" s="36">
        <v>0.18099999999999999</v>
      </c>
      <c r="Q51" s="36">
        <v>0.77700000000000002</v>
      </c>
      <c r="R51" s="36">
        <v>0.65800000000000003</v>
      </c>
      <c r="S51" s="36">
        <v>0.41299999999999998</v>
      </c>
      <c r="T51" s="36">
        <v>0.60799999999999998</v>
      </c>
      <c r="U51" s="36">
        <v>0.41399999999999998</v>
      </c>
      <c r="V51" s="36">
        <v>0.56899999999999995</v>
      </c>
      <c r="W51" s="36">
        <v>0.69399999999999995</v>
      </c>
      <c r="X51" s="200">
        <v>0.82299999999999995</v>
      </c>
      <c r="Y51" s="139">
        <v>0.42299999999999999</v>
      </c>
      <c r="Z51" s="36">
        <v>0.48</v>
      </c>
      <c r="AA51" s="36">
        <v>0.61699999999999999</v>
      </c>
      <c r="AB51" s="140">
        <v>0.90100000000000002</v>
      </c>
      <c r="AC51" s="36">
        <v>0.51</v>
      </c>
    </row>
    <row r="52" spans="1:29">
      <c r="A52" s="93" t="s">
        <v>382</v>
      </c>
      <c r="B52" s="35">
        <v>6.3500000000000001E-2</v>
      </c>
      <c r="C52" s="35">
        <v>1.2E-2</v>
      </c>
      <c r="D52" s="35">
        <v>7.3499999999999998E-3</v>
      </c>
      <c r="E52" s="3"/>
      <c r="F52" s="35">
        <v>7.6100000000000001E-2</v>
      </c>
      <c r="G52" s="35">
        <v>4.5600000000000002E-2</v>
      </c>
      <c r="H52" s="35">
        <v>3.2399999999999998E-2</v>
      </c>
      <c r="I52" s="35">
        <v>1.55E-2</v>
      </c>
      <c r="J52" s="3"/>
      <c r="K52" s="35">
        <v>0.04</v>
      </c>
      <c r="L52" s="35">
        <v>2.0400000000000001E-2</v>
      </c>
      <c r="M52" s="35">
        <v>1.6899999999999998E-2</v>
      </c>
      <c r="N52" s="35">
        <v>2.9000000000000001E-2</v>
      </c>
      <c r="O52" s="35">
        <v>0.16400000000000001</v>
      </c>
      <c r="P52" s="35">
        <v>8.9399999999999993E-2</v>
      </c>
      <c r="Q52" s="35">
        <v>6.4100000000000004E-2</v>
      </c>
      <c r="R52" s="35">
        <v>0.157</v>
      </c>
      <c r="S52" s="35">
        <v>7.2300000000000003E-2</v>
      </c>
      <c r="T52" s="35">
        <v>6.6699999999999995E-2</v>
      </c>
      <c r="U52" s="35">
        <v>7.9799999999999996E-2</v>
      </c>
      <c r="V52" s="35">
        <v>3.6499999999999998E-2</v>
      </c>
      <c r="W52" s="35">
        <v>8.7599999999999997E-2</v>
      </c>
      <c r="X52" s="202">
        <v>7.0000000000000007E-2</v>
      </c>
      <c r="Y52" s="204">
        <v>7.6899999999999996E-2</v>
      </c>
      <c r="Z52" s="35">
        <v>8.5800000000000001E-2</v>
      </c>
      <c r="AA52" s="35">
        <v>0.13100000000000001</v>
      </c>
      <c r="AB52" s="138">
        <v>0.124</v>
      </c>
      <c r="AC52" s="35">
        <v>6.3500000000000001E-2</v>
      </c>
    </row>
    <row r="53" spans="1:29">
      <c r="A53" s="93" t="s">
        <v>383</v>
      </c>
      <c r="B53" s="36">
        <v>4.3900000000000002E-2</v>
      </c>
      <c r="C53" s="36">
        <v>3.2500000000000001E-2</v>
      </c>
      <c r="D53" s="36">
        <v>1.2699999999999999E-2</v>
      </c>
      <c r="E53" s="5"/>
      <c r="F53" s="36">
        <v>0.21299999999999999</v>
      </c>
      <c r="G53" s="36">
        <v>5.0200000000000002E-2</v>
      </c>
      <c r="H53" s="36">
        <v>3.39E-2</v>
      </c>
      <c r="I53" s="36">
        <v>6.5500000000000003E-2</v>
      </c>
      <c r="J53" s="5"/>
      <c r="K53" s="36">
        <v>5.45E-2</v>
      </c>
      <c r="L53" s="36">
        <v>5.0599999999999999E-2</v>
      </c>
      <c r="M53" s="36">
        <v>6.6600000000000006E-2</v>
      </c>
      <c r="N53" s="36">
        <v>4.82E-2</v>
      </c>
      <c r="O53" s="36">
        <v>6.8000000000000005E-2</v>
      </c>
      <c r="P53" s="36">
        <v>1.5299999999999999E-2</v>
      </c>
      <c r="Q53" s="36">
        <v>3.5299999999999998E-2</v>
      </c>
      <c r="R53" s="36">
        <v>0.63500000000000001</v>
      </c>
      <c r="S53" s="36">
        <v>0.14899999999999999</v>
      </c>
      <c r="T53" s="36">
        <v>0.21099999999999999</v>
      </c>
      <c r="U53" s="36">
        <v>0.105</v>
      </c>
      <c r="V53" s="36">
        <v>7.4499999999999997E-2</v>
      </c>
      <c r="W53" s="36">
        <v>7.6200000000000004E-2</v>
      </c>
      <c r="X53" s="200">
        <v>8.4599999999999995E-2</v>
      </c>
      <c r="Y53" s="139">
        <v>6.0499999999999998E-2</v>
      </c>
      <c r="Z53" s="36">
        <v>1.5599999999999999E-2</v>
      </c>
      <c r="AA53" s="36">
        <v>0.02</v>
      </c>
      <c r="AB53" s="140">
        <v>3.2099999999999997E-2</v>
      </c>
      <c r="AC53" s="36">
        <v>4.3900000000000002E-2</v>
      </c>
    </row>
    <row r="54" spans="1:29">
      <c r="A54" s="93" t="s">
        <v>384</v>
      </c>
      <c r="B54" s="35">
        <v>0.18099999999999999</v>
      </c>
      <c r="C54" s="35">
        <v>7.3999999999999996E-2</v>
      </c>
      <c r="D54" s="35">
        <v>4.9000000000000002E-2</v>
      </c>
      <c r="E54" s="35">
        <v>8.7999999999999995E-2</v>
      </c>
      <c r="F54" s="35">
        <v>0.85299999999999998</v>
      </c>
      <c r="G54" s="35">
        <v>0.193</v>
      </c>
      <c r="H54" s="35">
        <v>0.13500000000000001</v>
      </c>
      <c r="I54" s="35">
        <v>0.24</v>
      </c>
      <c r="J54" s="35">
        <v>0.182</v>
      </c>
      <c r="K54" s="35">
        <v>0.16400000000000001</v>
      </c>
      <c r="L54" s="35">
        <v>0.17899999999999999</v>
      </c>
      <c r="M54" s="35">
        <v>0.248</v>
      </c>
      <c r="N54" s="35">
        <v>0.16</v>
      </c>
      <c r="O54" s="35">
        <v>0.315</v>
      </c>
      <c r="P54" s="35">
        <v>0.112</v>
      </c>
      <c r="Q54" s="35">
        <v>0.245</v>
      </c>
      <c r="R54" s="35">
        <v>0.80800000000000005</v>
      </c>
      <c r="S54" s="35">
        <v>0.28899999999999998</v>
      </c>
      <c r="T54" s="35">
        <v>0.29499999999999998</v>
      </c>
      <c r="U54" s="35">
        <v>0.216</v>
      </c>
      <c r="V54" s="35">
        <v>0.112</v>
      </c>
      <c r="W54" s="35">
        <v>0.246</v>
      </c>
      <c r="X54" s="202">
        <v>0.22900000000000001</v>
      </c>
      <c r="Y54" s="204">
        <v>0.28100000000000003</v>
      </c>
      <c r="Z54" s="35">
        <v>0.127</v>
      </c>
      <c r="AA54" s="35">
        <v>0.17399999999999999</v>
      </c>
      <c r="AB54" s="138">
        <v>6.6400000000000001E-2</v>
      </c>
      <c r="AC54" s="35">
        <v>0.18099999999999999</v>
      </c>
    </row>
    <row r="55" spans="1:29">
      <c r="A55" s="93" t="s">
        <v>385</v>
      </c>
      <c r="B55" s="36">
        <v>7.0199999999999999E-2</v>
      </c>
      <c r="C55" s="36">
        <v>2.6599999999999999E-2</v>
      </c>
      <c r="D55" s="36">
        <v>1.8599999999999998E-2</v>
      </c>
      <c r="E55" s="36">
        <v>0.192</v>
      </c>
      <c r="F55" s="36">
        <v>0.35399999999999998</v>
      </c>
      <c r="G55" s="36">
        <v>8.1199999999999994E-2</v>
      </c>
      <c r="H55" s="36">
        <v>5.0500000000000003E-2</v>
      </c>
      <c r="I55" s="36">
        <v>0.107</v>
      </c>
      <c r="J55" s="36">
        <v>7.2400000000000006E-2</v>
      </c>
      <c r="K55" s="36">
        <v>8.2199999999999995E-2</v>
      </c>
      <c r="L55" s="36">
        <v>6.5000000000000002E-2</v>
      </c>
      <c r="M55" s="36">
        <v>8.9499999999999996E-2</v>
      </c>
      <c r="N55" s="36">
        <v>7.4300000000000005E-2</v>
      </c>
      <c r="O55" s="5"/>
      <c r="P55" s="36">
        <v>4.65E-2</v>
      </c>
      <c r="Q55" s="36">
        <v>5.2400000000000002E-2</v>
      </c>
      <c r="R55" s="36">
        <v>0.747</v>
      </c>
      <c r="S55" s="36">
        <v>4.3499999999999997E-2</v>
      </c>
      <c r="T55" s="36">
        <v>0.27</v>
      </c>
      <c r="U55" s="36">
        <v>0.09</v>
      </c>
      <c r="V55" s="36">
        <v>4.9299999999999997E-2</v>
      </c>
      <c r="W55" s="36">
        <v>0.152</v>
      </c>
      <c r="X55" s="200">
        <v>0.17299999999999999</v>
      </c>
      <c r="Y55" s="139">
        <v>0.186</v>
      </c>
      <c r="Z55" s="36">
        <v>5.3999999999999999E-2</v>
      </c>
      <c r="AA55" s="36">
        <v>9.3399999999999997E-2</v>
      </c>
      <c r="AB55" s="140">
        <v>0.10199999999999999</v>
      </c>
      <c r="AC55" s="36">
        <v>7.0199999999999999E-2</v>
      </c>
    </row>
    <row r="56" spans="1:29">
      <c r="A56" s="93" t="s">
        <v>386</v>
      </c>
      <c r="B56" s="35">
        <v>8.3199999999999993E-3</v>
      </c>
      <c r="C56" s="3"/>
      <c r="D56" s="35">
        <v>2.6200000000000001E-2</v>
      </c>
      <c r="E56" s="3"/>
      <c r="F56" s="3"/>
      <c r="G56" s="35">
        <v>1.8200000000000001E-2</v>
      </c>
      <c r="H56" s="35">
        <v>7.7600000000000004E-3</v>
      </c>
      <c r="I56" s="3"/>
      <c r="J56" s="3"/>
      <c r="K56" s="35">
        <v>3.3600000000000001E-3</v>
      </c>
      <c r="L56" s="3"/>
      <c r="M56" s="3"/>
      <c r="N56" s="35">
        <v>6.7499999999999999E-3</v>
      </c>
      <c r="O56" s="3"/>
      <c r="P56" s="3"/>
      <c r="Q56" s="3"/>
      <c r="R56" s="3"/>
      <c r="S56" s="3"/>
      <c r="T56" s="3"/>
      <c r="U56" s="3"/>
      <c r="V56" s="3"/>
      <c r="W56" s="3"/>
      <c r="X56" s="203"/>
      <c r="Y56" s="141"/>
      <c r="Z56" s="3"/>
      <c r="AA56" s="3"/>
      <c r="AB56" s="142"/>
      <c r="AC56" s="35">
        <v>8.3199999999999993E-3</v>
      </c>
    </row>
    <row r="57" spans="1:29">
      <c r="A57" s="93" t="s">
        <v>387</v>
      </c>
      <c r="B57" s="36">
        <v>3.4700000000000002E-2</v>
      </c>
      <c r="C57" s="5"/>
      <c r="D57" s="5"/>
      <c r="E57" s="5"/>
      <c r="F57" s="5"/>
      <c r="G57" s="5"/>
      <c r="H57" s="5"/>
      <c r="I57" s="5"/>
      <c r="J57" s="5"/>
      <c r="K57" s="5"/>
      <c r="L57" s="5"/>
      <c r="M57" s="5"/>
      <c r="N57" s="5"/>
      <c r="O57" s="5"/>
      <c r="P57" s="5"/>
      <c r="Q57" s="5"/>
      <c r="R57" s="5"/>
      <c r="S57" s="5"/>
      <c r="T57" s="5"/>
      <c r="U57" s="5"/>
      <c r="V57" s="5"/>
      <c r="W57" s="5"/>
      <c r="X57" s="201"/>
      <c r="Y57" s="113"/>
      <c r="Z57" s="5"/>
      <c r="AA57" s="5"/>
      <c r="AB57" s="114"/>
      <c r="AC57" s="36">
        <v>3.4700000000000002E-2</v>
      </c>
    </row>
    <row r="58" spans="1:29">
      <c r="A58" s="93" t="s">
        <v>388</v>
      </c>
      <c r="B58" s="3"/>
      <c r="C58" s="35">
        <v>7.7799999999999996E-3</v>
      </c>
      <c r="D58" s="3"/>
      <c r="E58" s="3"/>
      <c r="F58" s="3"/>
      <c r="G58" s="3"/>
      <c r="H58" s="35">
        <v>1.3100000000000001E-2</v>
      </c>
      <c r="I58" s="3"/>
      <c r="J58" s="3"/>
      <c r="K58" s="35">
        <v>2.0200000000000001E-3</v>
      </c>
      <c r="L58" s="3"/>
      <c r="M58" s="3"/>
      <c r="N58" s="3"/>
      <c r="O58" s="3"/>
      <c r="P58" s="35">
        <v>4.6199999999999998E-2</v>
      </c>
      <c r="Q58" s="35">
        <v>0.66800000000000004</v>
      </c>
      <c r="R58" s="35">
        <v>1.5900000000000001E-2</v>
      </c>
      <c r="S58" s="35">
        <v>1.67E-2</v>
      </c>
      <c r="T58" s="3"/>
      <c r="U58" s="3"/>
      <c r="V58" s="3"/>
      <c r="W58" s="3"/>
      <c r="X58" s="203"/>
      <c r="Y58" s="204">
        <v>8.9800000000000001E-3</v>
      </c>
      <c r="Z58" s="3"/>
      <c r="AA58" s="3"/>
      <c r="AB58" s="142"/>
      <c r="AC58" s="3"/>
    </row>
    <row r="59" spans="1:29">
      <c r="A59" s="93" t="s">
        <v>389</v>
      </c>
      <c r="B59" s="36">
        <v>0.222</v>
      </c>
      <c r="C59" s="36">
        <v>8.8499999999999995E-2</v>
      </c>
      <c r="D59" s="36">
        <v>6.7799999999999999E-2</v>
      </c>
      <c r="E59" s="36">
        <v>0.21</v>
      </c>
      <c r="F59" s="36">
        <v>0.86899999999999999</v>
      </c>
      <c r="G59" s="36">
        <v>0.18</v>
      </c>
      <c r="H59" s="36">
        <v>0.14599999999999999</v>
      </c>
      <c r="I59" s="36">
        <v>0.27200000000000002</v>
      </c>
      <c r="J59" s="5"/>
      <c r="K59" s="36">
        <v>0.187</v>
      </c>
      <c r="L59" s="36">
        <v>0.10299999999999999</v>
      </c>
      <c r="M59" s="36">
        <v>0.16400000000000001</v>
      </c>
      <c r="N59" s="36">
        <v>0.17899999999999999</v>
      </c>
      <c r="O59" s="36">
        <v>0.14599999999999999</v>
      </c>
      <c r="P59" s="36">
        <v>6.13E-2</v>
      </c>
      <c r="Q59" s="36">
        <v>0.126</v>
      </c>
      <c r="R59" s="36">
        <v>0.33400000000000002</v>
      </c>
      <c r="S59" s="36">
        <v>0.34599999999999997</v>
      </c>
      <c r="T59" s="36">
        <v>0.26500000000000001</v>
      </c>
      <c r="U59" s="36">
        <v>0.14199999999999999</v>
      </c>
      <c r="V59" s="36">
        <v>0.122</v>
      </c>
      <c r="W59" s="36">
        <v>0.34300000000000003</v>
      </c>
      <c r="X59" s="200">
        <v>1.67</v>
      </c>
      <c r="Y59" s="139">
        <v>0.182</v>
      </c>
      <c r="Z59" s="36">
        <v>0.154</v>
      </c>
      <c r="AA59" s="36">
        <v>0.125</v>
      </c>
      <c r="AB59" s="140">
        <v>0.19800000000000001</v>
      </c>
      <c r="AC59" s="36">
        <v>0.222</v>
      </c>
    </row>
    <row r="60" spans="1:29">
      <c r="A60" s="93" t="s">
        <v>390</v>
      </c>
      <c r="B60" s="35">
        <v>3.6799999999999999E-2</v>
      </c>
      <c r="C60" s="35">
        <v>4.48E-2</v>
      </c>
      <c r="D60" s="35">
        <v>1.2999999999999999E-2</v>
      </c>
      <c r="E60" s="3"/>
      <c r="F60" s="3"/>
      <c r="G60" s="35">
        <v>6.3600000000000004E-2</v>
      </c>
      <c r="H60" s="35">
        <v>5.1200000000000002E-2</v>
      </c>
      <c r="I60" s="35">
        <v>7.9600000000000004E-2</v>
      </c>
      <c r="J60" s="3"/>
      <c r="K60" s="35">
        <v>4.4699999999999997E-2</v>
      </c>
      <c r="L60" s="35">
        <v>3.0300000000000001E-2</v>
      </c>
      <c r="M60" s="35">
        <v>2.46E-2</v>
      </c>
      <c r="N60" s="35">
        <v>4.4499999999999998E-2</v>
      </c>
      <c r="O60" s="3"/>
      <c r="P60" s="3"/>
      <c r="Q60" s="35">
        <v>4.7E-2</v>
      </c>
      <c r="R60" s="35">
        <v>4.4299999999999999E-2</v>
      </c>
      <c r="S60" s="35">
        <v>3.5499999999999997E-2</v>
      </c>
      <c r="T60" s="35">
        <v>3.9600000000000003E-2</v>
      </c>
      <c r="U60" s="3"/>
      <c r="V60" s="35">
        <v>0.04</v>
      </c>
      <c r="W60" s="3"/>
      <c r="X60" s="203"/>
      <c r="Y60" s="141"/>
      <c r="Z60" s="3"/>
      <c r="AA60" s="3"/>
      <c r="AB60" s="142"/>
      <c r="AC60" s="35">
        <v>3.6799999999999999E-2</v>
      </c>
    </row>
    <row r="61" spans="1:29">
      <c r="A61" s="93" t="s">
        <v>395</v>
      </c>
      <c r="B61" s="36">
        <v>6.28E-3</v>
      </c>
      <c r="C61" s="36">
        <v>1.7299999999999999E-2</v>
      </c>
      <c r="D61" s="36">
        <v>1.0699999999999999E-2</v>
      </c>
      <c r="E61" s="5"/>
      <c r="F61" s="5"/>
      <c r="G61" s="36">
        <v>7.7099999999999998E-3</v>
      </c>
      <c r="H61" s="36">
        <v>1.38E-2</v>
      </c>
      <c r="I61" s="36">
        <v>7.8100000000000001E-3</v>
      </c>
      <c r="J61" s="5"/>
      <c r="K61" s="36">
        <v>5.0899999999999999E-3</v>
      </c>
      <c r="L61" s="36">
        <v>2.7399999999999998E-3</v>
      </c>
      <c r="M61" s="36">
        <v>3.8E-3</v>
      </c>
      <c r="N61" s="36">
        <v>4.3499999999999997E-3</v>
      </c>
      <c r="O61" s="5"/>
      <c r="P61" s="5"/>
      <c r="Q61" s="36">
        <v>6.7400000000000003E-3</v>
      </c>
      <c r="R61" s="36">
        <v>7.9900000000000006E-3</v>
      </c>
      <c r="S61" s="36">
        <v>8.3800000000000003E-3</v>
      </c>
      <c r="T61" s="36">
        <v>1.12E-2</v>
      </c>
      <c r="U61" s="36">
        <v>5.1999999999999998E-3</v>
      </c>
      <c r="V61" s="36">
        <v>4.5599999999999998E-3</v>
      </c>
      <c r="W61" s="36">
        <v>5.9699999999999996E-3</v>
      </c>
      <c r="X61" s="200">
        <v>7.2899999999999996E-3</v>
      </c>
      <c r="Y61" s="139">
        <v>4.5799999999999999E-3</v>
      </c>
      <c r="Z61" s="36">
        <v>5.2599999999999999E-3</v>
      </c>
      <c r="AA61" s="36">
        <v>6.1999999999999998E-3</v>
      </c>
      <c r="AB61" s="114"/>
      <c r="AC61" s="36">
        <v>6.28E-3</v>
      </c>
    </row>
    <row r="62" spans="1:29">
      <c r="A62" s="93" t="s">
        <v>399</v>
      </c>
      <c r="B62" s="36">
        <v>2.5899999999999999E-2</v>
      </c>
      <c r="C62" s="36">
        <v>1.3299999999999999E-2</v>
      </c>
      <c r="D62" s="5"/>
      <c r="E62" s="5"/>
      <c r="F62" s="36">
        <v>1.47E-2</v>
      </c>
      <c r="G62" s="36">
        <v>3.0700000000000002E-2</v>
      </c>
      <c r="H62" s="36">
        <v>2.0299999999999999E-2</v>
      </c>
      <c r="I62" s="36">
        <v>2.7900000000000001E-2</v>
      </c>
      <c r="J62" s="5"/>
      <c r="K62" s="36">
        <v>2.8199999999999999E-2</v>
      </c>
      <c r="L62" s="36">
        <v>6.5900000000000004E-3</v>
      </c>
      <c r="M62" s="36">
        <v>6.5500000000000003E-2</v>
      </c>
      <c r="N62" s="36">
        <v>5.0999999999999997E-2</v>
      </c>
      <c r="O62" s="5"/>
      <c r="P62" s="5"/>
      <c r="Q62" s="36">
        <v>3.4200000000000001E-2</v>
      </c>
      <c r="R62" s="36">
        <v>0.46899999999999997</v>
      </c>
      <c r="S62" s="36">
        <v>5.62E-2</v>
      </c>
      <c r="T62" s="36">
        <v>1.4200000000000001E-2</v>
      </c>
      <c r="U62" s="36">
        <v>1.26E-2</v>
      </c>
      <c r="V62" s="5"/>
      <c r="W62" s="36">
        <v>4.3999999999999997E-2</v>
      </c>
      <c r="X62" s="200">
        <v>4.9299999999999997E-2</v>
      </c>
      <c r="Y62" s="139">
        <v>0.14599999999999999</v>
      </c>
      <c r="Z62" s="5"/>
      <c r="AA62" s="5"/>
      <c r="AB62" s="114"/>
      <c r="AC62" s="36">
        <v>2.5899999999999999E-2</v>
      </c>
    </row>
    <row r="63" spans="1:29">
      <c r="A63" s="93" t="s">
        <v>400</v>
      </c>
      <c r="B63" s="3"/>
      <c r="C63" s="35">
        <v>5.3200000000000001E-3</v>
      </c>
      <c r="D63" s="3"/>
      <c r="E63" s="3"/>
      <c r="F63" s="3"/>
      <c r="G63" s="3"/>
      <c r="H63" s="35">
        <v>2.32E-3</v>
      </c>
      <c r="I63" s="3"/>
      <c r="J63" s="3"/>
      <c r="K63" s="3"/>
      <c r="L63" s="3"/>
      <c r="M63" s="3"/>
      <c r="N63" s="3"/>
      <c r="O63" s="3"/>
      <c r="P63" s="3"/>
      <c r="Q63" s="3"/>
      <c r="R63" s="3"/>
      <c r="S63" s="3"/>
      <c r="T63" s="3"/>
      <c r="U63" s="3"/>
      <c r="V63" s="3"/>
      <c r="W63" s="3"/>
      <c r="X63" s="203"/>
      <c r="Y63" s="141"/>
      <c r="Z63" s="3"/>
      <c r="AA63" s="3"/>
      <c r="AB63" s="142"/>
      <c r="AC63" s="3"/>
    </row>
    <row r="64" spans="1:29">
      <c r="A64" s="94" t="s">
        <v>421</v>
      </c>
      <c r="B64" s="36">
        <v>1.66E-2</v>
      </c>
      <c r="C64" s="5"/>
      <c r="D64" s="5"/>
      <c r="E64" s="36">
        <v>1.3899999999999999E-2</v>
      </c>
      <c r="F64" s="5"/>
      <c r="G64" s="5"/>
      <c r="H64" s="5"/>
      <c r="I64" s="36">
        <v>1.6500000000000001E-2</v>
      </c>
      <c r="J64" s="5"/>
      <c r="K64" s="36">
        <v>1.09E-2</v>
      </c>
      <c r="L64" s="36">
        <v>1.7899999999999999E-2</v>
      </c>
      <c r="M64" s="36">
        <v>2.8000000000000001E-2</v>
      </c>
      <c r="N64" s="36">
        <v>2.9100000000000001E-2</v>
      </c>
      <c r="O64" s="36">
        <v>4.3799999999999999E-2</v>
      </c>
      <c r="P64" s="5"/>
      <c r="Q64" s="36">
        <v>9.3900000000000008E-3</v>
      </c>
      <c r="R64" s="5"/>
      <c r="S64" s="5"/>
      <c r="T64" s="5"/>
      <c r="U64" s="36">
        <v>1.2200000000000001E-2</v>
      </c>
      <c r="V64" s="36">
        <v>1.2E-2</v>
      </c>
      <c r="W64" s="36">
        <v>1.7600000000000001E-2</v>
      </c>
      <c r="X64" s="200">
        <v>2.3199999999999998E-2</v>
      </c>
      <c r="Y64" s="139">
        <v>1.9300000000000001E-2</v>
      </c>
      <c r="Z64" s="36">
        <v>1.7600000000000001E-2</v>
      </c>
      <c r="AA64" s="36">
        <v>1.6899999999999998E-2</v>
      </c>
      <c r="AB64" s="140">
        <v>1.8100000000000002E-2</v>
      </c>
      <c r="AC64" s="36">
        <v>1.66E-2</v>
      </c>
    </row>
    <row r="65" spans="1:29">
      <c r="A65" s="94" t="s">
        <v>423</v>
      </c>
      <c r="B65" s="36">
        <v>0.28999999999999998</v>
      </c>
      <c r="C65" s="36">
        <v>0.13700000000000001</v>
      </c>
      <c r="D65" s="36">
        <v>0.158</v>
      </c>
      <c r="E65" s="36">
        <v>0.497</v>
      </c>
      <c r="F65" s="36">
        <v>0.16500000000000001</v>
      </c>
      <c r="G65" s="36">
        <v>0.20799999999999999</v>
      </c>
      <c r="H65" s="36">
        <v>0.13200000000000001</v>
      </c>
      <c r="I65" s="36">
        <v>0.25</v>
      </c>
      <c r="J65" s="36">
        <v>0.36699999999999999</v>
      </c>
      <c r="K65" s="36">
        <v>0.14499999999999999</v>
      </c>
      <c r="L65" s="36">
        <v>0.12</v>
      </c>
      <c r="M65" s="36">
        <v>0.223</v>
      </c>
      <c r="N65" s="36">
        <v>0.21199999999999999</v>
      </c>
      <c r="O65" s="36">
        <v>0.56200000000000006</v>
      </c>
      <c r="P65" s="36">
        <v>0.34499999999999997</v>
      </c>
      <c r="Q65" s="36">
        <v>0.115</v>
      </c>
      <c r="R65" s="36">
        <v>0.104</v>
      </c>
      <c r="S65" s="36">
        <v>8.9499999999999996E-2</v>
      </c>
      <c r="T65" s="36">
        <v>0.152</v>
      </c>
      <c r="U65" s="36">
        <v>0.254</v>
      </c>
      <c r="V65" s="36">
        <v>0.2</v>
      </c>
      <c r="W65" s="36">
        <v>0.26800000000000002</v>
      </c>
      <c r="X65" s="200">
        <v>0.15</v>
      </c>
      <c r="Y65" s="139">
        <v>0.17299999999999999</v>
      </c>
      <c r="Z65" s="36">
        <v>0.50600000000000001</v>
      </c>
      <c r="AA65" s="36">
        <v>0.20300000000000001</v>
      </c>
      <c r="AB65" s="140">
        <v>1.24</v>
      </c>
      <c r="AC65" s="36">
        <v>0.28999999999999998</v>
      </c>
    </row>
    <row r="66" spans="1:29">
      <c r="A66" s="94" t="s">
        <v>425</v>
      </c>
      <c r="B66" s="36">
        <v>1.46E-2</v>
      </c>
      <c r="C66" s="5"/>
      <c r="D66" s="5"/>
      <c r="E66" s="5"/>
      <c r="F66" s="5"/>
      <c r="G66" s="5"/>
      <c r="H66" s="5"/>
      <c r="I66" s="5"/>
      <c r="J66" s="36">
        <v>8.2400000000000008E-3</v>
      </c>
      <c r="K66" s="5"/>
      <c r="L66" s="5"/>
      <c r="M66" s="5"/>
      <c r="N66" s="5"/>
      <c r="O66" s="5"/>
      <c r="P66" s="5"/>
      <c r="Q66" s="5"/>
      <c r="R66" s="5"/>
      <c r="S66" s="5"/>
      <c r="T66" s="5"/>
      <c r="U66" s="36">
        <v>5.7099999999999998E-3</v>
      </c>
      <c r="V66" s="5"/>
      <c r="W66" s="36">
        <v>1.5100000000000001E-2</v>
      </c>
      <c r="X66" s="200">
        <v>4.7000000000000002E-3</v>
      </c>
      <c r="Y66" s="113"/>
      <c r="Z66" s="36">
        <v>7.2199999999999999E-3</v>
      </c>
      <c r="AA66" s="36">
        <v>6.2899999999999996E-3</v>
      </c>
      <c r="AB66" s="140">
        <v>6.1600000000000002E-2</v>
      </c>
      <c r="AC66" s="36">
        <v>1.46E-2</v>
      </c>
    </row>
    <row r="67" spans="1:29">
      <c r="A67" s="94" t="s">
        <v>426</v>
      </c>
      <c r="B67" s="35">
        <v>4.9199999999999999E-3</v>
      </c>
      <c r="C67" s="35">
        <v>7.9500000000000005E-3</v>
      </c>
      <c r="D67" s="3"/>
      <c r="E67" s="3"/>
      <c r="F67" s="3"/>
      <c r="G67" s="3"/>
      <c r="H67" s="3"/>
      <c r="I67" s="3"/>
      <c r="J67" s="35">
        <v>5.9800000000000001E-3</v>
      </c>
      <c r="K67" s="3"/>
      <c r="L67" s="3"/>
      <c r="M67" s="3"/>
      <c r="N67" s="3"/>
      <c r="O67" s="3"/>
      <c r="P67" s="3"/>
      <c r="Q67" s="3"/>
      <c r="R67" s="3"/>
      <c r="S67" s="3"/>
      <c r="T67" s="3"/>
      <c r="U67" s="3"/>
      <c r="V67" s="3"/>
      <c r="W67" s="3"/>
      <c r="X67" s="203"/>
      <c r="Y67" s="204">
        <v>3.3600000000000001E-3</v>
      </c>
      <c r="Z67" s="35">
        <v>1.5900000000000001E-3</v>
      </c>
      <c r="AA67" s="3"/>
      <c r="AB67" s="142"/>
      <c r="AC67" s="35">
        <v>4.9199999999999999E-3</v>
      </c>
    </row>
    <row r="68" spans="1:29">
      <c r="A68" s="94" t="s">
        <v>430</v>
      </c>
      <c r="B68" s="35">
        <v>4.5700000000000003E-3</v>
      </c>
      <c r="C68" s="3"/>
      <c r="D68" s="3"/>
      <c r="E68" s="35">
        <v>7.9000000000000008E-3</v>
      </c>
      <c r="F68" s="35">
        <v>6.1199999999999996E-3</v>
      </c>
      <c r="G68" s="3"/>
      <c r="H68" s="3"/>
      <c r="I68" s="3"/>
      <c r="J68" s="3"/>
      <c r="K68" s="35">
        <v>3.7799999999999999E-3</v>
      </c>
      <c r="L68" s="35">
        <v>4.9500000000000004E-3</v>
      </c>
      <c r="M68" s="35">
        <v>4.2399999999999998E-3</v>
      </c>
      <c r="N68" s="35">
        <v>2.9199999999999999E-3</v>
      </c>
      <c r="O68" s="35">
        <v>3.7499999999999999E-3</v>
      </c>
      <c r="P68" s="35">
        <v>4.4600000000000004E-3</v>
      </c>
      <c r="Q68" s="3"/>
      <c r="R68" s="3"/>
      <c r="S68" s="3"/>
      <c r="T68" s="3"/>
      <c r="U68" s="3"/>
      <c r="V68" s="3"/>
      <c r="W68" s="3"/>
      <c r="X68" s="203"/>
      <c r="Y68" s="204">
        <v>3.4499999999999999E-3</v>
      </c>
      <c r="Z68" s="35">
        <v>3.6900000000000001E-3</v>
      </c>
      <c r="AA68" s="35">
        <v>4.45E-3</v>
      </c>
      <c r="AB68" s="138">
        <v>2.3600000000000001E-3</v>
      </c>
      <c r="AC68" s="35">
        <v>4.5700000000000003E-3</v>
      </c>
    </row>
    <row r="69" spans="1:29">
      <c r="A69" s="94" t="s">
        <v>434</v>
      </c>
      <c r="B69" s="35">
        <v>1.9499999999999999E-3</v>
      </c>
      <c r="C69" s="35">
        <v>4.4799999999999996E-3</v>
      </c>
      <c r="D69" s="35">
        <v>3.2299999999999998E-3</v>
      </c>
      <c r="E69" s="3"/>
      <c r="F69" s="3"/>
      <c r="G69" s="35">
        <v>3.15E-3</v>
      </c>
      <c r="H69" s="35">
        <v>2.1700000000000001E-3</v>
      </c>
      <c r="I69" s="3"/>
      <c r="J69" s="35">
        <v>3.2100000000000002E-3</v>
      </c>
      <c r="K69" s="3"/>
      <c r="L69" s="3"/>
      <c r="M69" s="3"/>
      <c r="N69" s="3"/>
      <c r="O69" s="3"/>
      <c r="P69" s="3"/>
      <c r="Q69" s="3"/>
      <c r="R69" s="3"/>
      <c r="S69" s="3"/>
      <c r="T69" s="3"/>
      <c r="U69" s="35">
        <v>3.0000000000000001E-3</v>
      </c>
      <c r="V69" s="3"/>
      <c r="W69" s="3"/>
      <c r="X69" s="203"/>
      <c r="Y69" s="204">
        <v>3.82E-3</v>
      </c>
      <c r="Z69" s="35">
        <v>2.5799999999999998E-3</v>
      </c>
      <c r="AA69" s="3"/>
      <c r="AB69" s="138">
        <v>9.8700000000000003E-4</v>
      </c>
      <c r="AC69" s="35">
        <v>1.9499999999999999E-3</v>
      </c>
    </row>
    <row r="70" spans="1:29">
      <c r="A70" s="94" t="s">
        <v>436</v>
      </c>
      <c r="B70" s="35">
        <v>1.91E-3</v>
      </c>
      <c r="C70" s="35">
        <v>4.2500000000000003E-3</v>
      </c>
      <c r="D70" s="35">
        <v>2.7699999999999999E-3</v>
      </c>
      <c r="E70" s="3"/>
      <c r="F70" s="3"/>
      <c r="G70" s="35">
        <v>1.4599999999999999E-3</v>
      </c>
      <c r="H70" s="35">
        <v>1.6999999999999999E-3</v>
      </c>
      <c r="I70" s="3"/>
      <c r="J70" s="35">
        <v>2.7399999999999998E-3</v>
      </c>
      <c r="K70" s="3"/>
      <c r="L70" s="3"/>
      <c r="M70" s="3"/>
      <c r="N70" s="3"/>
      <c r="O70" s="3"/>
      <c r="P70" s="3"/>
      <c r="Q70" s="3"/>
      <c r="R70" s="3"/>
      <c r="S70" s="3"/>
      <c r="T70" s="3"/>
      <c r="U70" s="35">
        <v>1.5399999999999999E-3</v>
      </c>
      <c r="V70" s="3"/>
      <c r="W70" s="3"/>
      <c r="X70" s="203"/>
      <c r="Y70" s="204">
        <v>3.3600000000000001E-3</v>
      </c>
      <c r="Z70" s="35">
        <v>1.6299999999999999E-3</v>
      </c>
      <c r="AA70" s="3"/>
      <c r="AB70" s="142"/>
      <c r="AC70" s="35">
        <v>1.91E-3</v>
      </c>
    </row>
    <row r="71" spans="1:29">
      <c r="A71" s="94" t="s">
        <v>437</v>
      </c>
      <c r="B71" s="36">
        <v>0.114</v>
      </c>
      <c r="C71" s="36">
        <v>4.1099999999999998E-2</v>
      </c>
      <c r="D71" s="36">
        <v>3.1800000000000002E-2</v>
      </c>
      <c r="E71" s="36">
        <v>0.19900000000000001</v>
      </c>
      <c r="F71" s="36">
        <v>0.11</v>
      </c>
      <c r="G71" s="36">
        <v>4.99E-2</v>
      </c>
      <c r="H71" s="36">
        <v>8.3299999999999999E-2</v>
      </c>
      <c r="I71" s="36">
        <v>5.3900000000000003E-2</v>
      </c>
      <c r="J71" s="36">
        <v>5.3400000000000003E-2</v>
      </c>
      <c r="K71" s="36">
        <v>0.371</v>
      </c>
      <c r="L71" s="36">
        <v>4.58E-2</v>
      </c>
      <c r="M71" s="36">
        <v>7.7899999999999997E-2</v>
      </c>
      <c r="N71" s="36">
        <v>0.13600000000000001</v>
      </c>
      <c r="O71" s="36">
        <v>0.121</v>
      </c>
      <c r="P71" s="36">
        <v>0.151</v>
      </c>
      <c r="Q71" s="36">
        <v>9.7199999999999995E-2</v>
      </c>
      <c r="R71" s="36">
        <v>9.9699999999999997E-2</v>
      </c>
      <c r="S71" s="36">
        <v>5.4100000000000002E-2</v>
      </c>
      <c r="T71" s="36">
        <v>0.16400000000000001</v>
      </c>
      <c r="U71" s="36">
        <v>0.12</v>
      </c>
      <c r="V71" s="36">
        <v>6.3200000000000006E-2</v>
      </c>
      <c r="W71" s="36">
        <v>0.157</v>
      </c>
      <c r="X71" s="200">
        <v>0.14099999999999999</v>
      </c>
      <c r="Y71" s="139">
        <v>0.11600000000000001</v>
      </c>
      <c r="Z71" s="36">
        <v>0.13800000000000001</v>
      </c>
      <c r="AA71" s="36">
        <v>0.14799999999999999</v>
      </c>
      <c r="AB71" s="140">
        <v>0.28399999999999997</v>
      </c>
      <c r="AC71" s="36">
        <v>0.114</v>
      </c>
    </row>
    <row r="72" spans="1:29">
      <c r="A72" s="94" t="s">
        <v>438</v>
      </c>
      <c r="B72" s="35">
        <v>0.32</v>
      </c>
      <c r="C72" s="35">
        <v>0.22700000000000001</v>
      </c>
      <c r="D72" s="35">
        <v>0.159</v>
      </c>
      <c r="E72" s="35">
        <v>0.42299999999999999</v>
      </c>
      <c r="F72" s="35">
        <v>0.14299999999999999</v>
      </c>
      <c r="G72" s="35">
        <v>0.33</v>
      </c>
      <c r="H72" s="35">
        <v>0.24399999999999999</v>
      </c>
      <c r="I72" s="35">
        <v>0.38900000000000001</v>
      </c>
      <c r="J72" s="35">
        <v>0.374</v>
      </c>
      <c r="K72" s="35">
        <v>0.3</v>
      </c>
      <c r="L72" s="35">
        <v>0.189</v>
      </c>
      <c r="M72" s="35">
        <v>0.219</v>
      </c>
      <c r="N72" s="35">
        <v>0.23699999999999999</v>
      </c>
      <c r="O72" s="35">
        <v>0.60599999999999998</v>
      </c>
      <c r="P72" s="35">
        <v>0.36699999999999999</v>
      </c>
      <c r="Q72" s="35">
        <v>0.24199999999999999</v>
      </c>
      <c r="R72" s="35">
        <v>0.28299999999999997</v>
      </c>
      <c r="S72" s="35">
        <v>0.189</v>
      </c>
      <c r="T72" s="35">
        <v>0.30299999999999999</v>
      </c>
      <c r="U72" s="35">
        <v>0.28699999999999998</v>
      </c>
      <c r="V72" s="35">
        <v>0.216</v>
      </c>
      <c r="W72" s="35">
        <v>0.28699999999999998</v>
      </c>
      <c r="X72" s="202">
        <v>0.21</v>
      </c>
      <c r="Y72" s="204">
        <v>0.18099999999999999</v>
      </c>
      <c r="Z72" s="35">
        <v>0.47499999999999998</v>
      </c>
      <c r="AA72" s="35">
        <v>0.308</v>
      </c>
      <c r="AB72" s="138">
        <v>0.95899999999999996</v>
      </c>
      <c r="AC72" s="35">
        <v>0.32</v>
      </c>
    </row>
    <row r="73" spans="1:29">
      <c r="A73" s="94" t="s">
        <v>440</v>
      </c>
      <c r="B73" s="35">
        <v>9.6500000000000006E-3</v>
      </c>
      <c r="C73" s="35">
        <v>3.44E-2</v>
      </c>
      <c r="D73" s="35">
        <v>2.6599999999999999E-2</v>
      </c>
      <c r="E73" s="3"/>
      <c r="F73" s="35">
        <v>2.2499999999999998E-3</v>
      </c>
      <c r="G73" s="35">
        <v>2.3099999999999999E-2</v>
      </c>
      <c r="H73" s="35">
        <v>1.8800000000000001E-2</v>
      </c>
      <c r="I73" s="3"/>
      <c r="J73" s="35">
        <v>2.0500000000000001E-2</v>
      </c>
      <c r="K73" s="3"/>
      <c r="L73" s="3"/>
      <c r="M73" s="3"/>
      <c r="N73" s="3"/>
      <c r="O73" s="3"/>
      <c r="P73" s="35">
        <v>5.2100000000000002E-3</v>
      </c>
      <c r="Q73" s="3"/>
      <c r="R73" s="3"/>
      <c r="S73" s="3"/>
      <c r="T73" s="3"/>
      <c r="U73" s="35">
        <v>8.7299999999999999E-3</v>
      </c>
      <c r="V73" s="3"/>
      <c r="W73" s="3"/>
      <c r="X73" s="202">
        <v>1.2500000000000001E-2</v>
      </c>
      <c r="Y73" s="204">
        <v>1.52E-2</v>
      </c>
      <c r="Z73" s="35">
        <v>1.17E-2</v>
      </c>
      <c r="AA73" s="35">
        <v>1.03E-2</v>
      </c>
      <c r="AB73" s="142"/>
      <c r="AC73" s="35">
        <v>9.6500000000000006E-3</v>
      </c>
    </row>
    <row r="74" spans="1:29">
      <c r="A74" s="94" t="s">
        <v>441</v>
      </c>
      <c r="B74" s="36">
        <v>2.0400000000000001E-3</v>
      </c>
      <c r="C74" s="5"/>
      <c r="D74" s="5"/>
      <c r="E74" s="5"/>
      <c r="F74" s="5"/>
      <c r="G74" s="5"/>
      <c r="H74" s="5"/>
      <c r="I74" s="5"/>
      <c r="J74" s="36">
        <v>0.01</v>
      </c>
      <c r="K74" s="5"/>
      <c r="L74" s="5"/>
      <c r="M74" s="5"/>
      <c r="N74" s="5"/>
      <c r="O74" s="5"/>
      <c r="P74" s="5"/>
      <c r="Q74" s="5"/>
      <c r="R74" s="5"/>
      <c r="S74" s="5"/>
      <c r="T74" s="5"/>
      <c r="U74" s="36">
        <v>4.0899999999999999E-3</v>
      </c>
      <c r="V74" s="5"/>
      <c r="W74" s="5"/>
      <c r="X74" s="201"/>
      <c r="Y74" s="139">
        <v>2.4199999999999998E-3</v>
      </c>
      <c r="Z74" s="5"/>
      <c r="AA74" s="5"/>
      <c r="AB74" s="114"/>
      <c r="AC74" s="36">
        <v>2.0400000000000001E-3</v>
      </c>
    </row>
    <row r="75" spans="1:29">
      <c r="A75" s="94" t="s">
        <v>442</v>
      </c>
      <c r="B75" s="3"/>
      <c r="C75" s="3"/>
      <c r="D75" s="3"/>
      <c r="E75" s="3"/>
      <c r="F75" s="35">
        <v>2.0100000000000001E-3</v>
      </c>
      <c r="G75" s="3"/>
      <c r="H75" s="3"/>
      <c r="I75" s="3"/>
      <c r="J75" s="3"/>
      <c r="K75" s="3"/>
      <c r="L75" s="3"/>
      <c r="M75" s="3"/>
      <c r="N75" s="3"/>
      <c r="O75" s="3"/>
      <c r="P75" s="3"/>
      <c r="Q75" s="3"/>
      <c r="R75" s="3"/>
      <c r="S75" s="3"/>
      <c r="T75" s="3"/>
      <c r="U75" s="3"/>
      <c r="V75" s="3"/>
      <c r="W75" s="3"/>
      <c r="X75" s="203"/>
      <c r="Y75" s="141"/>
      <c r="Z75" s="3"/>
      <c r="AA75" s="3"/>
      <c r="AB75" s="142"/>
      <c r="AC75" s="3"/>
    </row>
    <row r="76" spans="1:29">
      <c r="A76" s="94" t="s">
        <v>453</v>
      </c>
      <c r="B76" s="36">
        <v>4.5999999999999999E-2</v>
      </c>
      <c r="C76" s="36">
        <v>4.3999999999999997E-2</v>
      </c>
      <c r="D76" s="36">
        <v>2.64E-2</v>
      </c>
      <c r="E76" s="5"/>
      <c r="F76" s="36">
        <v>2.4199999999999999E-2</v>
      </c>
      <c r="G76" s="36">
        <v>5.11E-2</v>
      </c>
      <c r="H76" s="36">
        <v>4.3400000000000001E-2</v>
      </c>
      <c r="I76" s="36">
        <v>4.9700000000000001E-2</v>
      </c>
      <c r="J76" s="36">
        <v>5.0799999999999998E-2</v>
      </c>
      <c r="K76" s="36">
        <v>7.1499999999999994E-2</v>
      </c>
      <c r="L76" s="36">
        <v>4.1700000000000001E-2</v>
      </c>
      <c r="M76" s="36">
        <v>3.9699999999999999E-2</v>
      </c>
      <c r="N76" s="36">
        <v>3.1300000000000001E-2</v>
      </c>
      <c r="O76" s="36">
        <v>5.2999999999999999E-2</v>
      </c>
      <c r="P76" s="36">
        <v>2.6499999999999999E-2</v>
      </c>
      <c r="Q76" s="36">
        <v>5.67E-2</v>
      </c>
      <c r="R76" s="36">
        <v>6.9800000000000001E-2</v>
      </c>
      <c r="S76" s="36">
        <v>3.85E-2</v>
      </c>
      <c r="T76" s="36">
        <v>5.5599999999999997E-2</v>
      </c>
      <c r="U76" s="36">
        <v>5.0999999999999997E-2</v>
      </c>
      <c r="V76" s="36">
        <v>4.0500000000000001E-2</v>
      </c>
      <c r="W76" s="36">
        <v>4.1200000000000001E-2</v>
      </c>
      <c r="X76" s="200">
        <v>5.7299999999999997E-2</v>
      </c>
      <c r="Y76" s="139">
        <v>3.04E-2</v>
      </c>
      <c r="Z76" s="36">
        <v>6.13E-2</v>
      </c>
      <c r="AA76" s="36">
        <v>3.3000000000000002E-2</v>
      </c>
      <c r="AB76" s="140">
        <v>0.13400000000000001</v>
      </c>
      <c r="AC76" s="36">
        <v>4.5999999999999999E-2</v>
      </c>
    </row>
    <row r="77" spans="1:29">
      <c r="A77" s="94" t="s">
        <v>454</v>
      </c>
      <c r="B77" s="35">
        <v>8.4100000000000008E-3</v>
      </c>
      <c r="C77" s="35">
        <v>1.46E-2</v>
      </c>
      <c r="D77" s="35">
        <v>8.4399999999999996E-3</v>
      </c>
      <c r="E77" s="3"/>
      <c r="F77" s="35">
        <v>6.0000000000000001E-3</v>
      </c>
      <c r="G77" s="35">
        <v>1.1599999999999999E-2</v>
      </c>
      <c r="H77" s="35">
        <v>1.0800000000000001E-2</v>
      </c>
      <c r="I77" s="35">
        <v>6.9800000000000001E-3</v>
      </c>
      <c r="J77" s="35">
        <v>1.2200000000000001E-2</v>
      </c>
      <c r="K77" s="35">
        <v>1.9800000000000002E-2</v>
      </c>
      <c r="L77" s="35">
        <v>1.2E-2</v>
      </c>
      <c r="M77" s="35">
        <v>1.0699999999999999E-2</v>
      </c>
      <c r="N77" s="35">
        <v>7.2700000000000004E-3</v>
      </c>
      <c r="O77" s="3"/>
      <c r="P77" s="35">
        <v>5.4900000000000001E-3</v>
      </c>
      <c r="Q77" s="35">
        <v>1.04E-2</v>
      </c>
      <c r="R77" s="35">
        <v>7.1300000000000001E-3</v>
      </c>
      <c r="S77" s="35">
        <v>6.5900000000000004E-3</v>
      </c>
      <c r="T77" s="35">
        <v>1.2E-2</v>
      </c>
      <c r="U77" s="35">
        <v>8.8400000000000006E-3</v>
      </c>
      <c r="V77" s="35">
        <v>5.3400000000000001E-3</v>
      </c>
      <c r="W77" s="35">
        <v>6.6699999999999997E-3</v>
      </c>
      <c r="X77" s="202">
        <v>8.2699999999999996E-3</v>
      </c>
      <c r="Y77" s="204">
        <v>6.5300000000000002E-3</v>
      </c>
      <c r="Z77" s="35">
        <v>1.32E-2</v>
      </c>
      <c r="AA77" s="35">
        <v>1.4500000000000001E-2</v>
      </c>
      <c r="AB77" s="138">
        <v>4.41E-2</v>
      </c>
      <c r="AC77" s="35">
        <v>8.4100000000000008E-3</v>
      </c>
    </row>
    <row r="78" spans="1:29">
      <c r="A78" s="94" t="s">
        <v>455</v>
      </c>
      <c r="B78" s="5"/>
      <c r="C78" s="36">
        <v>1.29E-2</v>
      </c>
      <c r="D78" s="5"/>
      <c r="E78" s="5"/>
      <c r="F78" s="5"/>
      <c r="G78" s="5"/>
      <c r="H78" s="5"/>
      <c r="I78" s="5"/>
      <c r="J78" s="36">
        <v>4.4999999999999997E-3</v>
      </c>
      <c r="K78" s="5"/>
      <c r="L78" s="5"/>
      <c r="M78" s="5"/>
      <c r="N78" s="5"/>
      <c r="O78" s="5"/>
      <c r="P78" s="5"/>
      <c r="Q78" s="5"/>
      <c r="R78" s="5"/>
      <c r="S78" s="5"/>
      <c r="T78" s="5"/>
      <c r="U78" s="5"/>
      <c r="V78" s="5"/>
      <c r="W78" s="5"/>
      <c r="X78" s="201"/>
      <c r="Y78" s="139">
        <v>4.6100000000000004E-3</v>
      </c>
      <c r="Z78" s="5"/>
      <c r="AA78" s="5"/>
      <c r="AB78" s="114"/>
      <c r="AC78" s="5"/>
    </row>
    <row r="79" spans="1:29">
      <c r="A79" s="94" t="s">
        <v>456</v>
      </c>
      <c r="B79" s="35">
        <v>5.94E-3</v>
      </c>
      <c r="C79" s="3"/>
      <c r="D79" s="35">
        <v>1.0999999999999999E-2</v>
      </c>
      <c r="E79" s="3"/>
      <c r="F79" s="3"/>
      <c r="G79" s="35">
        <v>1.34E-2</v>
      </c>
      <c r="H79" s="35">
        <v>9.9799999999999993E-3</v>
      </c>
      <c r="I79" s="3"/>
      <c r="J79" s="35">
        <v>1.18E-2</v>
      </c>
      <c r="K79" s="3"/>
      <c r="L79" s="3"/>
      <c r="M79" s="3"/>
      <c r="N79" s="3"/>
      <c r="O79" s="3"/>
      <c r="P79" s="3"/>
      <c r="Q79" s="3"/>
      <c r="R79" s="3"/>
      <c r="S79" s="3"/>
      <c r="T79" s="3"/>
      <c r="U79" s="3"/>
      <c r="V79" s="3"/>
      <c r="W79" s="3"/>
      <c r="X79" s="203"/>
      <c r="Y79" s="204">
        <v>5.7800000000000004E-3</v>
      </c>
      <c r="Z79" s="3"/>
      <c r="AA79" s="3"/>
      <c r="AB79" s="142"/>
      <c r="AC79" s="35">
        <v>5.94E-3</v>
      </c>
    </row>
    <row r="80" spans="1:29">
      <c r="A80" s="94" t="s">
        <v>459</v>
      </c>
      <c r="B80" s="36">
        <v>0.309</v>
      </c>
      <c r="C80" s="36">
        <v>0.11600000000000001</v>
      </c>
      <c r="D80" s="36">
        <v>0.12</v>
      </c>
      <c r="E80" s="36">
        <v>0.41599999999999998</v>
      </c>
      <c r="F80" s="36">
        <v>0.114</v>
      </c>
      <c r="G80" s="36">
        <v>0.17699999999999999</v>
      </c>
      <c r="H80" s="36">
        <v>8.5000000000000006E-2</v>
      </c>
      <c r="I80" s="36">
        <v>0.222</v>
      </c>
      <c r="J80" s="36">
        <v>0.34799999999999998</v>
      </c>
      <c r="K80" s="36">
        <v>0.13600000000000001</v>
      </c>
      <c r="L80" s="36">
        <v>0.13800000000000001</v>
      </c>
      <c r="M80" s="36">
        <v>0.33100000000000002</v>
      </c>
      <c r="N80" s="36">
        <v>0.33</v>
      </c>
      <c r="O80" s="36">
        <v>0.50600000000000001</v>
      </c>
      <c r="P80" s="36">
        <v>0.498</v>
      </c>
      <c r="Q80" s="36">
        <v>0.112</v>
      </c>
      <c r="R80" s="36">
        <v>0.1</v>
      </c>
      <c r="S80" s="36">
        <v>8.3900000000000002E-2</v>
      </c>
      <c r="T80" s="36">
        <v>0.19900000000000001</v>
      </c>
      <c r="U80" s="36">
        <v>0.45400000000000001</v>
      </c>
      <c r="V80" s="36">
        <v>0.29299999999999998</v>
      </c>
      <c r="W80" s="36">
        <v>0.57499999999999996</v>
      </c>
      <c r="X80" s="200">
        <v>0.218</v>
      </c>
      <c r="Y80" s="139">
        <v>0.20399999999999999</v>
      </c>
      <c r="Z80" s="36">
        <v>0.70299999999999996</v>
      </c>
      <c r="AA80" s="36">
        <v>0.19</v>
      </c>
      <c r="AB80" s="140">
        <v>0.752</v>
      </c>
      <c r="AC80" s="36">
        <v>0.309</v>
      </c>
    </row>
    <row r="81" spans="1:29">
      <c r="A81" s="94" t="s">
        <v>460</v>
      </c>
      <c r="B81" s="35">
        <v>1.7899999999999999E-2</v>
      </c>
      <c r="C81" s="35">
        <v>1.1299999999999999E-2</v>
      </c>
      <c r="D81" s="3"/>
      <c r="E81" s="3"/>
      <c r="F81" s="35">
        <v>8.7500000000000008E-3</v>
      </c>
      <c r="G81" s="35">
        <v>8.6599999999999993E-3</v>
      </c>
      <c r="H81" s="35">
        <v>1.41E-2</v>
      </c>
      <c r="I81" s="35">
        <v>1.41E-2</v>
      </c>
      <c r="J81" s="35">
        <v>1.3899999999999999E-2</v>
      </c>
      <c r="K81" s="3"/>
      <c r="L81" s="35">
        <v>6.2100000000000002E-3</v>
      </c>
      <c r="M81" s="35">
        <v>9.5399999999999999E-3</v>
      </c>
      <c r="N81" s="35">
        <v>8.9300000000000004E-3</v>
      </c>
      <c r="O81" s="35">
        <v>4.5199999999999997E-2</v>
      </c>
      <c r="P81" s="35">
        <v>1.43E-2</v>
      </c>
      <c r="Q81" s="35">
        <v>1.12E-2</v>
      </c>
      <c r="R81" s="35">
        <v>1.44E-2</v>
      </c>
      <c r="S81" s="35">
        <v>1.72E-2</v>
      </c>
      <c r="T81" s="35">
        <v>1.5100000000000001E-2</v>
      </c>
      <c r="U81" s="35">
        <v>1.0999999999999999E-2</v>
      </c>
      <c r="V81" s="35">
        <v>7.6099999999999996E-3</v>
      </c>
      <c r="W81" s="35">
        <v>1.2999999999999999E-2</v>
      </c>
      <c r="X81" s="202">
        <v>1.0800000000000001E-2</v>
      </c>
      <c r="Y81" s="204">
        <v>1.3899999999999999E-2</v>
      </c>
      <c r="Z81" s="35">
        <v>1.09E-2</v>
      </c>
      <c r="AA81" s="35">
        <v>5.1200000000000004E-3</v>
      </c>
      <c r="AB81" s="138">
        <v>0.14499999999999999</v>
      </c>
      <c r="AC81" s="35">
        <v>1.7899999999999999E-2</v>
      </c>
    </row>
    <row r="82" spans="1:29">
      <c r="A82" s="94" t="s">
        <v>466</v>
      </c>
      <c r="B82" s="35">
        <v>7.5199999999999998E-3</v>
      </c>
      <c r="C82" s="35">
        <v>9.4699999999999993E-3</v>
      </c>
      <c r="D82" s="35">
        <v>1.0699999999999999E-2</v>
      </c>
      <c r="E82" s="3"/>
      <c r="F82" s="35">
        <v>1.44E-2</v>
      </c>
      <c r="G82" s="35">
        <v>8.9499999999999996E-3</v>
      </c>
      <c r="H82" s="35">
        <v>7.2399999999999999E-3</v>
      </c>
      <c r="I82" s="35">
        <v>7.4000000000000003E-3</v>
      </c>
      <c r="J82" s="35">
        <v>8.6599999999999993E-3</v>
      </c>
      <c r="K82" s="3"/>
      <c r="L82" s="35">
        <v>3.7599999999999999E-3</v>
      </c>
      <c r="M82" s="35">
        <v>4.1200000000000004E-3</v>
      </c>
      <c r="N82" s="35">
        <v>6.4799999999999996E-3</v>
      </c>
      <c r="O82" s="3"/>
      <c r="P82" s="35">
        <v>9.4699999999999993E-3</v>
      </c>
      <c r="Q82" s="35">
        <v>2.81E-3</v>
      </c>
      <c r="R82" s="35">
        <v>4.1399999999999996E-3</v>
      </c>
      <c r="S82" s="35">
        <v>3.4499999999999999E-3</v>
      </c>
      <c r="T82" s="35">
        <v>6.2399999999999999E-3</v>
      </c>
      <c r="U82" s="35">
        <v>5.5900000000000004E-3</v>
      </c>
      <c r="V82" s="35">
        <v>3.6800000000000001E-3</v>
      </c>
      <c r="W82" s="35">
        <v>4.2700000000000004E-3</v>
      </c>
      <c r="X82" s="202">
        <v>3.46E-3</v>
      </c>
      <c r="Y82" s="204">
        <v>1.09E-2</v>
      </c>
      <c r="Z82" s="35">
        <v>6.94E-3</v>
      </c>
      <c r="AA82" s="35">
        <v>7.6899999999999998E-3</v>
      </c>
      <c r="AB82" s="142"/>
      <c r="AC82" s="35">
        <v>7.5199999999999998E-3</v>
      </c>
    </row>
    <row r="83" spans="1:29">
      <c r="A83" s="94" t="s">
        <v>469</v>
      </c>
      <c r="B83" s="36">
        <v>3.7200000000000002E-3</v>
      </c>
      <c r="C83" s="36">
        <v>7.3099999999999997E-3</v>
      </c>
      <c r="D83" s="36">
        <v>5.1599999999999997E-3</v>
      </c>
      <c r="E83" s="36">
        <v>4.2900000000000004E-3</v>
      </c>
      <c r="F83" s="5"/>
      <c r="G83" s="36">
        <v>3.3300000000000001E-3</v>
      </c>
      <c r="H83" s="36">
        <v>3.6800000000000001E-3</v>
      </c>
      <c r="I83" s="36">
        <v>3.2499999999999999E-3</v>
      </c>
      <c r="J83" s="36">
        <v>4.2300000000000003E-3</v>
      </c>
      <c r="K83" s="5"/>
      <c r="L83" s="5"/>
      <c r="M83" s="5"/>
      <c r="N83" s="5"/>
      <c r="O83" s="5"/>
      <c r="P83" s="5"/>
      <c r="Q83" s="5"/>
      <c r="R83" s="36">
        <v>4.5599999999999998E-3</v>
      </c>
      <c r="S83" s="5"/>
      <c r="T83" s="5"/>
      <c r="U83" s="36">
        <v>3.2399999999999998E-3</v>
      </c>
      <c r="V83" s="5"/>
      <c r="W83" s="36">
        <v>2.32E-3</v>
      </c>
      <c r="X83" s="201"/>
      <c r="Y83" s="139">
        <v>2.4599999999999999E-3</v>
      </c>
      <c r="Z83" s="5"/>
      <c r="AA83" s="5"/>
      <c r="AB83" s="140">
        <v>1.1900000000000001E-2</v>
      </c>
      <c r="AC83" s="36">
        <v>3.7200000000000002E-3</v>
      </c>
    </row>
    <row r="84" spans="1:29">
      <c r="A84" s="94" t="s">
        <v>470</v>
      </c>
      <c r="B84" s="35">
        <v>16.100000000000001</v>
      </c>
      <c r="C84" s="35">
        <v>19.899999999999999</v>
      </c>
      <c r="D84" s="35">
        <v>17.899999999999999</v>
      </c>
      <c r="E84" s="35">
        <v>36.799999999999997</v>
      </c>
      <c r="F84" s="3"/>
      <c r="G84" s="35">
        <v>15.9</v>
      </c>
      <c r="H84" s="35">
        <v>16.600000000000001</v>
      </c>
      <c r="I84" s="35">
        <v>14.6</v>
      </c>
      <c r="J84" s="35">
        <v>11.6</v>
      </c>
      <c r="K84" s="35">
        <v>25.3</v>
      </c>
      <c r="L84" s="35">
        <v>23.3</v>
      </c>
      <c r="M84" s="35">
        <v>20.8</v>
      </c>
      <c r="N84" s="35">
        <v>17.5</v>
      </c>
      <c r="O84" s="35">
        <v>51.4</v>
      </c>
      <c r="P84" s="3"/>
      <c r="Q84" s="35">
        <v>3.39</v>
      </c>
      <c r="R84" s="35">
        <v>4.1900000000000004</v>
      </c>
      <c r="S84" s="35">
        <v>1.76</v>
      </c>
      <c r="T84" s="35">
        <v>2.2000000000000002</v>
      </c>
      <c r="U84" s="35">
        <v>0.84799999999999998</v>
      </c>
      <c r="V84" s="35">
        <v>0.84499999999999997</v>
      </c>
      <c r="W84" s="35">
        <v>1.1499999999999999</v>
      </c>
      <c r="X84" s="202">
        <v>2.2000000000000002</v>
      </c>
      <c r="Y84" s="141"/>
      <c r="Z84" s="3"/>
      <c r="AA84" s="3"/>
      <c r="AB84" s="138">
        <v>68.400000000000006</v>
      </c>
      <c r="AC84" s="35">
        <v>16.100000000000001</v>
      </c>
    </row>
    <row r="85" spans="1:29">
      <c r="A85" s="94" t="s">
        <v>474</v>
      </c>
      <c r="B85" s="35">
        <v>9.4200000000000006E-2</v>
      </c>
      <c r="C85" s="35">
        <v>9.3799999999999994E-2</v>
      </c>
      <c r="D85" s="35">
        <v>5.5100000000000003E-2</v>
      </c>
      <c r="E85" s="35">
        <v>7.4499999999999997E-2</v>
      </c>
      <c r="F85" s="35">
        <v>4.24E-2</v>
      </c>
      <c r="G85" s="35">
        <v>0.11899999999999999</v>
      </c>
      <c r="H85" s="35">
        <v>0.10199999999999999</v>
      </c>
      <c r="I85" s="35">
        <v>0.128</v>
      </c>
      <c r="J85" s="35">
        <v>0.159</v>
      </c>
      <c r="K85" s="35">
        <v>0.13200000000000001</v>
      </c>
      <c r="L85" s="35">
        <v>6.93E-2</v>
      </c>
      <c r="M85" s="35">
        <v>8.1000000000000003E-2</v>
      </c>
      <c r="N85" s="35">
        <v>9.2399999999999996E-2</v>
      </c>
      <c r="O85" s="35">
        <v>8.2299999999999998E-2</v>
      </c>
      <c r="P85" s="35">
        <v>0.114</v>
      </c>
      <c r="Q85" s="35">
        <v>0.108</v>
      </c>
      <c r="R85" s="35">
        <v>4.0399999999999998E-2</v>
      </c>
      <c r="S85" s="35">
        <v>9.4700000000000006E-2</v>
      </c>
      <c r="T85" s="35">
        <v>0.10199999999999999</v>
      </c>
      <c r="U85" s="35">
        <v>0.14299999999999999</v>
      </c>
      <c r="V85" s="35">
        <v>0.105</v>
      </c>
      <c r="W85" s="35">
        <v>0.125</v>
      </c>
      <c r="X85" s="202">
        <v>8.2199999999999995E-2</v>
      </c>
      <c r="Y85" s="204">
        <v>6.2899999999999998E-2</v>
      </c>
      <c r="Z85" s="35">
        <v>0.156</v>
      </c>
      <c r="AA85" s="35">
        <v>9.8199999999999996E-2</v>
      </c>
      <c r="AB85" s="138">
        <v>0.109</v>
      </c>
      <c r="AC85" s="35">
        <v>9.4200000000000006E-2</v>
      </c>
    </row>
    <row r="86" spans="1:29">
      <c r="A86" s="94" t="s">
        <v>478</v>
      </c>
      <c r="B86" s="35">
        <v>0.20100000000000001</v>
      </c>
      <c r="C86" s="35">
        <v>0.13100000000000001</v>
      </c>
      <c r="D86" s="35">
        <v>7.9899999999999999E-2</v>
      </c>
      <c r="E86" s="35">
        <v>9.64E-2</v>
      </c>
      <c r="F86" s="35">
        <v>0.14699999999999999</v>
      </c>
      <c r="G86" s="35">
        <v>0.159</v>
      </c>
      <c r="H86" s="35">
        <v>0.14199999999999999</v>
      </c>
      <c r="I86" s="35">
        <v>0.17799999999999999</v>
      </c>
      <c r="J86" s="35">
        <v>0.155</v>
      </c>
      <c r="K86" s="35">
        <v>0.20799999999999999</v>
      </c>
      <c r="L86" s="35">
        <v>0.155</v>
      </c>
      <c r="M86" s="35">
        <v>0.22600000000000001</v>
      </c>
      <c r="N86" s="35">
        <v>0.16600000000000001</v>
      </c>
      <c r="O86" s="35">
        <v>0.21199999999999999</v>
      </c>
      <c r="P86" s="35">
        <v>0.23599999999999999</v>
      </c>
      <c r="Q86" s="35">
        <v>0.14799999999999999</v>
      </c>
      <c r="R86" s="35">
        <v>0.17499999999999999</v>
      </c>
      <c r="S86" s="35">
        <v>0.17</v>
      </c>
      <c r="T86" s="35">
        <v>0.25800000000000001</v>
      </c>
      <c r="U86" s="35">
        <v>0.20599999999999999</v>
      </c>
      <c r="V86" s="35">
        <v>0.156</v>
      </c>
      <c r="W86" s="35">
        <v>0.191</v>
      </c>
      <c r="X86" s="202">
        <v>0.17100000000000001</v>
      </c>
      <c r="Y86" s="204">
        <v>0.1</v>
      </c>
      <c r="Z86" s="35">
        <v>0.25800000000000001</v>
      </c>
      <c r="AA86" s="35">
        <v>0.223</v>
      </c>
      <c r="AB86" s="138">
        <v>0.26700000000000002</v>
      </c>
      <c r="AC86" s="35">
        <v>0.20100000000000001</v>
      </c>
    </row>
    <row r="87" spans="1:29">
      <c r="A87" s="94" t="s">
        <v>479</v>
      </c>
      <c r="B87" s="5"/>
      <c r="C87" s="36">
        <v>2.9099999999999998E-3</v>
      </c>
      <c r="D87" s="5"/>
      <c r="E87" s="5"/>
      <c r="F87" s="5"/>
      <c r="G87" s="5"/>
      <c r="H87" s="36">
        <v>1.49E-3</v>
      </c>
      <c r="I87" s="5"/>
      <c r="J87" s="36">
        <v>2.3999999999999998E-3</v>
      </c>
      <c r="K87" s="5"/>
      <c r="L87" s="5"/>
      <c r="M87" s="5"/>
      <c r="N87" s="5"/>
      <c r="O87" s="5"/>
      <c r="P87" s="5"/>
      <c r="Q87" s="5"/>
      <c r="R87" s="5"/>
      <c r="S87" s="5"/>
      <c r="T87" s="5"/>
      <c r="U87" s="36">
        <v>2.48E-3</v>
      </c>
      <c r="V87" s="5"/>
      <c r="W87" s="5"/>
      <c r="X87" s="201"/>
      <c r="Y87" s="113"/>
      <c r="Z87" s="5"/>
      <c r="AA87" s="5"/>
      <c r="AB87" s="114"/>
      <c r="AC87" s="5"/>
    </row>
    <row r="88" spans="1:29">
      <c r="A88" s="94" t="s">
        <v>480</v>
      </c>
      <c r="B88" s="35">
        <v>4.3999999999999997E-2</v>
      </c>
      <c r="C88" s="35">
        <v>2.6700000000000002E-2</v>
      </c>
      <c r="D88" s="35">
        <v>7.43E-3</v>
      </c>
      <c r="E88" s="35">
        <v>4.2000000000000003E-2</v>
      </c>
      <c r="F88" s="35">
        <v>2.9100000000000001E-2</v>
      </c>
      <c r="G88" s="35">
        <v>2.3400000000000001E-2</v>
      </c>
      <c r="H88" s="35">
        <v>3.3399999999999999E-2</v>
      </c>
      <c r="I88" s="35">
        <v>2.5499999999999998E-2</v>
      </c>
      <c r="J88" s="35">
        <v>1.8499999999999999E-2</v>
      </c>
      <c r="K88" s="35">
        <v>4.1300000000000003E-2</v>
      </c>
      <c r="L88" s="35">
        <v>2.9600000000000001E-2</v>
      </c>
      <c r="M88" s="35">
        <v>2.2700000000000001E-2</v>
      </c>
      <c r="N88" s="35">
        <v>3.32E-2</v>
      </c>
      <c r="O88" s="35">
        <v>4.1799999999999997E-2</v>
      </c>
      <c r="P88" s="35">
        <v>3.0499999999999999E-2</v>
      </c>
      <c r="Q88" s="35">
        <v>4.0599999999999997E-2</v>
      </c>
      <c r="R88" s="35">
        <v>1.4200000000000001E-2</v>
      </c>
      <c r="S88" s="35">
        <v>2.35E-2</v>
      </c>
      <c r="T88" s="35">
        <v>4.4200000000000003E-2</v>
      </c>
      <c r="U88" s="35">
        <v>4.7699999999999999E-2</v>
      </c>
      <c r="V88" s="35">
        <v>3.0300000000000001E-2</v>
      </c>
      <c r="W88" s="35">
        <v>3.27E-2</v>
      </c>
      <c r="X88" s="202">
        <v>5.3900000000000003E-2</v>
      </c>
      <c r="Y88" s="204">
        <v>3.15E-2</v>
      </c>
      <c r="Z88" s="35">
        <v>2.9499999999999998E-2</v>
      </c>
      <c r="AA88" s="35">
        <v>4.9899999999999996E-3</v>
      </c>
      <c r="AB88" s="142"/>
      <c r="AC88" s="35">
        <v>4.3999999999999997E-2</v>
      </c>
    </row>
    <row r="89" spans="1:29">
      <c r="A89" s="94" t="s">
        <v>482</v>
      </c>
      <c r="B89" s="35">
        <v>9.1699999999999993E-3</v>
      </c>
      <c r="C89" s="35">
        <v>2.7E-2</v>
      </c>
      <c r="D89" s="35">
        <v>1.37E-2</v>
      </c>
      <c r="E89" s="3"/>
      <c r="F89" s="35">
        <v>6.1399999999999996E-3</v>
      </c>
      <c r="G89" s="35">
        <v>2.81E-2</v>
      </c>
      <c r="H89" s="35">
        <v>1.5299999999999999E-2</v>
      </c>
      <c r="I89" s="35">
        <v>1.5299999999999999E-2</v>
      </c>
      <c r="J89" s="35">
        <v>2.1999999999999999E-2</v>
      </c>
      <c r="K89" s="35">
        <v>6.9199999999999999E-3</v>
      </c>
      <c r="L89" s="35">
        <v>5.7400000000000003E-3</v>
      </c>
      <c r="M89" s="35">
        <v>4.6600000000000001E-3</v>
      </c>
      <c r="N89" s="35">
        <v>5.4599999999999996E-3</v>
      </c>
      <c r="O89" s="3"/>
      <c r="P89" s="35">
        <v>8.2900000000000005E-3</v>
      </c>
      <c r="Q89" s="3"/>
      <c r="R89" s="35">
        <v>4.5399999999999998E-3</v>
      </c>
      <c r="S89" s="35">
        <v>8.9700000000000005E-3</v>
      </c>
      <c r="T89" s="35">
        <v>7.6299999999999996E-3</v>
      </c>
      <c r="U89" s="35">
        <v>1.06E-2</v>
      </c>
      <c r="V89" s="35">
        <v>7.3099999999999997E-3</v>
      </c>
      <c r="W89" s="35">
        <v>7.1700000000000002E-3</v>
      </c>
      <c r="X89" s="202">
        <v>9.92E-3</v>
      </c>
      <c r="Y89" s="204">
        <v>9.8300000000000002E-3</v>
      </c>
      <c r="Z89" s="35">
        <v>1.0699999999999999E-2</v>
      </c>
      <c r="AA89" s="35">
        <v>9.4599999999999997E-3</v>
      </c>
      <c r="AB89" s="142"/>
      <c r="AC89" s="35">
        <v>9.1699999999999993E-3</v>
      </c>
    </row>
    <row r="90" spans="1:29">
      <c r="A90" s="94" t="s">
        <v>484</v>
      </c>
      <c r="B90" s="35">
        <v>0.14799999999999999</v>
      </c>
      <c r="C90" s="35">
        <v>0.112</v>
      </c>
      <c r="D90" s="35">
        <v>8.6999999999999994E-2</v>
      </c>
      <c r="E90" s="35">
        <v>0.17100000000000001</v>
      </c>
      <c r="F90" s="35">
        <v>6.0100000000000001E-2</v>
      </c>
      <c r="G90" s="35">
        <v>0.11700000000000001</v>
      </c>
      <c r="H90" s="35">
        <v>8.8800000000000004E-2</v>
      </c>
      <c r="I90" s="35">
        <v>0.13700000000000001</v>
      </c>
      <c r="J90" s="35">
        <v>0.14599999999999999</v>
      </c>
      <c r="K90" s="35">
        <v>0.11600000000000001</v>
      </c>
      <c r="L90" s="35">
        <v>8.4900000000000003E-2</v>
      </c>
      <c r="M90" s="35">
        <v>9.98E-2</v>
      </c>
      <c r="N90" s="35">
        <v>0.109</v>
      </c>
      <c r="O90" s="35">
        <v>0.23100000000000001</v>
      </c>
      <c r="P90" s="35">
        <v>0.16200000000000001</v>
      </c>
      <c r="Q90" s="35">
        <v>8.7499999999999994E-2</v>
      </c>
      <c r="R90" s="35">
        <v>6.5299999999999997E-2</v>
      </c>
      <c r="S90" s="35">
        <v>3.5900000000000001E-2</v>
      </c>
      <c r="T90" s="35">
        <v>6.2199999999999998E-2</v>
      </c>
      <c r="U90" s="35">
        <v>0.115</v>
      </c>
      <c r="V90" s="35">
        <v>9.2499999999999999E-2</v>
      </c>
      <c r="W90" s="35">
        <v>0.14299999999999999</v>
      </c>
      <c r="X90" s="202">
        <v>0.127</v>
      </c>
      <c r="Y90" s="204">
        <v>7.0499999999999993E-2</v>
      </c>
      <c r="Z90" s="35">
        <v>0.23200000000000001</v>
      </c>
      <c r="AA90" s="35">
        <v>0.17499999999999999</v>
      </c>
      <c r="AB90" s="138">
        <v>0.40100000000000002</v>
      </c>
      <c r="AC90" s="35">
        <v>0.14799999999999999</v>
      </c>
    </row>
    <row r="91" spans="1:29">
      <c r="A91" s="94" t="s">
        <v>489</v>
      </c>
      <c r="B91" s="36">
        <v>7.6699999999999997E-3</v>
      </c>
      <c r="C91" s="5"/>
      <c r="D91" s="5"/>
      <c r="E91" s="5"/>
      <c r="F91" s="5"/>
      <c r="G91" s="5"/>
      <c r="H91" s="5"/>
      <c r="I91" s="5"/>
      <c r="J91" s="5"/>
      <c r="K91" s="5"/>
      <c r="L91" s="5"/>
      <c r="M91" s="5"/>
      <c r="N91" s="5"/>
      <c r="O91" s="5"/>
      <c r="P91" s="5"/>
      <c r="Q91" s="5"/>
      <c r="R91" s="5"/>
      <c r="S91" s="36">
        <v>1.4E-3</v>
      </c>
      <c r="T91" s="5"/>
      <c r="U91" s="36">
        <v>5.47E-3</v>
      </c>
      <c r="V91" s="5"/>
      <c r="W91" s="5"/>
      <c r="X91" s="201"/>
      <c r="Y91" s="113"/>
      <c r="Z91" s="5"/>
      <c r="AA91" s="36">
        <v>4.3600000000000002E-3</v>
      </c>
      <c r="AB91" s="114"/>
      <c r="AC91" s="36">
        <v>7.6699999999999997E-3</v>
      </c>
    </row>
    <row r="92" spans="1:29">
      <c r="A92" s="94" t="s">
        <v>498</v>
      </c>
      <c r="B92" s="35">
        <v>3.5900000000000001E-2</v>
      </c>
      <c r="C92" s="35">
        <v>4.7100000000000003E-2</v>
      </c>
      <c r="D92" s="35">
        <v>3.9300000000000002E-2</v>
      </c>
      <c r="E92" s="35">
        <v>3.7499999999999999E-2</v>
      </c>
      <c r="F92" s="35">
        <v>5.9299999999999999E-2</v>
      </c>
      <c r="G92" s="35">
        <v>5.28E-2</v>
      </c>
      <c r="H92" s="35">
        <v>5.62E-2</v>
      </c>
      <c r="I92" s="35">
        <v>3.61E-2</v>
      </c>
      <c r="J92" s="35">
        <v>8.1799999999999998E-2</v>
      </c>
      <c r="K92" s="35">
        <v>2.2800000000000001E-2</v>
      </c>
      <c r="L92" s="35">
        <v>1.4800000000000001E-2</v>
      </c>
      <c r="M92" s="35">
        <v>1.83E-2</v>
      </c>
      <c r="N92" s="35">
        <v>3.6499999999999998E-2</v>
      </c>
      <c r="O92" s="35">
        <v>1.2999999999999999E-2</v>
      </c>
      <c r="P92" s="35">
        <v>1.5299999999999999E-2</v>
      </c>
      <c r="Q92" s="35">
        <v>7.7400000000000004E-3</v>
      </c>
      <c r="R92" s="3"/>
      <c r="S92" s="35">
        <v>0.107</v>
      </c>
      <c r="T92" s="35">
        <v>5.7499999999999999E-3</v>
      </c>
      <c r="U92" s="35">
        <v>2.9000000000000001E-2</v>
      </c>
      <c r="V92" s="35">
        <v>5.7000000000000002E-3</v>
      </c>
      <c r="W92" s="35">
        <v>1.06E-2</v>
      </c>
      <c r="X92" s="202">
        <v>3.7600000000000001E-2</v>
      </c>
      <c r="Y92" s="204">
        <v>3.9300000000000002E-2</v>
      </c>
      <c r="Z92" s="35">
        <v>2.3599999999999999E-2</v>
      </c>
      <c r="AA92" s="35">
        <v>2.3800000000000002E-2</v>
      </c>
      <c r="AB92" s="138">
        <v>1.7399999999999999E-2</v>
      </c>
      <c r="AC92" s="35">
        <v>3.5900000000000001E-2</v>
      </c>
    </row>
    <row r="93" spans="1:29">
      <c r="A93" s="94" t="s">
        <v>501</v>
      </c>
      <c r="B93" s="36">
        <v>2.63E-3</v>
      </c>
      <c r="C93" s="36">
        <v>4.3600000000000002E-3</v>
      </c>
      <c r="D93" s="5"/>
      <c r="E93" s="5"/>
      <c r="F93" s="5"/>
      <c r="G93" s="5"/>
      <c r="H93" s="36">
        <v>1.81E-3</v>
      </c>
      <c r="I93" s="5"/>
      <c r="J93" s="36">
        <v>3.29E-3</v>
      </c>
      <c r="K93" s="5"/>
      <c r="L93" s="5"/>
      <c r="M93" s="5"/>
      <c r="N93" s="5"/>
      <c r="O93" s="5"/>
      <c r="P93" s="5"/>
      <c r="Q93" s="5"/>
      <c r="R93" s="5"/>
      <c r="S93" s="5"/>
      <c r="T93" s="5"/>
      <c r="U93" s="36">
        <v>2.33E-3</v>
      </c>
      <c r="V93" s="5"/>
      <c r="W93" s="5"/>
      <c r="X93" s="201"/>
      <c r="Y93" s="139">
        <v>2.8800000000000002E-3</v>
      </c>
      <c r="Z93" s="5"/>
      <c r="AA93" s="5"/>
      <c r="AB93" s="114"/>
      <c r="AC93" s="36">
        <v>2.63E-3</v>
      </c>
    </row>
    <row r="94" spans="1:29">
      <c r="A94" s="94" t="s">
        <v>502</v>
      </c>
      <c r="B94" s="3"/>
      <c r="C94" s="35">
        <v>2.2000000000000001E-3</v>
      </c>
      <c r="D94" s="3"/>
      <c r="E94" s="3"/>
      <c r="F94" s="3"/>
      <c r="G94" s="3"/>
      <c r="H94" s="35">
        <v>8.3699999999999996E-4</v>
      </c>
      <c r="I94" s="3"/>
      <c r="J94" s="35">
        <v>7.3200000000000001E-4</v>
      </c>
      <c r="K94" s="3"/>
      <c r="L94" s="3"/>
      <c r="M94" s="3"/>
      <c r="N94" s="3"/>
      <c r="O94" s="3"/>
      <c r="P94" s="3"/>
      <c r="Q94" s="3"/>
      <c r="R94" s="3"/>
      <c r="S94" s="3"/>
      <c r="T94" s="3"/>
      <c r="U94" s="3"/>
      <c r="V94" s="3"/>
      <c r="W94" s="3"/>
      <c r="X94" s="203"/>
      <c r="Y94" s="204">
        <v>1.89E-3</v>
      </c>
      <c r="Z94" s="3"/>
      <c r="AA94" s="3"/>
      <c r="AB94" s="142"/>
      <c r="AC94" s="3"/>
    </row>
    <row r="95" spans="1:29">
      <c r="A95" s="94" t="s">
        <v>504</v>
      </c>
      <c r="B95" s="35">
        <v>9.3100000000000006E-3</v>
      </c>
      <c r="C95" s="3"/>
      <c r="D95" s="3"/>
      <c r="E95" s="3"/>
      <c r="F95" s="35">
        <v>7.9900000000000006E-3</v>
      </c>
      <c r="G95" s="35">
        <v>1.18E-2</v>
      </c>
      <c r="H95" s="35">
        <v>9.0699999999999999E-3</v>
      </c>
      <c r="I95" s="3"/>
      <c r="J95" s="35">
        <v>1.03E-2</v>
      </c>
      <c r="K95" s="35">
        <v>7.5199999999999998E-3</v>
      </c>
      <c r="L95" s="3"/>
      <c r="M95" s="3"/>
      <c r="N95" s="35">
        <v>1.2E-2</v>
      </c>
      <c r="O95" s="35">
        <v>5.2500000000000003E-3</v>
      </c>
      <c r="P95" s="35">
        <v>2.0799999999999999E-2</v>
      </c>
      <c r="Q95" s="3"/>
      <c r="R95" s="3"/>
      <c r="S95" s="3"/>
      <c r="T95" s="3"/>
      <c r="U95" s="3"/>
      <c r="V95" s="3"/>
      <c r="W95" s="3"/>
      <c r="X95" s="203"/>
      <c r="Y95" s="204">
        <v>1.61E-2</v>
      </c>
      <c r="Z95" s="35">
        <v>2.8299999999999999E-2</v>
      </c>
      <c r="AA95" s="3"/>
      <c r="AB95" s="142"/>
      <c r="AC95" s="35">
        <v>9.3100000000000006E-3</v>
      </c>
    </row>
    <row r="96" spans="1:29">
      <c r="A96" s="94" t="s">
        <v>506</v>
      </c>
      <c r="B96" s="35">
        <v>0.222</v>
      </c>
      <c r="C96" s="35">
        <v>0.13600000000000001</v>
      </c>
      <c r="D96" s="35">
        <v>0.128</v>
      </c>
      <c r="E96" s="35">
        <v>0.191</v>
      </c>
      <c r="F96" s="35">
        <v>5.28E-2</v>
      </c>
      <c r="G96" s="35">
        <v>0.17899999999999999</v>
      </c>
      <c r="H96" s="35">
        <v>0.104</v>
      </c>
      <c r="I96" s="35">
        <v>0.27700000000000002</v>
      </c>
      <c r="J96" s="35">
        <v>0.27300000000000002</v>
      </c>
      <c r="K96" s="35">
        <v>7.8700000000000006E-2</v>
      </c>
      <c r="L96" s="35">
        <v>8.3699999999999997E-2</v>
      </c>
      <c r="M96" s="35">
        <v>0.182</v>
      </c>
      <c r="N96" s="35">
        <v>0.224</v>
      </c>
      <c r="O96" s="35">
        <v>0.19700000000000001</v>
      </c>
      <c r="P96" s="35">
        <v>0.188</v>
      </c>
      <c r="Q96" s="35">
        <v>7.5600000000000001E-2</v>
      </c>
      <c r="R96" s="35">
        <v>5.3100000000000001E-2</v>
      </c>
      <c r="S96" s="35">
        <v>6.0999999999999999E-2</v>
      </c>
      <c r="T96" s="35">
        <v>0.11700000000000001</v>
      </c>
      <c r="U96" s="35">
        <v>0.20699999999999999</v>
      </c>
      <c r="V96" s="35">
        <v>0.111</v>
      </c>
      <c r="W96" s="35">
        <v>0.26600000000000001</v>
      </c>
      <c r="X96" s="202">
        <v>0.14000000000000001</v>
      </c>
      <c r="Y96" s="204">
        <v>0.115</v>
      </c>
      <c r="Z96" s="35">
        <v>0.32800000000000001</v>
      </c>
      <c r="AA96" s="35">
        <v>0.107</v>
      </c>
      <c r="AB96" s="138">
        <v>0.61</v>
      </c>
      <c r="AC96" s="35">
        <v>0.222</v>
      </c>
    </row>
    <row r="97" spans="1:29">
      <c r="A97" s="94" t="s">
        <v>510</v>
      </c>
      <c r="B97" s="35">
        <v>6.0499999999999998E-3</v>
      </c>
      <c r="C97" s="3"/>
      <c r="D97" s="3"/>
      <c r="E97" s="3"/>
      <c r="F97" s="3"/>
      <c r="G97" s="3"/>
      <c r="H97" s="3"/>
      <c r="I97" s="3"/>
      <c r="J97" s="35">
        <v>4.9699999999999996E-3</v>
      </c>
      <c r="K97" s="3"/>
      <c r="L97" s="3"/>
      <c r="M97" s="3"/>
      <c r="N97" s="3"/>
      <c r="O97" s="3"/>
      <c r="P97" s="3"/>
      <c r="Q97" s="3"/>
      <c r="R97" s="3"/>
      <c r="S97" s="3"/>
      <c r="T97" s="3"/>
      <c r="U97" s="35">
        <v>3.3999999999999998E-3</v>
      </c>
      <c r="V97" s="3"/>
      <c r="W97" s="3"/>
      <c r="X97" s="203"/>
      <c r="Y97" s="204">
        <v>4.0800000000000003E-3</v>
      </c>
      <c r="Z97" s="3"/>
      <c r="AA97" s="3"/>
      <c r="AB97" s="142"/>
      <c r="AC97" s="35">
        <v>6.0499999999999998E-3</v>
      </c>
    </row>
    <row r="98" spans="1:29">
      <c r="A98" s="94" t="s">
        <v>512</v>
      </c>
      <c r="B98" s="35">
        <v>1.6999999999999999E-3</v>
      </c>
      <c r="C98" s="3"/>
      <c r="D98" s="3"/>
      <c r="E98" s="3"/>
      <c r="F98" s="3"/>
      <c r="G98" s="3"/>
      <c r="H98" s="3"/>
      <c r="I98" s="3"/>
      <c r="J98" s="35">
        <v>1.98E-3</v>
      </c>
      <c r="K98" s="3"/>
      <c r="L98" s="3"/>
      <c r="M98" s="3"/>
      <c r="N98" s="3"/>
      <c r="O98" s="3"/>
      <c r="P98" s="3"/>
      <c r="Q98" s="3"/>
      <c r="R98" s="3"/>
      <c r="S98" s="3"/>
      <c r="T98" s="3"/>
      <c r="U98" s="35">
        <v>2.48E-3</v>
      </c>
      <c r="V98" s="3"/>
      <c r="W98" s="3"/>
      <c r="X98" s="203"/>
      <c r="Y98" s="204">
        <v>2.4299999999999999E-3</v>
      </c>
      <c r="Z98" s="3"/>
      <c r="AA98" s="3"/>
      <c r="AB98" s="142"/>
      <c r="AC98" s="35">
        <v>1.6999999999999999E-3</v>
      </c>
    </row>
    <row r="99" spans="1:29">
      <c r="A99" s="94" t="s">
        <v>513</v>
      </c>
      <c r="B99" s="36">
        <v>5.5999999999999999E-3</v>
      </c>
      <c r="C99" s="36">
        <v>6.8100000000000001E-3</v>
      </c>
      <c r="D99" s="5"/>
      <c r="E99" s="5"/>
      <c r="F99" s="5"/>
      <c r="G99" s="36">
        <v>5.3600000000000002E-3</v>
      </c>
      <c r="H99" s="36">
        <v>3.14E-3</v>
      </c>
      <c r="I99" s="5"/>
      <c r="J99" s="36">
        <v>6.1700000000000001E-3</v>
      </c>
      <c r="K99" s="5"/>
      <c r="L99" s="5"/>
      <c r="M99" s="5"/>
      <c r="N99" s="5"/>
      <c r="O99" s="5"/>
      <c r="P99" s="5"/>
      <c r="Q99" s="5"/>
      <c r="R99" s="5"/>
      <c r="S99" s="5"/>
      <c r="T99" s="5"/>
      <c r="U99" s="36">
        <v>5.2900000000000004E-3</v>
      </c>
      <c r="V99" s="5"/>
      <c r="W99" s="5"/>
      <c r="X99" s="201"/>
      <c r="Y99" s="139">
        <v>8.9200000000000008E-3</v>
      </c>
      <c r="Z99" s="36">
        <v>5.47E-3</v>
      </c>
      <c r="AA99" s="5"/>
      <c r="AB99" s="114"/>
      <c r="AC99" s="36">
        <v>5.5999999999999999E-3</v>
      </c>
    </row>
    <row r="100" spans="1:29">
      <c r="A100" s="94" t="s">
        <v>514</v>
      </c>
      <c r="B100" s="3"/>
      <c r="C100" s="35">
        <v>4.1099999999999999E-3</v>
      </c>
      <c r="D100" s="35">
        <v>2.7399999999999998E-3</v>
      </c>
      <c r="E100" s="3"/>
      <c r="F100" s="3"/>
      <c r="G100" s="3"/>
      <c r="H100" s="35">
        <v>1.6999999999999999E-3</v>
      </c>
      <c r="I100" s="3"/>
      <c r="J100" s="35">
        <v>1.7600000000000001E-3</v>
      </c>
      <c r="K100" s="3"/>
      <c r="L100" s="3"/>
      <c r="M100" s="3"/>
      <c r="N100" s="3"/>
      <c r="O100" s="3"/>
      <c r="P100" s="3"/>
      <c r="Q100" s="3"/>
      <c r="R100" s="3"/>
      <c r="S100" s="3"/>
      <c r="T100" s="3"/>
      <c r="U100" s="3"/>
      <c r="V100" s="3"/>
      <c r="W100" s="3"/>
      <c r="X100" s="203"/>
      <c r="Y100" s="141"/>
      <c r="Z100" s="3"/>
      <c r="AA100" s="3"/>
      <c r="AB100" s="142"/>
      <c r="AC100" s="3"/>
    </row>
    <row r="101" spans="1:29">
      <c r="A101" s="94" t="s">
        <v>515</v>
      </c>
      <c r="B101" s="36">
        <v>6.2599999999999999E-3</v>
      </c>
      <c r="C101" s="5"/>
      <c r="D101" s="36">
        <v>1.6899999999999998E-2</v>
      </c>
      <c r="E101" s="5"/>
      <c r="F101" s="5"/>
      <c r="G101" s="36">
        <v>1.2699999999999999E-2</v>
      </c>
      <c r="H101" s="36">
        <v>1.41E-2</v>
      </c>
      <c r="I101" s="5"/>
      <c r="J101" s="36">
        <v>8.5900000000000004E-3</v>
      </c>
      <c r="K101" s="5"/>
      <c r="L101" s="5"/>
      <c r="M101" s="5"/>
      <c r="N101" s="5"/>
      <c r="O101" s="5"/>
      <c r="P101" s="5"/>
      <c r="Q101" s="5"/>
      <c r="R101" s="5"/>
      <c r="S101" s="5"/>
      <c r="T101" s="5"/>
      <c r="U101" s="5"/>
      <c r="V101" s="5"/>
      <c r="W101" s="5"/>
      <c r="X101" s="201"/>
      <c r="Y101" s="139">
        <v>1.1299999999999999E-2</v>
      </c>
      <c r="Z101" s="5"/>
      <c r="AA101" s="5"/>
      <c r="AB101" s="114"/>
      <c r="AC101" s="36">
        <v>6.2599999999999999E-3</v>
      </c>
    </row>
    <row r="102" spans="1:29">
      <c r="A102" s="94" t="s">
        <v>517</v>
      </c>
      <c r="B102" s="36">
        <v>2.5799999999999998E-3</v>
      </c>
      <c r="C102" s="36">
        <v>4.0499999999999998E-3</v>
      </c>
      <c r="D102" s="36">
        <v>3.0799999999999998E-3</v>
      </c>
      <c r="E102" s="5"/>
      <c r="F102" s="5"/>
      <c r="G102" s="5"/>
      <c r="H102" s="5"/>
      <c r="I102" s="5"/>
      <c r="J102" s="36">
        <v>3.5000000000000001E-3</v>
      </c>
      <c r="K102" s="5"/>
      <c r="L102" s="5"/>
      <c r="M102" s="5"/>
      <c r="N102" s="5"/>
      <c r="O102" s="5"/>
      <c r="P102" s="5"/>
      <c r="Q102" s="5"/>
      <c r="R102" s="5"/>
      <c r="S102" s="5"/>
      <c r="T102" s="5"/>
      <c r="U102" s="36">
        <v>3.0799999999999998E-3</v>
      </c>
      <c r="V102" s="5"/>
      <c r="W102" s="5"/>
      <c r="X102" s="201"/>
      <c r="Y102" s="139">
        <v>3.7699999999999999E-3</v>
      </c>
      <c r="Z102" s="36">
        <v>2.5400000000000002E-3</v>
      </c>
      <c r="AA102" s="5"/>
      <c r="AB102" s="114"/>
      <c r="AC102" s="36">
        <v>2.5799999999999998E-3</v>
      </c>
    </row>
    <row r="103" spans="1:29">
      <c r="A103" s="94" t="s">
        <v>518</v>
      </c>
      <c r="B103" s="35">
        <v>8.7200000000000003E-3</v>
      </c>
      <c r="C103" s="35">
        <v>1.7899999999999999E-2</v>
      </c>
      <c r="D103" s="35">
        <v>1.2999999999999999E-2</v>
      </c>
      <c r="E103" s="3"/>
      <c r="F103" s="3"/>
      <c r="G103" s="35">
        <v>8.8900000000000003E-3</v>
      </c>
      <c r="H103" s="35">
        <v>9.9399999999999992E-3</v>
      </c>
      <c r="I103" s="3"/>
      <c r="J103" s="35">
        <v>1.29E-2</v>
      </c>
      <c r="K103" s="3"/>
      <c r="L103" s="3"/>
      <c r="M103" s="3"/>
      <c r="N103" s="3"/>
      <c r="O103" s="3"/>
      <c r="P103" s="3"/>
      <c r="Q103" s="3"/>
      <c r="R103" s="3"/>
      <c r="S103" s="3"/>
      <c r="T103" s="3"/>
      <c r="U103" s="35">
        <v>3.0999999999999999E-3</v>
      </c>
      <c r="V103" s="3"/>
      <c r="W103" s="3"/>
      <c r="X103" s="203"/>
      <c r="Y103" s="204">
        <v>6.4799999999999996E-3</v>
      </c>
      <c r="Z103" s="35">
        <v>3.4299999999999999E-3</v>
      </c>
      <c r="AA103" s="35">
        <v>1.8699999999999999E-3</v>
      </c>
      <c r="AB103" s="142"/>
      <c r="AC103" s="35">
        <v>8.7200000000000003E-3</v>
      </c>
    </row>
    <row r="104" spans="1:29">
      <c r="A104" s="94" t="s">
        <v>519</v>
      </c>
      <c r="B104" s="36">
        <v>0.13</v>
      </c>
      <c r="C104" s="5"/>
      <c r="D104" s="5"/>
      <c r="E104" s="36">
        <v>0.115</v>
      </c>
      <c r="F104" s="36">
        <v>7.8799999999999995E-2</v>
      </c>
      <c r="G104" s="5"/>
      <c r="H104" s="5"/>
      <c r="I104" s="5"/>
      <c r="J104" s="5"/>
      <c r="K104" s="5"/>
      <c r="L104" s="5"/>
      <c r="M104" s="5"/>
      <c r="N104" s="5"/>
      <c r="O104" s="36">
        <v>0.14299999999999999</v>
      </c>
      <c r="P104" s="36">
        <v>0.17299999999999999</v>
      </c>
      <c r="Q104" s="5"/>
      <c r="R104" s="5"/>
      <c r="S104" s="5"/>
      <c r="T104" s="5"/>
      <c r="U104" s="5"/>
      <c r="V104" s="5"/>
      <c r="W104" s="5"/>
      <c r="X104" s="201"/>
      <c r="Y104" s="139">
        <v>0.14299999999999999</v>
      </c>
      <c r="Z104" s="36">
        <v>0.19600000000000001</v>
      </c>
      <c r="AA104" s="36">
        <v>0.13400000000000001</v>
      </c>
      <c r="AB104" s="140">
        <v>0.17</v>
      </c>
      <c r="AC104" s="36">
        <v>0.13</v>
      </c>
    </row>
    <row r="105" spans="1:29">
      <c r="A105" s="94" t="s">
        <v>520</v>
      </c>
      <c r="B105" s="35">
        <v>3.3099999999999997E-2</v>
      </c>
      <c r="C105" s="35">
        <v>3.1300000000000001E-2</v>
      </c>
      <c r="D105" s="35">
        <v>2.98E-2</v>
      </c>
      <c r="E105" s="3"/>
      <c r="F105" s="3"/>
      <c r="G105" s="35">
        <v>2.53E-2</v>
      </c>
      <c r="H105" s="35">
        <v>1.5800000000000002E-2</v>
      </c>
      <c r="I105" s="35">
        <v>2.64E-2</v>
      </c>
      <c r="J105" s="35">
        <v>4.1599999999999998E-2</v>
      </c>
      <c r="K105" s="3"/>
      <c r="L105" s="35">
        <v>1.14E-2</v>
      </c>
      <c r="M105" s="35">
        <v>2.9000000000000001E-2</v>
      </c>
      <c r="N105" s="35">
        <v>3.3700000000000001E-2</v>
      </c>
      <c r="O105" s="3"/>
      <c r="P105" s="3"/>
      <c r="Q105" s="3"/>
      <c r="R105" s="35">
        <v>4.7899999999999998E-2</v>
      </c>
      <c r="S105" s="3"/>
      <c r="T105" s="3"/>
      <c r="U105" s="35">
        <v>1.21E-2</v>
      </c>
      <c r="V105" s="35">
        <v>0.11799999999999999</v>
      </c>
      <c r="W105" s="35">
        <v>3.4000000000000002E-2</v>
      </c>
      <c r="X105" s="203"/>
      <c r="Y105" s="141"/>
      <c r="Z105" s="3"/>
      <c r="AA105" s="3"/>
      <c r="AB105" s="142"/>
      <c r="AC105" s="35">
        <v>3.3099999999999997E-2</v>
      </c>
    </row>
    <row r="106" spans="1:29">
      <c r="A106" s="94" t="s">
        <v>521</v>
      </c>
      <c r="B106" s="36">
        <v>0.114</v>
      </c>
      <c r="C106" s="36">
        <v>8.5800000000000001E-2</v>
      </c>
      <c r="D106" s="36">
        <v>5.4600000000000003E-2</v>
      </c>
      <c r="E106" s="5"/>
      <c r="F106" s="5"/>
      <c r="G106" s="36">
        <v>0.107</v>
      </c>
      <c r="H106" s="36">
        <v>8.9700000000000002E-2</v>
      </c>
      <c r="I106" s="36">
        <v>9.6699999999999994E-2</v>
      </c>
      <c r="J106" s="36">
        <v>0.113</v>
      </c>
      <c r="K106" s="36">
        <v>0.127</v>
      </c>
      <c r="L106" s="36">
        <v>6.7900000000000002E-2</v>
      </c>
      <c r="M106" s="36">
        <v>0.123</v>
      </c>
      <c r="N106" s="36">
        <v>0.104</v>
      </c>
      <c r="O106" s="5"/>
      <c r="P106" s="5"/>
      <c r="Q106" s="36">
        <v>0.114</v>
      </c>
      <c r="R106" s="36">
        <v>6.8199999999999997E-2</v>
      </c>
      <c r="S106" s="36">
        <v>8.3000000000000004E-2</v>
      </c>
      <c r="T106" s="36">
        <v>0.124</v>
      </c>
      <c r="U106" s="36">
        <v>0.14799999999999999</v>
      </c>
      <c r="V106" s="5"/>
      <c r="W106" s="36">
        <v>0.11899999999999999</v>
      </c>
      <c r="X106" s="200">
        <v>0.11700000000000001</v>
      </c>
      <c r="Y106" s="113"/>
      <c r="Z106" s="5"/>
      <c r="AA106" s="5"/>
      <c r="AB106" s="114"/>
      <c r="AC106" s="36">
        <v>0.114</v>
      </c>
    </row>
    <row r="107" spans="1:29">
      <c r="A107" s="94" t="s">
        <v>524</v>
      </c>
      <c r="B107" s="35">
        <v>0.112</v>
      </c>
      <c r="C107" s="35">
        <v>8.2100000000000006E-2</v>
      </c>
      <c r="D107" s="35">
        <v>4.82E-2</v>
      </c>
      <c r="E107" s="35">
        <v>7.1800000000000003E-2</v>
      </c>
      <c r="F107" s="35">
        <v>5.0200000000000002E-2</v>
      </c>
      <c r="G107" s="35">
        <v>0.104</v>
      </c>
      <c r="H107" s="35">
        <v>9.4E-2</v>
      </c>
      <c r="I107" s="35">
        <v>0.10199999999999999</v>
      </c>
      <c r="J107" s="35">
        <v>0.105</v>
      </c>
      <c r="K107" s="35">
        <v>0.111</v>
      </c>
      <c r="L107" s="35">
        <v>7.5800000000000006E-2</v>
      </c>
      <c r="M107" s="35">
        <v>4.8800000000000003E-2</v>
      </c>
      <c r="N107" s="35">
        <v>8.4000000000000005E-2</v>
      </c>
      <c r="O107" s="35">
        <v>0.17899999999999999</v>
      </c>
      <c r="P107" s="35">
        <v>0.13200000000000001</v>
      </c>
      <c r="Q107" s="35">
        <v>0.107</v>
      </c>
      <c r="R107" s="35">
        <v>0.20699999999999999</v>
      </c>
      <c r="S107" s="35">
        <v>7.5700000000000003E-2</v>
      </c>
      <c r="T107" s="35">
        <v>0.13400000000000001</v>
      </c>
      <c r="U107" s="35">
        <v>0.11799999999999999</v>
      </c>
      <c r="V107" s="35">
        <v>8.3699999999999997E-2</v>
      </c>
      <c r="W107" s="35">
        <v>0.109</v>
      </c>
      <c r="X107" s="202">
        <v>0.11700000000000001</v>
      </c>
      <c r="Y107" s="204">
        <v>5.8900000000000001E-2</v>
      </c>
      <c r="Z107" s="35">
        <v>0.16300000000000001</v>
      </c>
      <c r="AA107" s="35">
        <v>0.10100000000000001</v>
      </c>
      <c r="AB107" s="138">
        <v>0.22700000000000001</v>
      </c>
      <c r="AC107" s="35">
        <v>0.112</v>
      </c>
    </row>
    <row r="108" spans="1:29">
      <c r="A108" s="94" t="s">
        <v>529</v>
      </c>
      <c r="B108" s="36">
        <v>9.7199999999999995E-2</v>
      </c>
      <c r="C108" s="36">
        <v>5.8200000000000002E-2</v>
      </c>
      <c r="D108" s="36">
        <v>3.4099999999999998E-2</v>
      </c>
      <c r="E108" s="36">
        <v>3.8100000000000002E-2</v>
      </c>
      <c r="F108" s="36">
        <v>9.64E-2</v>
      </c>
      <c r="G108" s="36">
        <v>9.3799999999999994E-2</v>
      </c>
      <c r="H108" s="36">
        <v>6.7199999999999996E-2</v>
      </c>
      <c r="I108" s="36">
        <v>9.6600000000000005E-2</v>
      </c>
      <c r="J108" s="36">
        <v>0.115</v>
      </c>
      <c r="K108" s="36">
        <v>0.13300000000000001</v>
      </c>
      <c r="L108" s="36">
        <v>5.9299999999999999E-2</v>
      </c>
      <c r="M108" s="36">
        <v>9.1300000000000006E-2</v>
      </c>
      <c r="N108" s="36">
        <v>0.114</v>
      </c>
      <c r="O108" s="36">
        <v>5.3600000000000002E-2</v>
      </c>
      <c r="P108" s="36">
        <v>0.155</v>
      </c>
      <c r="Q108" s="36">
        <v>7.5499999999999998E-2</v>
      </c>
      <c r="R108" s="36">
        <v>6.3899999999999998E-2</v>
      </c>
      <c r="S108" s="36">
        <v>7.0400000000000004E-2</v>
      </c>
      <c r="T108" s="36">
        <v>0.13200000000000001</v>
      </c>
      <c r="U108" s="36">
        <v>0.16300000000000001</v>
      </c>
      <c r="V108" s="36">
        <v>0.112</v>
      </c>
      <c r="W108" s="36">
        <v>0.17</v>
      </c>
      <c r="X108" s="200">
        <v>0.112</v>
      </c>
      <c r="Y108" s="139">
        <v>0.128</v>
      </c>
      <c r="Z108" s="36">
        <v>0.19500000000000001</v>
      </c>
      <c r="AA108" s="36">
        <v>0.11</v>
      </c>
      <c r="AB108" s="140">
        <v>4.8399999999999999E-2</v>
      </c>
      <c r="AC108" s="36">
        <v>9.7199999999999995E-2</v>
      </c>
    </row>
    <row r="109" spans="1:29">
      <c r="A109" s="94" t="s">
        <v>530</v>
      </c>
      <c r="B109" s="35">
        <v>0.32900000000000001</v>
      </c>
      <c r="C109" s="35">
        <v>0.17299999999999999</v>
      </c>
      <c r="D109" s="35">
        <v>9.4E-2</v>
      </c>
      <c r="E109" s="35">
        <v>0.28899999999999998</v>
      </c>
      <c r="F109" s="35">
        <v>0.155</v>
      </c>
      <c r="G109" s="35">
        <v>0.30199999999999999</v>
      </c>
      <c r="H109" s="35">
        <v>0.24299999999999999</v>
      </c>
      <c r="I109" s="35">
        <v>0.32200000000000001</v>
      </c>
      <c r="J109" s="35">
        <v>0.32300000000000001</v>
      </c>
      <c r="K109" s="35">
        <v>0.23899999999999999</v>
      </c>
      <c r="L109" s="35">
        <v>0.19</v>
      </c>
      <c r="M109" s="35">
        <v>0.20399999999999999</v>
      </c>
      <c r="N109" s="35">
        <v>0.26600000000000001</v>
      </c>
      <c r="O109" s="35">
        <v>0.36</v>
      </c>
      <c r="P109" s="35">
        <v>0.434</v>
      </c>
      <c r="Q109" s="35">
        <v>0.24</v>
      </c>
      <c r="R109" s="35">
        <v>0.36399999999999999</v>
      </c>
      <c r="S109" s="35">
        <v>0.20300000000000001</v>
      </c>
      <c r="T109" s="35">
        <v>0.318</v>
      </c>
      <c r="U109" s="35">
        <v>0.371</v>
      </c>
      <c r="V109" s="35">
        <v>0.28799999999999998</v>
      </c>
      <c r="W109" s="35">
        <v>0.36399999999999999</v>
      </c>
      <c r="X109" s="202">
        <v>0.372</v>
      </c>
      <c r="Y109" s="204">
        <v>0.16800000000000001</v>
      </c>
      <c r="Z109" s="35">
        <v>0.46600000000000003</v>
      </c>
      <c r="AA109" s="35">
        <v>0.34799999999999998</v>
      </c>
      <c r="AB109" s="138">
        <v>0.78200000000000003</v>
      </c>
      <c r="AC109" s="35">
        <v>0.32900000000000001</v>
      </c>
    </row>
    <row r="110" spans="1:29">
      <c r="A110" s="94" t="s">
        <v>534</v>
      </c>
      <c r="B110" s="35">
        <v>0.158</v>
      </c>
      <c r="C110" s="35">
        <v>7.0999999999999994E-2</v>
      </c>
      <c r="D110" s="35">
        <v>9.4399999999999998E-2</v>
      </c>
      <c r="E110" s="35">
        <v>0.21</v>
      </c>
      <c r="F110" s="35">
        <v>0.12</v>
      </c>
      <c r="G110" s="35">
        <v>7.5300000000000006E-2</v>
      </c>
      <c r="H110" s="35">
        <v>6.6600000000000006E-2</v>
      </c>
      <c r="I110" s="35">
        <v>4.36E-2</v>
      </c>
      <c r="J110" s="35">
        <v>8.3500000000000005E-2</v>
      </c>
      <c r="K110" s="35">
        <v>0.16600000000000001</v>
      </c>
      <c r="L110" s="35">
        <v>0.11700000000000001</v>
      </c>
      <c r="M110" s="35">
        <v>8.3799999999999999E-2</v>
      </c>
      <c r="N110" s="35">
        <v>0.16400000000000001</v>
      </c>
      <c r="O110" s="35">
        <v>0.18</v>
      </c>
      <c r="P110" s="35">
        <v>0.14199999999999999</v>
      </c>
      <c r="Q110" s="35">
        <v>6.13E-2</v>
      </c>
      <c r="R110" s="35">
        <v>5.4599999999999996E-3</v>
      </c>
      <c r="S110" s="35">
        <v>3.6999999999999998E-2</v>
      </c>
      <c r="T110" s="35">
        <v>9.0300000000000005E-2</v>
      </c>
      <c r="U110" s="35">
        <v>2.63E-2</v>
      </c>
      <c r="V110" s="35">
        <v>5.11E-2</v>
      </c>
      <c r="W110" s="35">
        <v>5.6899999999999999E-2</v>
      </c>
      <c r="X110" s="202">
        <v>4.0500000000000001E-2</v>
      </c>
      <c r="Y110" s="204">
        <v>0.10199999999999999</v>
      </c>
      <c r="Z110" s="35">
        <v>0.17599999999999999</v>
      </c>
      <c r="AA110" s="35">
        <v>0.20899999999999999</v>
      </c>
      <c r="AB110" s="138">
        <v>0.22700000000000001</v>
      </c>
      <c r="AC110" s="35">
        <v>0.158</v>
      </c>
    </row>
    <row r="111" spans="1:29">
      <c r="A111" s="94" t="s">
        <v>535</v>
      </c>
      <c r="B111" s="5"/>
      <c r="C111" s="36">
        <v>1.5299999999999999E-2</v>
      </c>
      <c r="D111" s="5"/>
      <c r="E111" s="5"/>
      <c r="F111" s="5"/>
      <c r="G111" s="5"/>
      <c r="H111" s="36">
        <v>1.7899999999999999E-2</v>
      </c>
      <c r="I111" s="36">
        <v>3.2800000000000003E-2</v>
      </c>
      <c r="J111" s="5"/>
      <c r="K111" s="5"/>
      <c r="L111" s="5"/>
      <c r="M111" s="5"/>
      <c r="N111" s="5"/>
      <c r="O111" s="5"/>
      <c r="P111" s="5"/>
      <c r="Q111" s="5"/>
      <c r="R111" s="5"/>
      <c r="S111" s="5"/>
      <c r="T111" s="5"/>
      <c r="U111" s="5"/>
      <c r="V111" s="5"/>
      <c r="W111" s="5"/>
      <c r="X111" s="201"/>
      <c r="Y111" s="113"/>
      <c r="Z111" s="5"/>
      <c r="AA111" s="5"/>
      <c r="AB111" s="114"/>
      <c r="AC111" s="5"/>
    </row>
    <row r="112" spans="1:29">
      <c r="A112" s="94" t="s">
        <v>536</v>
      </c>
      <c r="B112" s="35">
        <v>0.29499999999999998</v>
      </c>
      <c r="C112" s="35">
        <v>0.311</v>
      </c>
      <c r="D112" s="35">
        <v>0.41299999999999998</v>
      </c>
      <c r="E112" s="35">
        <v>0.63900000000000001</v>
      </c>
      <c r="F112" s="35">
        <v>0.35699999999999998</v>
      </c>
      <c r="G112" s="35">
        <v>0.29699999999999999</v>
      </c>
      <c r="H112" s="35">
        <v>0.30099999999999999</v>
      </c>
      <c r="I112" s="35">
        <v>0.191</v>
      </c>
      <c r="J112" s="35">
        <v>0.184</v>
      </c>
      <c r="K112" s="35">
        <v>9.9500000000000005E-2</v>
      </c>
      <c r="L112" s="35">
        <v>0.215</v>
      </c>
      <c r="M112" s="35">
        <v>0.109</v>
      </c>
      <c r="N112" s="35">
        <v>0.22800000000000001</v>
      </c>
      <c r="O112" s="35">
        <v>0.215</v>
      </c>
      <c r="P112" s="35">
        <v>0.19800000000000001</v>
      </c>
      <c r="Q112" s="35">
        <v>0.192</v>
      </c>
      <c r="R112" s="35">
        <v>4.0300000000000002E-2</v>
      </c>
      <c r="S112" s="35">
        <v>0.184</v>
      </c>
      <c r="T112" s="35">
        <v>0.25700000000000001</v>
      </c>
      <c r="U112" s="35">
        <v>0.16</v>
      </c>
      <c r="V112" s="35">
        <v>0.254</v>
      </c>
      <c r="W112" s="35">
        <v>0.25700000000000001</v>
      </c>
      <c r="X112" s="202">
        <v>0.27300000000000002</v>
      </c>
      <c r="Y112" s="204">
        <v>0.192</v>
      </c>
      <c r="Z112" s="35">
        <v>0.34499999999999997</v>
      </c>
      <c r="AA112" s="35">
        <v>0.22700000000000001</v>
      </c>
      <c r="AB112" s="138">
        <v>0.29799999999999999</v>
      </c>
      <c r="AC112" s="35">
        <v>0.29499999999999998</v>
      </c>
    </row>
    <row r="113" spans="1:29">
      <c r="A113" s="94" t="s">
        <v>538</v>
      </c>
      <c r="B113" s="35">
        <v>5.0699999999999999E-3</v>
      </c>
      <c r="C113" s="35">
        <v>1.3100000000000001E-2</v>
      </c>
      <c r="D113" s="3"/>
      <c r="E113" s="3"/>
      <c r="F113" s="3"/>
      <c r="G113" s="35">
        <v>5.1000000000000004E-3</v>
      </c>
      <c r="H113" s="35">
        <v>6.6800000000000002E-3</v>
      </c>
      <c r="I113" s="3"/>
      <c r="J113" s="35">
        <v>5.5799999999999999E-3</v>
      </c>
      <c r="K113" s="3"/>
      <c r="L113" s="3"/>
      <c r="M113" s="3"/>
      <c r="N113" s="3"/>
      <c r="O113" s="3"/>
      <c r="P113" s="3"/>
      <c r="Q113" s="3"/>
      <c r="R113" s="35">
        <v>1.6799999999999999E-2</v>
      </c>
      <c r="S113" s="35">
        <v>1.0500000000000001E-2</v>
      </c>
      <c r="T113" s="35">
        <v>1.23E-2</v>
      </c>
      <c r="U113" s="3"/>
      <c r="V113" s="3"/>
      <c r="W113" s="3"/>
      <c r="X113" s="203"/>
      <c r="Y113" s="141"/>
      <c r="Z113" s="3"/>
      <c r="AA113" s="3"/>
      <c r="AB113" s="142"/>
      <c r="AC113" s="35">
        <v>5.0699999999999999E-3</v>
      </c>
    </row>
    <row r="114" spans="1:29">
      <c r="A114" s="94" t="s">
        <v>541</v>
      </c>
      <c r="B114" s="36">
        <v>7.4999999999999997E-3</v>
      </c>
      <c r="C114" s="36">
        <v>2.5700000000000001E-2</v>
      </c>
      <c r="D114" s="36">
        <v>1.4800000000000001E-2</v>
      </c>
      <c r="E114" s="5"/>
      <c r="F114" s="5"/>
      <c r="G114" s="36">
        <v>9.2999999999999992E-3</v>
      </c>
      <c r="H114" s="36">
        <v>1.17E-2</v>
      </c>
      <c r="I114" s="5"/>
      <c r="J114" s="36">
        <v>1.03E-2</v>
      </c>
      <c r="K114" s="5"/>
      <c r="L114" s="5"/>
      <c r="M114" s="5"/>
      <c r="N114" s="5"/>
      <c r="O114" s="5"/>
      <c r="P114" s="5"/>
      <c r="Q114" s="5"/>
      <c r="R114" s="5"/>
      <c r="S114" s="5"/>
      <c r="T114" s="5"/>
      <c r="U114" s="5"/>
      <c r="V114" s="5"/>
      <c r="W114" s="5"/>
      <c r="X114" s="201"/>
      <c r="Y114" s="139">
        <v>1.44E-2</v>
      </c>
      <c r="Z114" s="5"/>
      <c r="AA114" s="5"/>
      <c r="AB114" s="114"/>
      <c r="AC114" s="36">
        <v>7.4999999999999997E-3</v>
      </c>
    </row>
    <row r="115" spans="1:29">
      <c r="A115" s="94" t="s">
        <v>543</v>
      </c>
      <c r="B115" s="36">
        <v>8.7599999999999997E-2</v>
      </c>
      <c r="C115" s="36">
        <v>3.1E-2</v>
      </c>
      <c r="D115" s="36">
        <v>3.1899999999999998E-2</v>
      </c>
      <c r="E115" s="36">
        <v>7.0099999999999996E-2</v>
      </c>
      <c r="F115" s="36">
        <v>2.2200000000000001E-2</v>
      </c>
      <c r="G115" s="36">
        <v>4.3700000000000003E-2</v>
      </c>
      <c r="H115" s="36">
        <v>2.5700000000000001E-2</v>
      </c>
      <c r="I115" s="36">
        <v>4.5400000000000003E-2</v>
      </c>
      <c r="J115" s="36">
        <v>8.4199999999999997E-2</v>
      </c>
      <c r="K115" s="5"/>
      <c r="L115" s="5"/>
      <c r="M115" s="5"/>
      <c r="N115" s="5"/>
      <c r="O115" s="36">
        <v>7.8899999999999998E-2</v>
      </c>
      <c r="P115" s="36">
        <v>0.152</v>
      </c>
      <c r="Q115" s="5"/>
      <c r="R115" s="5"/>
      <c r="S115" s="36">
        <v>1.61E-2</v>
      </c>
      <c r="T115" s="36">
        <v>3.4700000000000002E-2</v>
      </c>
      <c r="U115" s="36">
        <v>9.5399999999999999E-2</v>
      </c>
      <c r="V115" s="36">
        <v>4.48E-2</v>
      </c>
      <c r="W115" s="36">
        <v>7.8299999999999995E-2</v>
      </c>
      <c r="X115" s="200">
        <v>3.3599999999999998E-2</v>
      </c>
      <c r="Y115" s="139">
        <v>4.4200000000000003E-2</v>
      </c>
      <c r="Z115" s="36">
        <v>0.16500000000000001</v>
      </c>
      <c r="AA115" s="36">
        <v>3.8399999999999997E-2</v>
      </c>
      <c r="AB115" s="140">
        <v>0.11</v>
      </c>
      <c r="AC115" s="36">
        <v>8.7599999999999997E-2</v>
      </c>
    </row>
    <row r="116" spans="1:29">
      <c r="A116" s="94" t="s">
        <v>546</v>
      </c>
      <c r="B116" s="35">
        <v>2.31E-3</v>
      </c>
      <c r="C116" s="35">
        <v>3.5000000000000001E-3</v>
      </c>
      <c r="D116" s="3"/>
      <c r="E116" s="3"/>
      <c r="F116" s="3"/>
      <c r="G116" s="35">
        <v>2.2300000000000002E-3</v>
      </c>
      <c r="H116" s="35">
        <v>2.32E-3</v>
      </c>
      <c r="I116" s="35">
        <v>1.8400000000000001E-3</v>
      </c>
      <c r="J116" s="35">
        <v>3.1199999999999999E-3</v>
      </c>
      <c r="K116" s="35">
        <v>6.4799999999999996E-3</v>
      </c>
      <c r="L116" s="35">
        <v>1.2700000000000001E-3</v>
      </c>
      <c r="M116" s="35">
        <v>7.3200000000000001E-4</v>
      </c>
      <c r="N116" s="35">
        <v>2.7299999999999998E-3</v>
      </c>
      <c r="O116" s="3"/>
      <c r="P116" s="35">
        <v>4.1399999999999996E-3</v>
      </c>
      <c r="Q116" s="35">
        <v>2.0999999999999999E-3</v>
      </c>
      <c r="R116" s="3"/>
      <c r="S116" s="35">
        <v>1.6900000000000001E-3</v>
      </c>
      <c r="T116" s="35">
        <v>2.8800000000000002E-3</v>
      </c>
      <c r="U116" s="35">
        <v>6.4700000000000001E-3</v>
      </c>
      <c r="V116" s="35">
        <v>4.0400000000000002E-3</v>
      </c>
      <c r="W116" s="35">
        <v>5.7400000000000003E-3</v>
      </c>
      <c r="X116" s="202">
        <v>5.8700000000000002E-3</v>
      </c>
      <c r="Y116" s="141"/>
      <c r="Z116" s="35">
        <v>1.72E-3</v>
      </c>
      <c r="AA116" s="3"/>
      <c r="AB116" s="138">
        <v>8.2100000000000003E-3</v>
      </c>
      <c r="AC116" s="35">
        <v>2.31E-3</v>
      </c>
    </row>
    <row r="117" spans="1:29">
      <c r="A117" s="94" t="s">
        <v>549</v>
      </c>
      <c r="B117" s="36">
        <v>2.3E-3</v>
      </c>
      <c r="C117" s="5"/>
      <c r="D117" s="36">
        <v>3.3400000000000001E-3</v>
      </c>
      <c r="E117" s="5"/>
      <c r="F117" s="5"/>
      <c r="G117" s="36">
        <v>4.3400000000000001E-3</v>
      </c>
      <c r="H117" s="36">
        <v>2.65E-3</v>
      </c>
      <c r="I117" s="36">
        <v>2.0799999999999998E-3</v>
      </c>
      <c r="J117" s="36">
        <v>3.7599999999999999E-3</v>
      </c>
      <c r="K117" s="5"/>
      <c r="L117" s="5"/>
      <c r="M117" s="5"/>
      <c r="N117" s="5"/>
      <c r="O117" s="5"/>
      <c r="P117" s="5"/>
      <c r="Q117" s="5"/>
      <c r="R117" s="5"/>
      <c r="S117" s="5"/>
      <c r="T117" s="5"/>
      <c r="U117" s="36">
        <v>3.4199999999999999E-3</v>
      </c>
      <c r="V117" s="5"/>
      <c r="W117" s="5"/>
      <c r="X117" s="201"/>
      <c r="Y117" s="113"/>
      <c r="Z117" s="36">
        <v>1.91E-3</v>
      </c>
      <c r="AA117" s="36">
        <v>1.42E-3</v>
      </c>
      <c r="AB117" s="140">
        <v>7.9299999999999995E-3</v>
      </c>
      <c r="AC117" s="36">
        <v>2.3E-3</v>
      </c>
    </row>
    <row r="118" spans="1:29">
      <c r="A118" s="94" t="s">
        <v>550</v>
      </c>
      <c r="B118" s="35">
        <v>1.6900000000000001E-3</v>
      </c>
      <c r="C118" s="35">
        <v>5.4599999999999996E-3</v>
      </c>
      <c r="D118" s="35">
        <v>3.3600000000000001E-3</v>
      </c>
      <c r="E118" s="3"/>
      <c r="F118" s="3"/>
      <c r="G118" s="35">
        <v>2.7100000000000002E-3</v>
      </c>
      <c r="H118" s="35">
        <v>2.3900000000000002E-3</v>
      </c>
      <c r="I118" s="35">
        <v>1.66E-3</v>
      </c>
      <c r="J118" s="35">
        <v>4.0200000000000001E-3</v>
      </c>
      <c r="K118" s="3"/>
      <c r="L118" s="3"/>
      <c r="M118" s="3"/>
      <c r="N118" s="3"/>
      <c r="O118" s="3"/>
      <c r="P118" s="3"/>
      <c r="Q118" s="3"/>
      <c r="R118" s="3"/>
      <c r="S118" s="3"/>
      <c r="T118" s="3"/>
      <c r="U118" s="35">
        <v>2.7899999999999999E-3</v>
      </c>
      <c r="V118" s="3"/>
      <c r="W118" s="3"/>
      <c r="X118" s="202">
        <v>9.8999999999999999E-4</v>
      </c>
      <c r="Y118" s="204">
        <v>3.5300000000000002E-3</v>
      </c>
      <c r="Z118" s="35">
        <v>1.6100000000000001E-3</v>
      </c>
      <c r="AA118" s="35">
        <v>8.6600000000000002E-4</v>
      </c>
      <c r="AB118" s="142"/>
      <c r="AC118" s="35">
        <v>1.6900000000000001E-3</v>
      </c>
    </row>
    <row r="119" spans="1:29">
      <c r="A119" s="94" t="s">
        <v>551</v>
      </c>
      <c r="B119" s="5"/>
      <c r="C119" s="36">
        <v>3.0899999999999999E-3</v>
      </c>
      <c r="D119" s="5"/>
      <c r="E119" s="5"/>
      <c r="F119" s="36">
        <v>2.6199999999999999E-3</v>
      </c>
      <c r="G119" s="36">
        <v>8.2600000000000002E-4</v>
      </c>
      <c r="H119" s="36">
        <v>9.2900000000000003E-4</v>
      </c>
      <c r="I119" s="5"/>
      <c r="J119" s="5"/>
      <c r="K119" s="5"/>
      <c r="L119" s="5"/>
      <c r="M119" s="5"/>
      <c r="N119" s="5"/>
      <c r="O119" s="5"/>
      <c r="P119" s="36">
        <v>1.52E-2</v>
      </c>
      <c r="Q119" s="5"/>
      <c r="R119" s="5"/>
      <c r="S119" s="5"/>
      <c r="T119" s="5"/>
      <c r="U119" s="5"/>
      <c r="V119" s="5"/>
      <c r="W119" s="5"/>
      <c r="X119" s="201"/>
      <c r="Y119" s="139">
        <v>8.5199999999999998E-3</v>
      </c>
      <c r="Z119" s="36">
        <v>4.5399999999999998E-3</v>
      </c>
      <c r="AA119" s="36">
        <v>4.9800000000000001E-3</v>
      </c>
      <c r="AB119" s="114"/>
      <c r="AC119" s="5"/>
    </row>
    <row r="120" spans="1:29">
      <c r="A120" s="94" t="s">
        <v>552</v>
      </c>
      <c r="B120" s="35">
        <v>0.64100000000000001</v>
      </c>
      <c r="C120" s="35">
        <v>0.21099999999999999</v>
      </c>
      <c r="D120" s="35">
        <v>4.99E-2</v>
      </c>
      <c r="E120" s="35">
        <v>0.248</v>
      </c>
      <c r="F120" s="35">
        <v>9.1899999999999996E-2</v>
      </c>
      <c r="G120" s="35">
        <v>0.45500000000000002</v>
      </c>
      <c r="H120" s="35">
        <v>0.439</v>
      </c>
      <c r="I120" s="35">
        <v>0.55700000000000005</v>
      </c>
      <c r="J120" s="35">
        <v>0.40100000000000002</v>
      </c>
      <c r="K120" s="35">
        <v>1.35</v>
      </c>
      <c r="L120" s="35">
        <v>0.79400000000000004</v>
      </c>
      <c r="M120" s="35">
        <v>0.33600000000000002</v>
      </c>
      <c r="N120" s="35">
        <v>0.23499999999999999</v>
      </c>
      <c r="O120" s="35">
        <v>1.59</v>
      </c>
      <c r="P120" s="35">
        <v>0.371</v>
      </c>
      <c r="Q120" s="35">
        <v>0.755</v>
      </c>
      <c r="R120" s="35">
        <v>0.71499999999999997</v>
      </c>
      <c r="S120" s="35">
        <v>0.60399999999999998</v>
      </c>
      <c r="T120" s="35">
        <v>0.79400000000000004</v>
      </c>
      <c r="U120" s="35">
        <v>0.48899999999999999</v>
      </c>
      <c r="V120" s="35">
        <v>0.42799999999999999</v>
      </c>
      <c r="W120" s="35">
        <v>0.47199999999999998</v>
      </c>
      <c r="X120" s="202">
        <v>0.73099999999999998</v>
      </c>
      <c r="Y120" s="204">
        <v>0.157</v>
      </c>
      <c r="Z120" s="35">
        <v>0.307</v>
      </c>
      <c r="AA120" s="35">
        <v>0.40300000000000002</v>
      </c>
      <c r="AB120" s="138">
        <v>0.70799999999999996</v>
      </c>
      <c r="AC120" s="35">
        <v>0.64100000000000001</v>
      </c>
    </row>
    <row r="121" spans="1:29">
      <c r="A121" s="94" t="s">
        <v>553</v>
      </c>
      <c r="B121" s="36">
        <v>1.2600000000000001E-3</v>
      </c>
      <c r="C121" s="36">
        <v>2.64E-3</v>
      </c>
      <c r="D121" s="36">
        <v>1.7600000000000001E-3</v>
      </c>
      <c r="E121" s="5"/>
      <c r="F121" s="5"/>
      <c r="G121" s="5"/>
      <c r="H121" s="5"/>
      <c r="I121" s="5"/>
      <c r="J121" s="5"/>
      <c r="K121" s="5"/>
      <c r="L121" s="5"/>
      <c r="M121" s="5"/>
      <c r="N121" s="5"/>
      <c r="O121" s="5"/>
      <c r="P121" s="5"/>
      <c r="Q121" s="5"/>
      <c r="R121" s="5"/>
      <c r="S121" s="5"/>
      <c r="T121" s="5"/>
      <c r="U121" s="36">
        <v>1.8699999999999999E-3</v>
      </c>
      <c r="V121" s="5"/>
      <c r="W121" s="5"/>
      <c r="X121" s="201"/>
      <c r="Y121" s="139">
        <v>1.65E-3</v>
      </c>
      <c r="Z121" s="5"/>
      <c r="AA121" s="5"/>
      <c r="AB121" s="114"/>
      <c r="AC121" s="36">
        <v>1.2600000000000001E-3</v>
      </c>
    </row>
    <row r="122" spans="1:29">
      <c r="A122" s="94" t="s">
        <v>554</v>
      </c>
      <c r="B122" s="35">
        <v>0.33500000000000002</v>
      </c>
      <c r="C122" s="35">
        <v>0.217</v>
      </c>
      <c r="D122" s="35">
        <v>0.13500000000000001</v>
      </c>
      <c r="E122" s="35">
        <v>9.11E-2</v>
      </c>
      <c r="F122" s="35">
        <v>0.35099999999999998</v>
      </c>
      <c r="G122" s="35">
        <v>0.27200000000000002</v>
      </c>
      <c r="H122" s="35">
        <v>0.30199999999999999</v>
      </c>
      <c r="I122" s="35">
        <v>0.30399999999999999</v>
      </c>
      <c r="J122" s="35">
        <v>0.26800000000000002</v>
      </c>
      <c r="K122" s="35">
        <v>0.42499999999999999</v>
      </c>
      <c r="L122" s="35">
        <v>0.29099999999999998</v>
      </c>
      <c r="M122" s="35">
        <v>0.246</v>
      </c>
      <c r="N122" s="35">
        <v>0.29499999999999998</v>
      </c>
      <c r="O122" s="35">
        <v>0.20300000000000001</v>
      </c>
      <c r="P122" s="35">
        <v>0.377</v>
      </c>
      <c r="Q122" s="35">
        <v>0.42399999999999999</v>
      </c>
      <c r="R122" s="35">
        <v>1.5</v>
      </c>
      <c r="S122" s="35">
        <v>0.28399999999999997</v>
      </c>
      <c r="T122" s="35">
        <v>0.40500000000000003</v>
      </c>
      <c r="U122" s="35">
        <v>0.39200000000000002</v>
      </c>
      <c r="V122" s="35">
        <v>0.28199999999999997</v>
      </c>
      <c r="W122" s="35">
        <v>0.32500000000000001</v>
      </c>
      <c r="X122" s="202">
        <v>0.27200000000000002</v>
      </c>
      <c r="Y122" s="204">
        <v>0.35</v>
      </c>
      <c r="Z122" s="35">
        <v>0.34699999999999998</v>
      </c>
      <c r="AA122" s="35">
        <v>0.32</v>
      </c>
      <c r="AB122" s="138">
        <v>0.18099999999999999</v>
      </c>
      <c r="AC122" s="35">
        <v>0.33500000000000002</v>
      </c>
    </row>
    <row r="123" spans="1:29">
      <c r="A123" s="94" t="s">
        <v>555</v>
      </c>
      <c r="B123" s="36">
        <v>4.3400000000000001E-3</v>
      </c>
      <c r="C123" s="36">
        <v>8.3199999999999993E-3</v>
      </c>
      <c r="D123" s="36">
        <v>5.8300000000000001E-3</v>
      </c>
      <c r="E123" s="5"/>
      <c r="F123" s="5"/>
      <c r="G123" s="36">
        <v>4.6600000000000001E-3</v>
      </c>
      <c r="H123" s="36">
        <v>4.4600000000000004E-3</v>
      </c>
      <c r="I123" s="5"/>
      <c r="J123" s="36">
        <v>6.5399999999999998E-3</v>
      </c>
      <c r="K123" s="5"/>
      <c r="L123" s="5"/>
      <c r="M123" s="5"/>
      <c r="N123" s="5"/>
      <c r="O123" s="5"/>
      <c r="P123" s="5"/>
      <c r="Q123" s="5"/>
      <c r="R123" s="5"/>
      <c r="S123" s="5"/>
      <c r="T123" s="5"/>
      <c r="U123" s="36">
        <v>3.5500000000000002E-3</v>
      </c>
      <c r="V123" s="5"/>
      <c r="W123" s="5"/>
      <c r="X123" s="201"/>
      <c r="Y123" s="139">
        <v>5.5599999999999998E-3</v>
      </c>
      <c r="Z123" s="36">
        <v>2.5899999999999999E-3</v>
      </c>
      <c r="AA123" s="5"/>
      <c r="AB123" s="114"/>
      <c r="AC123" s="36">
        <v>4.3400000000000001E-3</v>
      </c>
    </row>
    <row r="124" spans="1:29">
      <c r="A124" s="94" t="s">
        <v>558</v>
      </c>
      <c r="B124" s="35">
        <v>5.26</v>
      </c>
      <c r="C124" s="35">
        <v>1.87</v>
      </c>
      <c r="D124" s="35">
        <v>0.68200000000000005</v>
      </c>
      <c r="E124" s="35">
        <v>2.34</v>
      </c>
      <c r="F124" s="35">
        <v>1.84</v>
      </c>
      <c r="G124" s="35">
        <v>4.88</v>
      </c>
      <c r="H124" s="35">
        <v>4.17</v>
      </c>
      <c r="I124" s="35">
        <v>6.11</v>
      </c>
      <c r="J124" s="35">
        <v>3.95</v>
      </c>
      <c r="K124" s="35">
        <v>13.1</v>
      </c>
      <c r="L124" s="35">
        <v>4.05</v>
      </c>
      <c r="M124" s="35">
        <v>3.44</v>
      </c>
      <c r="N124" s="35">
        <v>4.12</v>
      </c>
      <c r="O124" s="35">
        <v>7.05</v>
      </c>
      <c r="P124" s="35">
        <v>4.6399999999999997</v>
      </c>
      <c r="Q124" s="35">
        <v>8.8000000000000007</v>
      </c>
      <c r="R124" s="35">
        <v>6.37</v>
      </c>
      <c r="S124" s="35">
        <v>4.18</v>
      </c>
      <c r="T124" s="35">
        <v>5.79</v>
      </c>
      <c r="U124" s="35">
        <v>7.82</v>
      </c>
      <c r="V124" s="35">
        <v>4.25</v>
      </c>
      <c r="W124" s="35">
        <v>4.68</v>
      </c>
      <c r="X124" s="202">
        <v>4.95</v>
      </c>
      <c r="Y124" s="204">
        <v>2.39</v>
      </c>
      <c r="Z124" s="35">
        <v>5.63</v>
      </c>
      <c r="AA124" s="35">
        <v>5.98</v>
      </c>
      <c r="AB124" s="138">
        <v>6.6</v>
      </c>
      <c r="AC124" s="35">
        <v>5.26</v>
      </c>
    </row>
    <row r="125" spans="1:29">
      <c r="A125" s="94" t="s">
        <v>560</v>
      </c>
      <c r="B125" s="35">
        <v>2.24E-2</v>
      </c>
      <c r="C125" s="3"/>
      <c r="D125" s="3"/>
      <c r="E125" s="3"/>
      <c r="F125" s="35">
        <v>1.3299999999999999E-2</v>
      </c>
      <c r="G125" s="3"/>
      <c r="H125" s="3"/>
      <c r="I125" s="3"/>
      <c r="J125" s="3"/>
      <c r="K125" s="35">
        <v>9.2600000000000002E-2</v>
      </c>
      <c r="L125" s="35">
        <v>1.66E-2</v>
      </c>
      <c r="M125" s="35">
        <v>2.6499999999999999E-2</v>
      </c>
      <c r="N125" s="3"/>
      <c r="O125" s="35">
        <v>3.6799999999999999E-2</v>
      </c>
      <c r="P125" s="35">
        <v>1.12E-2</v>
      </c>
      <c r="Q125" s="35">
        <v>1.23E-2</v>
      </c>
      <c r="R125" s="3"/>
      <c r="S125" s="3"/>
      <c r="T125" s="35">
        <v>1.35E-2</v>
      </c>
      <c r="U125" s="35">
        <v>1.8800000000000001E-2</v>
      </c>
      <c r="V125" s="35">
        <v>1.6299999999999999E-2</v>
      </c>
      <c r="W125" s="35">
        <v>9.7699999999999992E-3</v>
      </c>
      <c r="X125" s="202">
        <v>1.9199999999999998E-2</v>
      </c>
      <c r="Y125" s="204">
        <v>1.1900000000000001E-2</v>
      </c>
      <c r="Z125" s="35">
        <v>2.6700000000000002E-2</v>
      </c>
      <c r="AA125" s="35">
        <v>1.7100000000000001E-2</v>
      </c>
      <c r="AB125" s="138">
        <v>7.8700000000000006E-2</v>
      </c>
      <c r="AC125" s="35">
        <v>2.24E-2</v>
      </c>
    </row>
    <row r="126" spans="1:29">
      <c r="A126" s="94" t="s">
        <v>563</v>
      </c>
      <c r="B126" s="36">
        <v>3.1800000000000002E-2</v>
      </c>
      <c r="C126" s="36">
        <v>2.06E-2</v>
      </c>
      <c r="D126" s="36">
        <v>1.8100000000000002E-2</v>
      </c>
      <c r="E126" s="36">
        <v>2.3199999999999998E-2</v>
      </c>
      <c r="F126" s="36">
        <v>3.6799999999999999E-2</v>
      </c>
      <c r="G126" s="36">
        <v>2.41E-2</v>
      </c>
      <c r="H126" s="5"/>
      <c r="I126" s="36">
        <v>4.4499999999999998E-2</v>
      </c>
      <c r="J126" s="36">
        <v>2.3900000000000001E-2</v>
      </c>
      <c r="K126" s="36">
        <v>2.8799999999999999E-2</v>
      </c>
      <c r="L126" s="36">
        <v>2.5999999999999999E-2</v>
      </c>
      <c r="M126" s="36">
        <v>2.5899999999999999E-2</v>
      </c>
      <c r="N126" s="36">
        <v>2.35E-2</v>
      </c>
      <c r="O126" s="36">
        <v>3.44E-2</v>
      </c>
      <c r="P126" s="36">
        <v>3.1699999999999999E-2</v>
      </c>
      <c r="Q126" s="36">
        <v>4.2799999999999998E-2</v>
      </c>
      <c r="R126" s="36">
        <v>5.1200000000000002E-2</v>
      </c>
      <c r="S126" s="36">
        <v>3.8600000000000002E-2</v>
      </c>
      <c r="T126" s="36">
        <v>4.41E-2</v>
      </c>
      <c r="U126" s="36">
        <v>2.5999999999999999E-2</v>
      </c>
      <c r="V126" s="36">
        <v>3.2800000000000003E-2</v>
      </c>
      <c r="W126" s="36">
        <v>3.1399999999999997E-2</v>
      </c>
      <c r="X126" s="200">
        <v>3.6700000000000003E-2</v>
      </c>
      <c r="Y126" s="139">
        <v>1.6400000000000001E-2</v>
      </c>
      <c r="Z126" s="36">
        <v>6.2899999999999998E-2</v>
      </c>
      <c r="AA126" s="36">
        <v>7.1499999999999994E-2</v>
      </c>
      <c r="AB126" s="140">
        <v>8.4900000000000003E-2</v>
      </c>
      <c r="AC126" s="36">
        <v>3.1800000000000002E-2</v>
      </c>
    </row>
    <row r="127" spans="1:29">
      <c r="A127" s="94" t="s">
        <v>567</v>
      </c>
      <c r="B127" s="36">
        <v>5.11E-2</v>
      </c>
      <c r="C127" s="36">
        <v>1.61E-2</v>
      </c>
      <c r="D127" s="36">
        <v>1.14E-2</v>
      </c>
      <c r="E127" s="36">
        <v>2.47E-2</v>
      </c>
      <c r="F127" s="36">
        <v>4.28E-3</v>
      </c>
      <c r="G127" s="36">
        <v>1.21E-2</v>
      </c>
      <c r="H127" s="36">
        <v>1.5299999999999999E-2</v>
      </c>
      <c r="I127" s="36">
        <v>1.9400000000000001E-2</v>
      </c>
      <c r="J127" s="36">
        <v>2.29E-2</v>
      </c>
      <c r="K127" s="36">
        <v>9.2599999999999991E-3</v>
      </c>
      <c r="L127" s="36">
        <v>1.26E-2</v>
      </c>
      <c r="M127" s="36">
        <v>0.112</v>
      </c>
      <c r="N127" s="36">
        <v>1.6799999999999999E-2</v>
      </c>
      <c r="O127" s="36">
        <v>0.30299999999999999</v>
      </c>
      <c r="P127" s="36">
        <v>7.6E-3</v>
      </c>
      <c r="Q127" s="36">
        <v>1.66E-2</v>
      </c>
      <c r="R127" s="36">
        <v>1.9E-2</v>
      </c>
      <c r="S127" s="36">
        <v>1.35E-2</v>
      </c>
      <c r="T127" s="36">
        <v>9.0300000000000005E-2</v>
      </c>
      <c r="U127" s="36">
        <v>1.2E-2</v>
      </c>
      <c r="V127" s="36">
        <v>1.1299999999999999E-2</v>
      </c>
      <c r="W127" s="36">
        <v>1.6E-2</v>
      </c>
      <c r="X127" s="200">
        <v>1.01E-2</v>
      </c>
      <c r="Y127" s="139">
        <v>5.3299999999999997E-3</v>
      </c>
      <c r="Z127" s="36">
        <v>1.49E-2</v>
      </c>
      <c r="AA127" s="36">
        <v>5.3699999999999998E-3</v>
      </c>
      <c r="AB127" s="140">
        <v>0.873</v>
      </c>
      <c r="AC127" s="36">
        <v>5.11E-2</v>
      </c>
    </row>
    <row r="128" spans="1:29">
      <c r="A128" s="94" t="s">
        <v>569</v>
      </c>
      <c r="B128" s="36">
        <v>5.8599999999999999E-2</v>
      </c>
      <c r="C128" s="36">
        <v>6.8199999999999997E-2</v>
      </c>
      <c r="D128" s="36">
        <v>9.1800000000000007E-2</v>
      </c>
      <c r="E128" s="36">
        <v>9.1399999999999995E-2</v>
      </c>
      <c r="F128" s="36">
        <v>8.4599999999999995E-2</v>
      </c>
      <c r="G128" s="36">
        <v>5.6500000000000002E-2</v>
      </c>
      <c r="H128" s="36">
        <v>5.3499999999999999E-2</v>
      </c>
      <c r="I128" s="36">
        <v>4.9000000000000002E-2</v>
      </c>
      <c r="J128" s="36">
        <v>5.7000000000000002E-2</v>
      </c>
      <c r="K128" s="36">
        <v>2.7199999999999998E-2</v>
      </c>
      <c r="L128" s="36">
        <v>3.7699999999999997E-2</v>
      </c>
      <c r="M128" s="36">
        <v>2.1700000000000001E-2</v>
      </c>
      <c r="N128" s="36">
        <v>6.5600000000000006E-2</v>
      </c>
      <c r="O128" s="36">
        <v>6.08E-2</v>
      </c>
      <c r="P128" s="36">
        <v>5.3199999999999997E-2</v>
      </c>
      <c r="Q128" s="36">
        <v>3.7699999999999997E-2</v>
      </c>
      <c r="R128" s="36">
        <v>1.06E-2</v>
      </c>
      <c r="S128" s="36">
        <v>3.4599999999999999E-2</v>
      </c>
      <c r="T128" s="36">
        <v>3.8300000000000001E-2</v>
      </c>
      <c r="U128" s="36">
        <v>3.9100000000000003E-2</v>
      </c>
      <c r="V128" s="36">
        <v>5.3900000000000003E-2</v>
      </c>
      <c r="W128" s="36">
        <v>5.0999999999999997E-2</v>
      </c>
      <c r="X128" s="200">
        <v>4.7199999999999999E-2</v>
      </c>
      <c r="Y128" s="139">
        <v>4.41E-2</v>
      </c>
      <c r="Z128" s="36">
        <v>7.9299999999999995E-2</v>
      </c>
      <c r="AA128" s="36">
        <v>6.5199999999999994E-2</v>
      </c>
      <c r="AB128" s="140">
        <v>0.114</v>
      </c>
      <c r="AC128" s="36">
        <v>5.8599999999999999E-2</v>
      </c>
    </row>
    <row r="129" spans="1:29">
      <c r="A129" s="94" t="s">
        <v>570</v>
      </c>
      <c r="B129" s="3"/>
      <c r="C129" s="35">
        <v>3.5300000000000002E-3</v>
      </c>
      <c r="D129" s="3"/>
      <c r="E129" s="3"/>
      <c r="F129" s="3"/>
      <c r="G129" s="3"/>
      <c r="H129" s="35">
        <v>3.9399999999999999E-3</v>
      </c>
      <c r="I129" s="3"/>
      <c r="J129" s="35">
        <v>2.3800000000000002E-3</v>
      </c>
      <c r="K129" s="3"/>
      <c r="L129" s="3"/>
      <c r="M129" s="3"/>
      <c r="N129" s="3"/>
      <c r="O129" s="3"/>
      <c r="P129" s="3"/>
      <c r="Q129" s="3"/>
      <c r="R129" s="3"/>
      <c r="S129" s="3"/>
      <c r="T129" s="3"/>
      <c r="U129" s="3"/>
      <c r="V129" s="3"/>
      <c r="W129" s="3"/>
      <c r="X129" s="203"/>
      <c r="Y129" s="204">
        <v>3.0000000000000001E-3</v>
      </c>
      <c r="Z129" s="3"/>
      <c r="AA129" s="3"/>
      <c r="AB129" s="142"/>
      <c r="AC129" s="3"/>
    </row>
    <row r="130" spans="1:29">
      <c r="A130" s="94" t="s">
        <v>571</v>
      </c>
      <c r="B130" s="36">
        <v>2.2100000000000002E-3</v>
      </c>
      <c r="C130" s="5"/>
      <c r="D130" s="5"/>
      <c r="E130" s="5"/>
      <c r="F130" s="5"/>
      <c r="G130" s="5"/>
      <c r="H130" s="5"/>
      <c r="I130" s="5"/>
      <c r="J130" s="5"/>
      <c r="K130" s="5"/>
      <c r="L130" s="5"/>
      <c r="M130" s="5"/>
      <c r="N130" s="5"/>
      <c r="O130" s="5"/>
      <c r="P130" s="5"/>
      <c r="Q130" s="5"/>
      <c r="R130" s="5"/>
      <c r="S130" s="5"/>
      <c r="T130" s="5"/>
      <c r="U130" s="5"/>
      <c r="V130" s="5"/>
      <c r="W130" s="5"/>
      <c r="X130" s="201"/>
      <c r="Y130" s="113"/>
      <c r="Z130" s="5"/>
      <c r="AA130" s="5"/>
      <c r="AB130" s="114"/>
      <c r="AC130" s="36">
        <v>2.2100000000000002E-3</v>
      </c>
    </row>
    <row r="131" spans="1:29">
      <c r="A131" s="94" t="s">
        <v>574</v>
      </c>
      <c r="B131" s="35">
        <v>2.15E-3</v>
      </c>
      <c r="C131" s="35">
        <v>4.45E-3</v>
      </c>
      <c r="D131" s="35">
        <v>2.7399999999999998E-3</v>
      </c>
      <c r="E131" s="3"/>
      <c r="F131" s="3"/>
      <c r="G131" s="35">
        <v>1.7899999999999999E-3</v>
      </c>
      <c r="H131" s="35">
        <v>3.64E-3</v>
      </c>
      <c r="I131" s="3"/>
      <c r="J131" s="35">
        <v>2.8400000000000001E-3</v>
      </c>
      <c r="K131" s="3"/>
      <c r="L131" s="3"/>
      <c r="M131" s="3"/>
      <c r="N131" s="3"/>
      <c r="O131" s="3"/>
      <c r="P131" s="3"/>
      <c r="Q131" s="3"/>
      <c r="R131" s="3"/>
      <c r="S131" s="3"/>
      <c r="T131" s="3"/>
      <c r="U131" s="35">
        <v>2.5100000000000001E-3</v>
      </c>
      <c r="V131" s="3"/>
      <c r="W131" s="3"/>
      <c r="X131" s="203"/>
      <c r="Y131" s="204">
        <v>2.31E-3</v>
      </c>
      <c r="Z131" s="35">
        <v>1.0499999999999999E-3</v>
      </c>
      <c r="AA131" s="3"/>
      <c r="AB131" s="142"/>
      <c r="AC131" s="35">
        <v>2.15E-3</v>
      </c>
    </row>
    <row r="132" spans="1:29">
      <c r="A132" s="94" t="s">
        <v>575</v>
      </c>
      <c r="B132" s="36">
        <v>1.24E-3</v>
      </c>
      <c r="C132" s="36">
        <v>3.4499999999999999E-3</v>
      </c>
      <c r="D132" s="36">
        <v>2.3900000000000002E-3</v>
      </c>
      <c r="E132" s="5"/>
      <c r="F132" s="5"/>
      <c r="G132" s="36">
        <v>1.9499999999999999E-3</v>
      </c>
      <c r="H132" s="36">
        <v>1.8600000000000001E-3</v>
      </c>
      <c r="I132" s="5"/>
      <c r="J132" s="36">
        <v>2.7299999999999998E-3</v>
      </c>
      <c r="K132" s="5"/>
      <c r="L132" s="5"/>
      <c r="M132" s="5"/>
      <c r="N132" s="5"/>
      <c r="O132" s="5"/>
      <c r="P132" s="5"/>
      <c r="Q132" s="5"/>
      <c r="R132" s="5"/>
      <c r="S132" s="5"/>
      <c r="T132" s="5"/>
      <c r="U132" s="36">
        <v>2.3500000000000001E-3</v>
      </c>
      <c r="V132" s="5"/>
      <c r="W132" s="5"/>
      <c r="X132" s="201"/>
      <c r="Y132" s="139">
        <v>2.7000000000000001E-3</v>
      </c>
      <c r="Z132" s="36">
        <v>1.25E-3</v>
      </c>
      <c r="AA132" s="5"/>
      <c r="AB132" s="114"/>
      <c r="AC132" s="36">
        <v>1.24E-3</v>
      </c>
    </row>
    <row r="133" spans="1:29">
      <c r="A133" s="94" t="s">
        <v>576</v>
      </c>
      <c r="B133" s="35">
        <v>7.85E-2</v>
      </c>
      <c r="C133" s="35">
        <v>3.7999999999999999E-2</v>
      </c>
      <c r="D133" s="35">
        <v>2.6700000000000002E-2</v>
      </c>
      <c r="E133" s="35">
        <v>6.3600000000000004E-2</v>
      </c>
      <c r="F133" s="35">
        <v>3.0499999999999999E-2</v>
      </c>
      <c r="G133" s="35">
        <v>3.8100000000000002E-2</v>
      </c>
      <c r="H133" s="35">
        <v>3.1899999999999998E-2</v>
      </c>
      <c r="I133" s="35">
        <v>3.7199999999999997E-2</v>
      </c>
      <c r="J133" s="35">
        <v>5.6399999999999999E-2</v>
      </c>
      <c r="K133" s="35">
        <v>4.3700000000000003E-2</v>
      </c>
      <c r="L133" s="35">
        <v>4.2900000000000001E-2</v>
      </c>
      <c r="M133" s="35">
        <v>5.8599999999999999E-2</v>
      </c>
      <c r="N133" s="35">
        <v>6.9800000000000001E-2</v>
      </c>
      <c r="O133" s="35">
        <v>0.13900000000000001</v>
      </c>
      <c r="P133" s="35">
        <v>7.0300000000000001E-2</v>
      </c>
      <c r="Q133" s="35">
        <v>3.5299999999999998E-2</v>
      </c>
      <c r="R133" s="35">
        <v>4.6399999999999997E-2</v>
      </c>
      <c r="S133" s="35">
        <v>3.3700000000000001E-2</v>
      </c>
      <c r="T133" s="35">
        <v>6.8199999999999997E-2</v>
      </c>
      <c r="U133" s="35">
        <v>9.6100000000000005E-2</v>
      </c>
      <c r="V133" s="35">
        <v>7.1099999999999997E-2</v>
      </c>
      <c r="W133" s="35">
        <v>0.105</v>
      </c>
      <c r="X133" s="202">
        <v>6.13E-2</v>
      </c>
      <c r="Y133" s="204">
        <v>4.6300000000000001E-2</v>
      </c>
      <c r="Z133" s="35">
        <v>9.2499999999999999E-2</v>
      </c>
      <c r="AA133" s="35">
        <v>3.4299999999999997E-2</v>
      </c>
      <c r="AB133" s="138">
        <v>0.16800000000000001</v>
      </c>
      <c r="AC133" s="35">
        <v>7.85E-2</v>
      </c>
    </row>
    <row r="134" spans="1:29">
      <c r="A134" s="94" t="s">
        <v>583</v>
      </c>
      <c r="B134" s="36">
        <v>0.55500000000000005</v>
      </c>
      <c r="C134" s="36">
        <v>0.44500000000000001</v>
      </c>
      <c r="D134" s="36">
        <v>0.186</v>
      </c>
      <c r="E134" s="36">
        <v>0.39700000000000002</v>
      </c>
      <c r="F134" s="36">
        <v>0.29899999999999999</v>
      </c>
      <c r="G134" s="36">
        <v>0.59099999999999997</v>
      </c>
      <c r="H134" s="36">
        <v>0.51900000000000002</v>
      </c>
      <c r="I134" s="36">
        <v>0.64300000000000002</v>
      </c>
      <c r="J134" s="36">
        <v>0.442</v>
      </c>
      <c r="K134" s="36">
        <v>0.71199999999999997</v>
      </c>
      <c r="L134" s="36">
        <v>0.39400000000000002</v>
      </c>
      <c r="M134" s="36">
        <v>0.245</v>
      </c>
      <c r="N134" s="36">
        <v>0.38500000000000001</v>
      </c>
      <c r="O134" s="36">
        <v>0.72499999999999998</v>
      </c>
      <c r="P134" s="36">
        <v>0.65800000000000003</v>
      </c>
      <c r="Q134" s="36">
        <v>0.61299999999999999</v>
      </c>
      <c r="R134" s="36">
        <v>1.56</v>
      </c>
      <c r="S134" s="36">
        <v>0.54400000000000004</v>
      </c>
      <c r="T134" s="36">
        <v>0.71099999999999997</v>
      </c>
      <c r="U134" s="36">
        <v>0.65200000000000002</v>
      </c>
      <c r="V134" s="36">
        <v>0.47499999999999998</v>
      </c>
      <c r="W134" s="36">
        <v>0.55000000000000004</v>
      </c>
      <c r="X134" s="200">
        <v>0.61</v>
      </c>
      <c r="Y134" s="139">
        <v>0.47699999999999998</v>
      </c>
      <c r="Z134" s="36">
        <v>0.41</v>
      </c>
      <c r="AA134" s="36">
        <v>0.45600000000000002</v>
      </c>
      <c r="AB134" s="140">
        <v>0.44</v>
      </c>
      <c r="AC134" s="36">
        <v>0.55500000000000005</v>
      </c>
    </row>
    <row r="135" spans="1:29">
      <c r="A135" s="94" t="s">
        <v>584</v>
      </c>
      <c r="B135" s="35">
        <v>1.41E-3</v>
      </c>
      <c r="C135" s="3"/>
      <c r="D135" s="3"/>
      <c r="E135" s="3"/>
      <c r="F135" s="3"/>
      <c r="G135" s="3"/>
      <c r="H135" s="3"/>
      <c r="I135" s="3"/>
      <c r="J135" s="35">
        <v>2.6900000000000001E-3</v>
      </c>
      <c r="K135" s="3"/>
      <c r="L135" s="3"/>
      <c r="M135" s="3"/>
      <c r="N135" s="3"/>
      <c r="O135" s="3"/>
      <c r="P135" s="3"/>
      <c r="Q135" s="3"/>
      <c r="R135" s="3"/>
      <c r="S135" s="3"/>
      <c r="T135" s="3"/>
      <c r="U135" s="3"/>
      <c r="V135" s="3"/>
      <c r="W135" s="3"/>
      <c r="X135" s="203"/>
      <c r="Y135" s="204">
        <v>2.5100000000000001E-3</v>
      </c>
      <c r="Z135" s="35">
        <v>1.07E-3</v>
      </c>
      <c r="AA135" s="3"/>
      <c r="AB135" s="142"/>
      <c r="AC135" s="35">
        <v>1.41E-3</v>
      </c>
    </row>
    <row r="136" spans="1:29">
      <c r="A136" s="94" t="s">
        <v>586</v>
      </c>
      <c r="B136" s="35">
        <v>1.4E-2</v>
      </c>
      <c r="C136" s="35">
        <v>1.14E-2</v>
      </c>
      <c r="D136" s="35">
        <v>7.5700000000000003E-3</v>
      </c>
      <c r="E136" s="3"/>
      <c r="F136" s="35">
        <v>6.8500000000000002E-3</v>
      </c>
      <c r="G136" s="35">
        <v>1.09E-2</v>
      </c>
      <c r="H136" s="35">
        <v>9.0100000000000006E-3</v>
      </c>
      <c r="I136" s="3"/>
      <c r="J136" s="35">
        <v>9.2599999999999991E-3</v>
      </c>
      <c r="K136" s="35">
        <v>1.67E-2</v>
      </c>
      <c r="L136" s="35">
        <v>1.2E-2</v>
      </c>
      <c r="M136" s="35">
        <v>1.21E-2</v>
      </c>
      <c r="N136" s="35">
        <v>1.04E-2</v>
      </c>
      <c r="O136" s="3"/>
      <c r="P136" s="35">
        <v>9.6799999999999994E-3</v>
      </c>
      <c r="Q136" s="35">
        <v>2.1600000000000001E-2</v>
      </c>
      <c r="R136" s="35">
        <v>1.2999999999999999E-2</v>
      </c>
      <c r="S136" s="35">
        <v>1.49E-2</v>
      </c>
      <c r="T136" s="35">
        <v>2.0299999999999999E-2</v>
      </c>
      <c r="U136" s="35">
        <v>1.52E-2</v>
      </c>
      <c r="V136" s="35">
        <v>1.18E-2</v>
      </c>
      <c r="W136" s="35">
        <v>1.11E-2</v>
      </c>
      <c r="X136" s="202">
        <v>1.5900000000000001E-2</v>
      </c>
      <c r="Y136" s="204">
        <v>8.8400000000000006E-3</v>
      </c>
      <c r="Z136" s="35">
        <v>1.12E-2</v>
      </c>
      <c r="AA136" s="35">
        <v>6.8199999999999997E-3</v>
      </c>
      <c r="AB136" s="142"/>
      <c r="AC136" s="35">
        <v>1.4E-2</v>
      </c>
    </row>
    <row r="137" spans="1:29">
      <c r="A137" s="94" t="s">
        <v>589</v>
      </c>
      <c r="B137" s="36">
        <v>2.8400000000000001E-3</v>
      </c>
      <c r="C137" s="36">
        <v>9.1199999999999996E-3</v>
      </c>
      <c r="D137" s="36">
        <v>9.0299999999999998E-3</v>
      </c>
      <c r="E137" s="5"/>
      <c r="F137" s="36">
        <v>2.7299999999999998E-3</v>
      </c>
      <c r="G137" s="36">
        <v>5.4200000000000003E-3</v>
      </c>
      <c r="H137" s="36">
        <v>5.96E-3</v>
      </c>
      <c r="I137" s="5"/>
      <c r="J137" s="36">
        <v>5.4000000000000003E-3</v>
      </c>
      <c r="K137" s="5"/>
      <c r="L137" s="5"/>
      <c r="M137" s="5"/>
      <c r="N137" s="5"/>
      <c r="O137" s="5"/>
      <c r="P137" s="36">
        <v>3.2000000000000002E-3</v>
      </c>
      <c r="Q137" s="5"/>
      <c r="R137" s="5"/>
      <c r="S137" s="5"/>
      <c r="T137" s="5"/>
      <c r="U137" s="36">
        <v>2.7399999999999998E-3</v>
      </c>
      <c r="V137" s="5"/>
      <c r="W137" s="5"/>
      <c r="X137" s="200">
        <v>1.3500000000000001E-3</v>
      </c>
      <c r="Y137" s="139">
        <v>2.8800000000000002E-3</v>
      </c>
      <c r="Z137" s="36">
        <v>3.47E-3</v>
      </c>
      <c r="AA137" s="36">
        <v>1.74E-3</v>
      </c>
      <c r="AB137" s="140">
        <v>4.6899999999999997E-3</v>
      </c>
      <c r="AC137" s="36">
        <v>2.8400000000000001E-3</v>
      </c>
    </row>
    <row r="138" spans="1:29">
      <c r="A138" s="94" t="s">
        <v>593</v>
      </c>
      <c r="B138" s="36">
        <v>2.5999999999999999E-2</v>
      </c>
      <c r="C138" s="36">
        <v>1.38E-2</v>
      </c>
      <c r="D138" s="36">
        <v>1.2999999999999999E-2</v>
      </c>
      <c r="E138" s="5"/>
      <c r="F138" s="36">
        <v>1.38E-2</v>
      </c>
      <c r="G138" s="36">
        <v>2.2200000000000001E-2</v>
      </c>
      <c r="H138" s="36">
        <v>2.3E-2</v>
      </c>
      <c r="I138" s="36">
        <v>2.6800000000000001E-2</v>
      </c>
      <c r="J138" s="36">
        <v>2.4400000000000002E-2</v>
      </c>
      <c r="K138" s="36">
        <v>1.9199999999999998E-2</v>
      </c>
      <c r="L138" s="36">
        <v>2.8000000000000001E-2</v>
      </c>
      <c r="M138" s="36">
        <v>1.4999999999999999E-2</v>
      </c>
      <c r="N138" s="36">
        <v>1.8800000000000001E-2</v>
      </c>
      <c r="O138" s="5"/>
      <c r="P138" s="36">
        <v>1.9300000000000001E-2</v>
      </c>
      <c r="Q138" s="36">
        <v>3.0099999999999998E-2</v>
      </c>
      <c r="R138" s="36">
        <v>2.4500000000000001E-2</v>
      </c>
      <c r="S138" s="36">
        <v>2.9399999999999999E-2</v>
      </c>
      <c r="T138" s="36">
        <v>3.2800000000000003E-2</v>
      </c>
      <c r="U138" s="36">
        <v>3.15E-2</v>
      </c>
      <c r="V138" s="36">
        <v>2.64E-2</v>
      </c>
      <c r="W138" s="36">
        <v>2.9000000000000001E-2</v>
      </c>
      <c r="X138" s="200">
        <v>2.7400000000000001E-2</v>
      </c>
      <c r="Y138" s="139">
        <v>1.3899999999999999E-2</v>
      </c>
      <c r="Z138" s="36">
        <v>2.1000000000000001E-2</v>
      </c>
      <c r="AA138" s="36">
        <v>3.09E-2</v>
      </c>
      <c r="AB138" s="140">
        <v>5.2499999999999998E-2</v>
      </c>
      <c r="AC138" s="36">
        <v>2.5999999999999999E-2</v>
      </c>
    </row>
    <row r="139" spans="1:29">
      <c r="A139" s="94" t="s">
        <v>597</v>
      </c>
      <c r="B139" s="36">
        <v>5.6300000000000003E-2</v>
      </c>
      <c r="C139" s="36">
        <v>5.3100000000000001E-2</v>
      </c>
      <c r="D139" s="36">
        <v>4.0399999999999998E-2</v>
      </c>
      <c r="E139" s="36">
        <v>0.125</v>
      </c>
      <c r="F139" s="36">
        <v>5.9799999999999999E-2</v>
      </c>
      <c r="G139" s="36">
        <v>0.05</v>
      </c>
      <c r="H139" s="36">
        <v>4.3900000000000002E-2</v>
      </c>
      <c r="I139" s="36">
        <v>4.8500000000000001E-2</v>
      </c>
      <c r="J139" s="36">
        <v>6.0299999999999999E-2</v>
      </c>
      <c r="K139" s="36">
        <v>4.3099999999999999E-2</v>
      </c>
      <c r="L139" s="36">
        <v>4.7E-2</v>
      </c>
      <c r="M139" s="36">
        <v>8.4400000000000003E-2</v>
      </c>
      <c r="N139" s="36">
        <v>5.2699999999999997E-2</v>
      </c>
      <c r="O139" s="36">
        <v>6.5600000000000006E-2</v>
      </c>
      <c r="P139" s="36">
        <v>6.6500000000000004E-2</v>
      </c>
      <c r="Q139" s="36">
        <v>4.1000000000000002E-2</v>
      </c>
      <c r="R139" s="36">
        <v>4.6600000000000003E-2</v>
      </c>
      <c r="S139" s="36">
        <v>3.61E-2</v>
      </c>
      <c r="T139" s="36">
        <v>4.6899999999999997E-2</v>
      </c>
      <c r="U139" s="36">
        <v>6.6699999999999995E-2</v>
      </c>
      <c r="V139" s="36">
        <v>4.7899999999999998E-2</v>
      </c>
      <c r="W139" s="36">
        <v>6.13E-2</v>
      </c>
      <c r="X139" s="200">
        <v>4.6100000000000002E-2</v>
      </c>
      <c r="Y139" s="139">
        <v>4.4699999999999997E-2</v>
      </c>
      <c r="Z139" s="36">
        <v>6.4799999999999996E-2</v>
      </c>
      <c r="AA139" s="36">
        <v>4.4400000000000002E-2</v>
      </c>
      <c r="AB139" s="140">
        <v>5.6399999999999999E-2</v>
      </c>
      <c r="AC139" s="36">
        <v>5.6300000000000003E-2</v>
      </c>
    </row>
    <row r="140" spans="1:29">
      <c r="A140" s="94" t="s">
        <v>601</v>
      </c>
      <c r="B140" s="36">
        <v>1.17E-3</v>
      </c>
      <c r="C140" s="36">
        <v>6.6100000000000004E-3</v>
      </c>
      <c r="D140" s="36">
        <v>3.7399999999999998E-3</v>
      </c>
      <c r="E140" s="5"/>
      <c r="F140" s="5"/>
      <c r="G140" s="36">
        <v>2.47E-3</v>
      </c>
      <c r="H140" s="5"/>
      <c r="I140" s="5"/>
      <c r="J140" s="36">
        <v>2.3500000000000001E-3</v>
      </c>
      <c r="K140" s="5"/>
      <c r="L140" s="5"/>
      <c r="M140" s="5"/>
      <c r="N140" s="5"/>
      <c r="O140" s="5"/>
      <c r="P140" s="5"/>
      <c r="Q140" s="5"/>
      <c r="R140" s="5"/>
      <c r="S140" s="5"/>
      <c r="T140" s="5"/>
      <c r="U140" s="36">
        <v>3.31E-3</v>
      </c>
      <c r="V140" s="5"/>
      <c r="W140" s="5"/>
      <c r="X140" s="201"/>
      <c r="Y140" s="113"/>
      <c r="Z140" s="5"/>
      <c r="AA140" s="5"/>
      <c r="AB140" s="114"/>
      <c r="AC140" s="36">
        <v>1.17E-3</v>
      </c>
    </row>
    <row r="141" spans="1:29">
      <c r="A141" s="94" t="s">
        <v>606</v>
      </c>
      <c r="B141" s="35">
        <v>7.7800000000000005E-4</v>
      </c>
      <c r="C141" s="35">
        <v>1.91E-3</v>
      </c>
      <c r="D141" s="3"/>
      <c r="E141" s="3"/>
      <c r="F141" s="3"/>
      <c r="G141" s="3"/>
      <c r="H141" s="35">
        <v>8.12E-4</v>
      </c>
      <c r="I141" s="3"/>
      <c r="J141" s="3"/>
      <c r="K141" s="3"/>
      <c r="L141" s="3"/>
      <c r="M141" s="3"/>
      <c r="N141" s="3"/>
      <c r="O141" s="3"/>
      <c r="P141" s="3"/>
      <c r="Q141" s="3"/>
      <c r="R141" s="3"/>
      <c r="S141" s="3"/>
      <c r="T141" s="3"/>
      <c r="U141" s="35">
        <v>1.1999999999999999E-3</v>
      </c>
      <c r="V141" s="3"/>
      <c r="W141" s="3"/>
      <c r="X141" s="203"/>
      <c r="Y141" s="141"/>
      <c r="Z141" s="3"/>
      <c r="AA141" s="3"/>
      <c r="AB141" s="142"/>
      <c r="AC141" s="35">
        <v>7.7800000000000005E-4</v>
      </c>
    </row>
    <row r="142" spans="1:29">
      <c r="A142" s="94" t="s">
        <v>608</v>
      </c>
      <c r="B142" s="35">
        <v>1.37E-2</v>
      </c>
      <c r="C142" s="35">
        <v>1.5900000000000001E-2</v>
      </c>
      <c r="D142" s="3"/>
      <c r="E142" s="3"/>
      <c r="F142" s="3"/>
      <c r="G142" s="35">
        <v>1.8100000000000002E-2</v>
      </c>
      <c r="H142" s="35">
        <v>1.34E-2</v>
      </c>
      <c r="I142" s="35">
        <v>1.1599999999999999E-2</v>
      </c>
      <c r="J142" s="35">
        <v>2.4500000000000001E-2</v>
      </c>
      <c r="K142" s="35">
        <v>3.27E-2</v>
      </c>
      <c r="L142" s="35">
        <v>6.9499999999999996E-3</v>
      </c>
      <c r="M142" s="35">
        <v>4.3600000000000002E-3</v>
      </c>
      <c r="N142" s="35">
        <v>1.0999999999999999E-2</v>
      </c>
      <c r="O142" s="35">
        <v>9.1500000000000001E-3</v>
      </c>
      <c r="P142" s="35">
        <v>1.9199999999999998E-2</v>
      </c>
      <c r="Q142" s="35">
        <v>1.7500000000000002E-2</v>
      </c>
      <c r="R142" s="3"/>
      <c r="S142" s="35">
        <v>1.7600000000000001E-2</v>
      </c>
      <c r="T142" s="35">
        <v>1.54E-2</v>
      </c>
      <c r="U142" s="35">
        <v>2.8000000000000001E-2</v>
      </c>
      <c r="V142" s="35">
        <v>1.9E-2</v>
      </c>
      <c r="W142" s="35">
        <v>1.5599999999999999E-2</v>
      </c>
      <c r="X142" s="202">
        <v>2.7699999999999999E-2</v>
      </c>
      <c r="Y142" s="204">
        <v>1.34E-2</v>
      </c>
      <c r="Z142" s="35">
        <v>2.1700000000000001E-2</v>
      </c>
      <c r="AA142" s="35">
        <v>5.57E-2</v>
      </c>
      <c r="AB142" s="138">
        <v>2.76E-2</v>
      </c>
      <c r="AC142" s="35">
        <v>1.37E-2</v>
      </c>
    </row>
    <row r="143" spans="1:29">
      <c r="A143" s="94" t="s">
        <v>610</v>
      </c>
      <c r="B143" s="35">
        <v>5.6800000000000003E-2</v>
      </c>
      <c r="C143" s="35">
        <v>5.3900000000000003E-2</v>
      </c>
      <c r="D143" s="35">
        <v>3.1E-2</v>
      </c>
      <c r="E143" s="35">
        <v>4.1799999999999997E-2</v>
      </c>
      <c r="F143" s="35">
        <v>2.2499999999999999E-2</v>
      </c>
      <c r="G143" s="35">
        <v>6.4600000000000005E-2</v>
      </c>
      <c r="H143" s="35">
        <v>6.54E-2</v>
      </c>
      <c r="I143" s="35">
        <v>6.4299999999999996E-2</v>
      </c>
      <c r="J143" s="35">
        <v>5.2999999999999999E-2</v>
      </c>
      <c r="K143" s="35">
        <v>8.0600000000000005E-2</v>
      </c>
      <c r="L143" s="35">
        <v>5.1499999999999997E-2</v>
      </c>
      <c r="M143" s="35">
        <v>3.7100000000000001E-2</v>
      </c>
      <c r="N143" s="35">
        <v>7.8100000000000003E-2</v>
      </c>
      <c r="O143" s="35">
        <v>2.8000000000000001E-2</v>
      </c>
      <c r="P143" s="35">
        <v>5.1700000000000003E-2</v>
      </c>
      <c r="Q143" s="35">
        <v>9.5899999999999999E-2</v>
      </c>
      <c r="R143" s="35">
        <v>0.13600000000000001</v>
      </c>
      <c r="S143" s="35">
        <v>7.2099999999999997E-2</v>
      </c>
      <c r="T143" s="35">
        <v>7.4899999999999994E-2</v>
      </c>
      <c r="U143" s="35">
        <v>0.111</v>
      </c>
      <c r="V143" s="35">
        <v>9.2799999999999994E-2</v>
      </c>
      <c r="W143" s="35">
        <v>9.3700000000000006E-2</v>
      </c>
      <c r="X143" s="202">
        <v>0.09</v>
      </c>
      <c r="Y143" s="204">
        <v>3.73E-2</v>
      </c>
      <c r="Z143" s="35">
        <v>6.9000000000000006E-2</v>
      </c>
      <c r="AA143" s="35">
        <v>6.5199999999999994E-2</v>
      </c>
      <c r="AB143" s="138">
        <v>0.14699999999999999</v>
      </c>
      <c r="AC143" s="35">
        <v>5.6800000000000003E-2</v>
      </c>
    </row>
    <row r="144" spans="1:29">
      <c r="A144" s="94" t="s">
        <v>615</v>
      </c>
      <c r="B144" s="36">
        <v>2.3900000000000002E-3</v>
      </c>
      <c r="C144" s="36">
        <v>2.1099999999999999E-3</v>
      </c>
      <c r="D144" s="5"/>
      <c r="E144" s="5"/>
      <c r="F144" s="5"/>
      <c r="G144" s="5"/>
      <c r="H144" s="5"/>
      <c r="I144" s="5"/>
      <c r="J144" s="36">
        <v>3.0999999999999999E-3</v>
      </c>
      <c r="K144" s="5"/>
      <c r="L144" s="5"/>
      <c r="M144" s="5"/>
      <c r="N144" s="5"/>
      <c r="O144" s="5"/>
      <c r="P144" s="5"/>
      <c r="Q144" s="5"/>
      <c r="R144" s="5"/>
      <c r="S144" s="5"/>
      <c r="T144" s="5"/>
      <c r="U144" s="36">
        <v>2.3500000000000001E-3</v>
      </c>
      <c r="V144" s="5"/>
      <c r="W144" s="5"/>
      <c r="X144" s="201"/>
      <c r="Y144" s="139">
        <v>2.32E-3</v>
      </c>
      <c r="Z144" s="5"/>
      <c r="AA144" s="5"/>
      <c r="AB144" s="114"/>
      <c r="AC144" s="36">
        <v>2.3900000000000002E-3</v>
      </c>
    </row>
    <row r="145" spans="1:29">
      <c r="A145" s="94" t="s">
        <v>616</v>
      </c>
      <c r="B145" s="35">
        <v>6.7900000000000002E-2</v>
      </c>
      <c r="C145" s="35">
        <v>3.3099999999999997E-2</v>
      </c>
      <c r="D145" s="35">
        <v>1.9699999999999999E-2</v>
      </c>
      <c r="E145" s="35">
        <v>7.4899999999999994E-2</v>
      </c>
      <c r="F145" s="35">
        <v>1.7000000000000001E-2</v>
      </c>
      <c r="G145" s="35">
        <v>4.4600000000000001E-2</v>
      </c>
      <c r="H145" s="35">
        <v>3.1899999999999998E-2</v>
      </c>
      <c r="I145" s="35">
        <v>3.8899999999999997E-2</v>
      </c>
      <c r="J145" s="35">
        <v>5.1299999999999998E-2</v>
      </c>
      <c r="K145" s="35">
        <v>8.4699999999999998E-2</v>
      </c>
      <c r="L145" s="35">
        <v>4.5900000000000003E-2</v>
      </c>
      <c r="M145" s="35">
        <v>7.2300000000000003E-2</v>
      </c>
      <c r="N145" s="35">
        <v>3.7900000000000003E-2</v>
      </c>
      <c r="O145" s="35">
        <v>9.5699999999999993E-2</v>
      </c>
      <c r="P145" s="35">
        <v>3.1800000000000002E-2</v>
      </c>
      <c r="Q145" s="35">
        <v>4.9700000000000001E-2</v>
      </c>
      <c r="R145" s="35">
        <v>1.5599999999999999E-2</v>
      </c>
      <c r="S145" s="35">
        <v>6.7000000000000004E-2</v>
      </c>
      <c r="T145" s="35">
        <v>5.96E-2</v>
      </c>
      <c r="U145" s="35">
        <v>3.9E-2</v>
      </c>
      <c r="V145" s="35">
        <v>4.0599999999999997E-2</v>
      </c>
      <c r="W145" s="35">
        <v>3.5700000000000003E-2</v>
      </c>
      <c r="X145" s="202">
        <v>5.8200000000000002E-2</v>
      </c>
      <c r="Y145" s="204">
        <v>3.1099999999999999E-2</v>
      </c>
      <c r="Z145" s="35">
        <v>4.7199999999999999E-2</v>
      </c>
      <c r="AA145" s="35">
        <v>3.3599999999999998E-2</v>
      </c>
      <c r="AB145" s="138">
        <v>0.11</v>
      </c>
      <c r="AC145" s="35">
        <v>6.7900000000000002E-2</v>
      </c>
    </row>
    <row r="146" spans="1:29">
      <c r="A146" s="94" t="s">
        <v>620</v>
      </c>
      <c r="B146" s="35">
        <v>2.0500000000000001E-2</v>
      </c>
      <c r="C146" s="3"/>
      <c r="D146" s="3"/>
      <c r="E146" s="3"/>
      <c r="F146" s="3"/>
      <c r="G146" s="3"/>
      <c r="H146" s="3"/>
      <c r="I146" s="3"/>
      <c r="J146" s="3"/>
      <c r="K146" s="3"/>
      <c r="L146" s="3"/>
      <c r="M146" s="3"/>
      <c r="N146" s="3"/>
      <c r="O146" s="3"/>
      <c r="P146" s="3"/>
      <c r="Q146" s="3"/>
      <c r="R146" s="3"/>
      <c r="S146" s="3"/>
      <c r="T146" s="3"/>
      <c r="U146" s="3"/>
      <c r="V146" s="35">
        <v>2.4599999999999999E-3</v>
      </c>
      <c r="W146" s="35">
        <v>2.7699999999999999E-3</v>
      </c>
      <c r="X146" s="202">
        <v>1.83E-2</v>
      </c>
      <c r="Y146" s="141"/>
      <c r="Z146" s="3"/>
      <c r="AA146" s="3"/>
      <c r="AB146" s="142"/>
      <c r="AC146" s="35">
        <v>2.0500000000000001E-2</v>
      </c>
    </row>
    <row r="147" spans="1:29">
      <c r="A147" s="94" t="s">
        <v>623</v>
      </c>
      <c r="B147" s="36">
        <v>4.1200000000000001E-2</v>
      </c>
      <c r="C147" s="36">
        <v>2.5399999999999999E-2</v>
      </c>
      <c r="D147" s="36">
        <v>1.6299999999999999E-2</v>
      </c>
      <c r="E147" s="5"/>
      <c r="F147" s="36">
        <v>1.5800000000000002E-2</v>
      </c>
      <c r="G147" s="36">
        <v>2.3400000000000001E-2</v>
      </c>
      <c r="H147" s="36">
        <v>2.2100000000000002E-2</v>
      </c>
      <c r="I147" s="36">
        <v>1.66E-2</v>
      </c>
      <c r="J147" s="36">
        <v>2.01E-2</v>
      </c>
      <c r="K147" s="5"/>
      <c r="L147" s="5"/>
      <c r="M147" s="5"/>
      <c r="N147" s="5"/>
      <c r="O147" s="5"/>
      <c r="P147" s="36">
        <v>1.5299999999999999E-2</v>
      </c>
      <c r="Q147" s="5"/>
      <c r="R147" s="36">
        <v>1.5299999999999999E-2</v>
      </c>
      <c r="S147" s="36">
        <v>2.98E-2</v>
      </c>
      <c r="T147" s="36">
        <v>2.3699999999999999E-2</v>
      </c>
      <c r="U147" s="36">
        <v>3.7199999999999997E-2</v>
      </c>
      <c r="V147" s="36">
        <v>2.6100000000000002E-2</v>
      </c>
      <c r="W147" s="36">
        <v>2.2700000000000001E-2</v>
      </c>
      <c r="X147" s="200">
        <v>1.9199999999999998E-2</v>
      </c>
      <c r="Y147" s="139">
        <v>2.7900000000000001E-2</v>
      </c>
      <c r="Z147" s="36">
        <v>2.9100000000000001E-2</v>
      </c>
      <c r="AA147" s="36">
        <v>3.1699999999999999E-2</v>
      </c>
      <c r="AB147" s="114"/>
      <c r="AC147" s="36">
        <v>4.1200000000000001E-2</v>
      </c>
    </row>
    <row r="148" spans="1:29">
      <c r="A148" s="94" t="s">
        <v>628</v>
      </c>
      <c r="B148" s="35">
        <v>3.4500000000000003E-2</v>
      </c>
      <c r="C148" s="35">
        <v>2.5399999999999999E-2</v>
      </c>
      <c r="D148" s="35">
        <v>1.7899999999999999E-2</v>
      </c>
      <c r="E148" s="35">
        <v>0.28499999999999998</v>
      </c>
      <c r="F148" s="35">
        <v>4.58E-2</v>
      </c>
      <c r="G148" s="35">
        <v>2.5100000000000001E-2</v>
      </c>
      <c r="H148" s="35">
        <v>2.1100000000000001E-2</v>
      </c>
      <c r="I148" s="35">
        <v>2.7699999999999999E-2</v>
      </c>
      <c r="J148" s="35">
        <v>3.8800000000000001E-2</v>
      </c>
      <c r="K148" s="35">
        <v>2.7400000000000001E-2</v>
      </c>
      <c r="L148" s="35">
        <v>3.09E-2</v>
      </c>
      <c r="M148" s="35">
        <v>5.7200000000000001E-2</v>
      </c>
      <c r="N148" s="35">
        <v>3.1199999999999999E-2</v>
      </c>
      <c r="O148" s="35">
        <v>3.8600000000000002E-2</v>
      </c>
      <c r="P148" s="35">
        <v>4.7300000000000002E-2</v>
      </c>
      <c r="Q148" s="35">
        <v>2.29E-2</v>
      </c>
      <c r="R148" s="35">
        <v>6.2E-2</v>
      </c>
      <c r="S148" s="35">
        <v>2.01E-2</v>
      </c>
      <c r="T148" s="35">
        <v>2.93E-2</v>
      </c>
      <c r="U148" s="35">
        <v>4.4200000000000003E-2</v>
      </c>
      <c r="V148" s="35">
        <v>2.8500000000000001E-2</v>
      </c>
      <c r="W148" s="35">
        <v>4.0800000000000003E-2</v>
      </c>
      <c r="X148" s="202">
        <v>1.9E-2</v>
      </c>
      <c r="Y148" s="204">
        <v>2.3300000000000001E-2</v>
      </c>
      <c r="Z148" s="35">
        <v>5.5599999999999997E-2</v>
      </c>
      <c r="AA148" s="35">
        <v>3.7100000000000001E-2</v>
      </c>
      <c r="AB148" s="138">
        <v>9.6299999999999997E-2</v>
      </c>
      <c r="AC148" s="35">
        <v>3.4500000000000003E-2</v>
      </c>
    </row>
    <row r="149" spans="1:29">
      <c r="A149" s="94" t="s">
        <v>635</v>
      </c>
      <c r="B149" s="36">
        <v>8.4400000000000002E-4</v>
      </c>
      <c r="C149" s="36">
        <v>3.98E-3</v>
      </c>
      <c r="D149" s="36">
        <v>1.34E-3</v>
      </c>
      <c r="E149" s="5"/>
      <c r="F149" s="36">
        <v>6.7199999999999996E-4</v>
      </c>
      <c r="G149" s="36">
        <v>1.14E-3</v>
      </c>
      <c r="H149" s="36">
        <v>1.3500000000000001E-3</v>
      </c>
      <c r="I149" s="5"/>
      <c r="J149" s="36">
        <v>1.5399999999999999E-3</v>
      </c>
      <c r="K149" s="5"/>
      <c r="L149" s="5"/>
      <c r="M149" s="5"/>
      <c r="N149" s="5"/>
      <c r="O149" s="5"/>
      <c r="P149" s="5"/>
      <c r="Q149" s="5"/>
      <c r="R149" s="5"/>
      <c r="S149" s="5"/>
      <c r="T149" s="5"/>
      <c r="U149" s="36">
        <v>2.0899999999999998E-3</v>
      </c>
      <c r="V149" s="5"/>
      <c r="W149" s="5"/>
      <c r="X149" s="201"/>
      <c r="Y149" s="139">
        <v>3.8700000000000002E-3</v>
      </c>
      <c r="Z149" s="36">
        <v>1.8400000000000001E-3</v>
      </c>
      <c r="AA149" s="36">
        <v>1.4400000000000001E-3</v>
      </c>
      <c r="AB149" s="114"/>
      <c r="AC149" s="36">
        <v>8.4400000000000002E-4</v>
      </c>
    </row>
    <row r="150" spans="1:29">
      <c r="A150" s="94" t="s">
        <v>636</v>
      </c>
      <c r="B150" s="35">
        <v>3.3500000000000001E-3</v>
      </c>
      <c r="C150" s="35">
        <v>5.7400000000000003E-3</v>
      </c>
      <c r="D150" s="3"/>
      <c r="E150" s="3"/>
      <c r="F150" s="3"/>
      <c r="G150" s="3"/>
      <c r="H150" s="3"/>
      <c r="I150" s="3"/>
      <c r="J150" s="35">
        <v>4.3800000000000002E-3</v>
      </c>
      <c r="K150" s="3"/>
      <c r="L150" s="3"/>
      <c r="M150" s="3"/>
      <c r="N150" s="3"/>
      <c r="O150" s="3"/>
      <c r="P150" s="3"/>
      <c r="Q150" s="3"/>
      <c r="R150" s="3"/>
      <c r="S150" s="3"/>
      <c r="T150" s="3"/>
      <c r="U150" s="35">
        <v>3.5500000000000002E-3</v>
      </c>
      <c r="V150" s="3"/>
      <c r="W150" s="3"/>
      <c r="X150" s="203"/>
      <c r="Y150" s="204">
        <v>5.2300000000000003E-3</v>
      </c>
      <c r="Z150" s="35">
        <v>6.79E-3</v>
      </c>
      <c r="AA150" s="3"/>
      <c r="AB150" s="142"/>
      <c r="AC150" s="35">
        <v>3.3500000000000001E-3</v>
      </c>
    </row>
    <row r="151" spans="1:29">
      <c r="A151" s="94" t="s">
        <v>640</v>
      </c>
      <c r="B151" s="35">
        <v>6.2100000000000002E-3</v>
      </c>
      <c r="C151" s="3"/>
      <c r="D151" s="3"/>
      <c r="E151" s="3"/>
      <c r="F151" s="3"/>
      <c r="G151" s="3"/>
      <c r="H151" s="3"/>
      <c r="I151" s="3"/>
      <c r="J151" s="35">
        <v>2.7499999999999998E-3</v>
      </c>
      <c r="K151" s="3"/>
      <c r="L151" s="3"/>
      <c r="M151" s="3"/>
      <c r="N151" s="3"/>
      <c r="O151" s="3"/>
      <c r="P151" s="3"/>
      <c r="Q151" s="3"/>
      <c r="R151" s="3"/>
      <c r="S151" s="3"/>
      <c r="T151" s="3"/>
      <c r="U151" s="3"/>
      <c r="V151" s="3"/>
      <c r="W151" s="3"/>
      <c r="X151" s="203"/>
      <c r="Y151" s="204">
        <v>2.5600000000000002E-3</v>
      </c>
      <c r="Z151" s="3"/>
      <c r="AA151" s="3"/>
      <c r="AB151" s="142"/>
      <c r="AC151" s="35">
        <v>6.2100000000000002E-3</v>
      </c>
    </row>
    <row r="152" spans="1:29">
      <c r="A152" s="94" t="s">
        <v>641</v>
      </c>
      <c r="B152" s="36">
        <v>4.9700000000000001E-2</v>
      </c>
      <c r="C152" s="5"/>
      <c r="D152" s="5"/>
      <c r="E152" s="36">
        <v>1.9400000000000001E-2</v>
      </c>
      <c r="F152" s="36">
        <v>2.4E-2</v>
      </c>
      <c r="G152" s="5"/>
      <c r="H152" s="5"/>
      <c r="I152" s="5"/>
      <c r="J152" s="5"/>
      <c r="K152" s="5"/>
      <c r="L152" s="5"/>
      <c r="M152" s="5"/>
      <c r="N152" s="5"/>
      <c r="O152" s="36">
        <v>2.7900000000000001E-2</v>
      </c>
      <c r="P152" s="36">
        <v>7.22E-2</v>
      </c>
      <c r="Q152" s="5"/>
      <c r="R152" s="5"/>
      <c r="S152" s="5"/>
      <c r="T152" s="5"/>
      <c r="U152" s="5"/>
      <c r="V152" s="5"/>
      <c r="W152" s="5"/>
      <c r="X152" s="201"/>
      <c r="Y152" s="139">
        <v>4.4600000000000001E-2</v>
      </c>
      <c r="Z152" s="36">
        <v>5.0999999999999997E-2</v>
      </c>
      <c r="AA152" s="36">
        <v>5.45E-2</v>
      </c>
      <c r="AB152" s="114"/>
      <c r="AC152" s="36">
        <v>4.9700000000000001E-2</v>
      </c>
    </row>
    <row r="153" spans="1:29">
      <c r="A153" s="94" t="s">
        <v>642</v>
      </c>
      <c r="B153" s="35">
        <v>8.1799999999999998E-2</v>
      </c>
      <c r="C153" s="35">
        <v>5.0700000000000002E-2</v>
      </c>
      <c r="D153" s="35">
        <v>1.89E-2</v>
      </c>
      <c r="E153" s="3"/>
      <c r="F153" s="3"/>
      <c r="G153" s="35">
        <v>6.5699999999999995E-2</v>
      </c>
      <c r="H153" s="35">
        <v>6.4600000000000005E-2</v>
      </c>
      <c r="I153" s="35">
        <v>6.9699999999999998E-2</v>
      </c>
      <c r="J153" s="35">
        <v>6.2399999999999997E-2</v>
      </c>
      <c r="K153" s="35">
        <v>0.21099999999999999</v>
      </c>
      <c r="L153" s="35">
        <v>0.11700000000000001</v>
      </c>
      <c r="M153" s="35">
        <v>5.5399999999999998E-2</v>
      </c>
      <c r="N153" s="35">
        <v>9.3200000000000005E-2</v>
      </c>
      <c r="O153" s="3"/>
      <c r="P153" s="3"/>
      <c r="Q153" s="35">
        <v>0.13500000000000001</v>
      </c>
      <c r="R153" s="35">
        <v>3.4299999999999997E-2</v>
      </c>
      <c r="S153" s="35">
        <v>7.5200000000000003E-2</v>
      </c>
      <c r="T153" s="35">
        <v>9.6100000000000005E-2</v>
      </c>
      <c r="U153" s="35">
        <v>7.6399999999999996E-2</v>
      </c>
      <c r="V153" s="35">
        <v>5.3100000000000001E-2</v>
      </c>
      <c r="W153" s="35">
        <v>6.7100000000000007E-2</v>
      </c>
      <c r="X153" s="202">
        <v>0.113</v>
      </c>
      <c r="Y153" s="141"/>
      <c r="Z153" s="3"/>
      <c r="AA153" s="3"/>
      <c r="AB153" s="142"/>
      <c r="AC153" s="35">
        <v>8.1799999999999998E-2</v>
      </c>
    </row>
    <row r="154" spans="1:29">
      <c r="A154" s="94" t="s">
        <v>649</v>
      </c>
      <c r="B154" s="5"/>
      <c r="C154" s="36">
        <v>4.8399999999999997E-3</v>
      </c>
      <c r="D154" s="36">
        <v>3.47E-3</v>
      </c>
      <c r="E154" s="5"/>
      <c r="F154" s="5"/>
      <c r="G154" s="36">
        <v>4.5300000000000002E-3</v>
      </c>
      <c r="H154" s="5"/>
      <c r="I154" s="5"/>
      <c r="J154" s="36">
        <v>3.32E-3</v>
      </c>
      <c r="K154" s="5"/>
      <c r="L154" s="5"/>
      <c r="M154" s="5"/>
      <c r="N154" s="5"/>
      <c r="O154" s="5"/>
      <c r="P154" s="5"/>
      <c r="Q154" s="5"/>
      <c r="R154" s="5"/>
      <c r="S154" s="5"/>
      <c r="T154" s="5"/>
      <c r="U154" s="36">
        <v>2.9299999999999999E-3</v>
      </c>
      <c r="V154" s="5"/>
      <c r="W154" s="5"/>
      <c r="X154" s="201"/>
      <c r="Y154" s="139">
        <v>2.96E-3</v>
      </c>
      <c r="Z154" s="5"/>
      <c r="AA154" s="5"/>
      <c r="AB154" s="114"/>
      <c r="AC154" s="5"/>
    </row>
    <row r="155" spans="1:29">
      <c r="A155" s="94" t="s">
        <v>650</v>
      </c>
      <c r="B155" s="35">
        <v>1.48E-3</v>
      </c>
      <c r="C155" s="35">
        <v>3.2699999999999999E-3</v>
      </c>
      <c r="D155" s="35">
        <v>1.73E-3</v>
      </c>
      <c r="E155" s="3"/>
      <c r="F155" s="3"/>
      <c r="G155" s="35">
        <v>1.07E-3</v>
      </c>
      <c r="H155" s="35">
        <v>1.3799999999999999E-3</v>
      </c>
      <c r="I155" s="3"/>
      <c r="J155" s="35">
        <v>2.0799999999999998E-3</v>
      </c>
      <c r="K155" s="3"/>
      <c r="L155" s="3"/>
      <c r="M155" s="3"/>
      <c r="N155" s="3"/>
      <c r="O155" s="3"/>
      <c r="P155" s="3"/>
      <c r="Q155" s="3"/>
      <c r="R155" s="3"/>
      <c r="S155" s="3"/>
      <c r="T155" s="3"/>
      <c r="U155" s="35">
        <v>2.1199999999999999E-3</v>
      </c>
      <c r="V155" s="3"/>
      <c r="W155" s="3"/>
      <c r="X155" s="202">
        <v>7.27E-4</v>
      </c>
      <c r="Y155" s="204">
        <v>3.0100000000000001E-3</v>
      </c>
      <c r="Z155" s="35">
        <v>1.1199999999999999E-3</v>
      </c>
      <c r="AA155" s="35">
        <v>1.09E-3</v>
      </c>
      <c r="AB155" s="142"/>
      <c r="AC155" s="35">
        <v>1.48E-3</v>
      </c>
    </row>
    <row r="156" spans="1:29">
      <c r="A156" s="94" t="s">
        <v>651</v>
      </c>
      <c r="B156" s="5"/>
      <c r="C156" s="5"/>
      <c r="D156" s="5"/>
      <c r="E156" s="5"/>
      <c r="F156" s="5"/>
      <c r="G156" s="5"/>
      <c r="H156" s="5"/>
      <c r="I156" s="5"/>
      <c r="J156" s="5"/>
      <c r="K156" s="5"/>
      <c r="L156" s="5"/>
      <c r="M156" s="5"/>
      <c r="N156" s="5"/>
      <c r="O156" s="5"/>
      <c r="P156" s="5"/>
      <c r="Q156" s="5"/>
      <c r="R156" s="5"/>
      <c r="S156" s="5"/>
      <c r="T156" s="5"/>
      <c r="U156" s="5"/>
      <c r="V156" s="5"/>
      <c r="W156" s="5"/>
      <c r="X156" s="201"/>
      <c r="Y156" s="113"/>
      <c r="Z156" s="5"/>
      <c r="AA156" s="5"/>
      <c r="AB156" s="114"/>
      <c r="AC156" s="5"/>
    </row>
    <row r="157" spans="1:29">
      <c r="A157" s="94" t="s">
        <v>652</v>
      </c>
      <c r="B157" s="35">
        <v>2.2399999999999998E-3</v>
      </c>
      <c r="C157" s="35">
        <v>4.5199999999999997E-3</v>
      </c>
      <c r="D157" s="35">
        <v>2.33E-3</v>
      </c>
      <c r="E157" s="3"/>
      <c r="F157" s="3"/>
      <c r="G157" s="35">
        <v>3.3800000000000002E-3</v>
      </c>
      <c r="H157" s="35">
        <v>1.81E-3</v>
      </c>
      <c r="I157" s="3"/>
      <c r="J157" s="35">
        <v>2.3999999999999998E-3</v>
      </c>
      <c r="K157" s="3"/>
      <c r="L157" s="3"/>
      <c r="M157" s="3"/>
      <c r="N157" s="3"/>
      <c r="O157" s="3"/>
      <c r="P157" s="3"/>
      <c r="Q157" s="3"/>
      <c r="R157" s="3"/>
      <c r="S157" s="3"/>
      <c r="T157" s="3"/>
      <c r="U157" s="35">
        <v>2.3900000000000002E-3</v>
      </c>
      <c r="V157" s="3"/>
      <c r="W157" s="3"/>
      <c r="X157" s="203"/>
      <c r="Y157" s="204">
        <v>4.7299999999999998E-3</v>
      </c>
      <c r="Z157" s="35">
        <v>2.0699999999999998E-3</v>
      </c>
      <c r="AA157" s="3"/>
      <c r="AB157" s="142"/>
      <c r="AC157" s="35">
        <v>2.2399999999999998E-3</v>
      </c>
    </row>
    <row r="158" spans="1:29">
      <c r="A158" s="94" t="s">
        <v>653</v>
      </c>
      <c r="B158" s="5"/>
      <c r="C158" s="5"/>
      <c r="D158" s="5"/>
      <c r="E158" s="5"/>
      <c r="F158" s="5"/>
      <c r="G158" s="5"/>
      <c r="H158" s="5"/>
      <c r="I158" s="5"/>
      <c r="J158" s="5"/>
      <c r="K158" s="5"/>
      <c r="L158" s="5"/>
      <c r="M158" s="5"/>
      <c r="N158" s="5"/>
      <c r="O158" s="5"/>
      <c r="P158" s="5"/>
      <c r="Q158" s="5"/>
      <c r="R158" s="5"/>
      <c r="S158" s="5"/>
      <c r="T158" s="5"/>
      <c r="U158" s="5"/>
      <c r="V158" s="5"/>
      <c r="W158" s="5"/>
      <c r="X158" s="201"/>
      <c r="Y158" s="113"/>
      <c r="Z158" s="5"/>
      <c r="AA158" s="5"/>
      <c r="AB158" s="114"/>
      <c r="AC158" s="5"/>
    </row>
    <row r="159" spans="1:29">
      <c r="A159" s="94" t="s">
        <v>654</v>
      </c>
      <c r="B159" s="35">
        <v>2.3600000000000001E-3</v>
      </c>
      <c r="C159" s="35">
        <v>5.1200000000000004E-3</v>
      </c>
      <c r="D159" s="3"/>
      <c r="E159" s="3"/>
      <c r="F159" s="3"/>
      <c r="G159" s="3"/>
      <c r="H159" s="3"/>
      <c r="I159" s="3"/>
      <c r="J159" s="35">
        <v>4.5199999999999997E-3</v>
      </c>
      <c r="K159" s="3"/>
      <c r="L159" s="3"/>
      <c r="M159" s="3"/>
      <c r="N159" s="3"/>
      <c r="O159" s="3"/>
      <c r="P159" s="3"/>
      <c r="Q159" s="3"/>
      <c r="R159" s="3"/>
      <c r="S159" s="3"/>
      <c r="T159" s="3"/>
      <c r="U159" s="35">
        <v>4.28E-3</v>
      </c>
      <c r="V159" s="3"/>
      <c r="W159" s="3"/>
      <c r="X159" s="203"/>
      <c r="Y159" s="204">
        <v>3.3E-3</v>
      </c>
      <c r="Z159" s="35">
        <v>1.5299999999999999E-3</v>
      </c>
      <c r="AA159" s="3"/>
      <c r="AB159" s="142"/>
      <c r="AC159" s="35">
        <v>2.3600000000000001E-3</v>
      </c>
    </row>
    <row r="160" spans="1:29">
      <c r="A160" s="94" t="s">
        <v>657</v>
      </c>
      <c r="B160" s="36">
        <v>1.0699999999999999E-2</v>
      </c>
      <c r="C160" s="36">
        <v>9.2300000000000004E-3</v>
      </c>
      <c r="D160" s="36">
        <v>6.6400000000000001E-3</v>
      </c>
      <c r="E160" s="36">
        <v>1.6500000000000001E-2</v>
      </c>
      <c r="F160" s="36">
        <v>1.26E-2</v>
      </c>
      <c r="G160" s="36">
        <v>8.3800000000000003E-3</v>
      </c>
      <c r="H160" s="36">
        <v>6.5100000000000002E-3</v>
      </c>
      <c r="I160" s="36">
        <v>1.18E-2</v>
      </c>
      <c r="J160" s="36">
        <v>8.9999999999999993E-3</v>
      </c>
      <c r="K160" s="5"/>
      <c r="L160" s="36">
        <v>5.5199999999999997E-3</v>
      </c>
      <c r="M160" s="36">
        <v>1.0200000000000001E-2</v>
      </c>
      <c r="N160" s="36">
        <v>8.0099999999999998E-3</v>
      </c>
      <c r="O160" s="5"/>
      <c r="P160" s="36">
        <v>1.4999999999999999E-2</v>
      </c>
      <c r="Q160" s="5"/>
      <c r="R160" s="36">
        <v>1.9699999999999999E-2</v>
      </c>
      <c r="S160" s="36">
        <v>6.7400000000000003E-3</v>
      </c>
      <c r="T160" s="36">
        <v>8.3300000000000006E-3</v>
      </c>
      <c r="U160" s="36">
        <v>1.1900000000000001E-2</v>
      </c>
      <c r="V160" s="36">
        <v>6.5199999999999998E-3</v>
      </c>
      <c r="W160" s="36">
        <v>1.3599999999999999E-2</v>
      </c>
      <c r="X160" s="200">
        <v>7.5900000000000004E-3</v>
      </c>
      <c r="Y160" s="139">
        <v>9.2700000000000005E-3</v>
      </c>
      <c r="Z160" s="36">
        <v>1.47E-2</v>
      </c>
      <c r="AA160" s="5"/>
      <c r="AB160" s="140">
        <v>1.52E-2</v>
      </c>
      <c r="AC160" s="36">
        <v>1.0699999999999999E-2</v>
      </c>
    </row>
    <row r="161" spans="1:29">
      <c r="A161" s="94" t="s">
        <v>658</v>
      </c>
      <c r="B161" s="3"/>
      <c r="C161" s="3"/>
      <c r="D161" s="3"/>
      <c r="E161" s="3"/>
      <c r="F161" s="3"/>
      <c r="G161" s="3"/>
      <c r="H161" s="3"/>
      <c r="I161" s="35">
        <v>5.04E-2</v>
      </c>
      <c r="J161" s="35">
        <v>4.9200000000000001E-2</v>
      </c>
      <c r="K161" s="3"/>
      <c r="L161" s="35">
        <v>4.36E-2</v>
      </c>
      <c r="M161" s="3"/>
      <c r="N161" s="3"/>
      <c r="O161" s="3"/>
      <c r="P161" s="3"/>
      <c r="Q161" s="3"/>
      <c r="R161" s="3"/>
      <c r="S161" s="3"/>
      <c r="T161" s="3"/>
      <c r="U161" s="3"/>
      <c r="V161" s="3"/>
      <c r="W161" s="3"/>
      <c r="X161" s="203"/>
      <c r="Y161" s="141"/>
      <c r="Z161" s="3"/>
      <c r="AA161" s="3"/>
      <c r="AB161" s="142"/>
      <c r="AC161" s="3"/>
    </row>
    <row r="162" spans="1:29">
      <c r="A162" s="94" t="s">
        <v>669</v>
      </c>
      <c r="B162" s="5"/>
      <c r="C162" s="36">
        <v>4.5699999999999998E-2</v>
      </c>
      <c r="D162" s="36">
        <v>4.2200000000000001E-2</v>
      </c>
      <c r="E162" s="5"/>
      <c r="F162" s="5"/>
      <c r="G162" s="36">
        <v>3.4200000000000001E-2</v>
      </c>
      <c r="H162" s="36">
        <v>3.2399999999999998E-2</v>
      </c>
      <c r="I162" s="5"/>
      <c r="J162" s="5"/>
      <c r="K162" s="5"/>
      <c r="L162" s="5"/>
      <c r="M162" s="5"/>
      <c r="N162" s="5"/>
      <c r="O162" s="5"/>
      <c r="P162" s="5"/>
      <c r="Q162" s="5"/>
      <c r="R162" s="5"/>
      <c r="S162" s="5"/>
      <c r="T162" s="5"/>
      <c r="U162" s="5"/>
      <c r="V162" s="5"/>
      <c r="W162" s="5"/>
      <c r="X162" s="201"/>
      <c r="Y162" s="139">
        <v>5.9200000000000003E-2</v>
      </c>
      <c r="Z162" s="36">
        <v>8.2900000000000001E-2</v>
      </c>
      <c r="AA162" s="5"/>
      <c r="AB162" s="114"/>
      <c r="AC162" s="5"/>
    </row>
    <row r="163" spans="1:29">
      <c r="A163" s="94" t="s">
        <v>673</v>
      </c>
      <c r="B163" s="5"/>
      <c r="C163" s="36">
        <v>1.1900000000000001E-2</v>
      </c>
      <c r="D163" s="36">
        <v>5.45E-3</v>
      </c>
      <c r="E163" s="5"/>
      <c r="F163" s="5"/>
      <c r="G163" s="5"/>
      <c r="H163" s="36">
        <v>3.7499999999999999E-3</v>
      </c>
      <c r="I163" s="5"/>
      <c r="J163" s="36">
        <v>3.5599999999999998E-3</v>
      </c>
      <c r="K163" s="5"/>
      <c r="L163" s="5"/>
      <c r="M163" s="5"/>
      <c r="N163" s="5"/>
      <c r="O163" s="5"/>
      <c r="P163" s="5"/>
      <c r="Q163" s="5"/>
      <c r="R163" s="5"/>
      <c r="S163" s="5"/>
      <c r="T163" s="5"/>
      <c r="U163" s="5"/>
      <c r="V163" s="5"/>
      <c r="W163" s="5"/>
      <c r="X163" s="201"/>
      <c r="Y163" s="139">
        <v>8.8800000000000007E-3</v>
      </c>
      <c r="Z163" s="5"/>
      <c r="AA163" s="5"/>
      <c r="AB163" s="114"/>
      <c r="AC163" s="5"/>
    </row>
    <row r="164" spans="1:29">
      <c r="A164" s="94" t="s">
        <v>677</v>
      </c>
      <c r="B164" s="36">
        <v>2.3999999999999998E-3</v>
      </c>
      <c r="C164" s="36">
        <v>4.7600000000000003E-3</v>
      </c>
      <c r="D164" s="36">
        <v>2.6700000000000001E-3</v>
      </c>
      <c r="E164" s="36">
        <v>1.33E-3</v>
      </c>
      <c r="F164" s="5"/>
      <c r="G164" s="36">
        <v>3.0899999999999999E-3</v>
      </c>
      <c r="H164" s="36">
        <v>3.1700000000000001E-3</v>
      </c>
      <c r="I164" s="36">
        <v>2.8E-3</v>
      </c>
      <c r="J164" s="36">
        <v>4.2500000000000003E-3</v>
      </c>
      <c r="K164" s="36">
        <v>3.14E-3</v>
      </c>
      <c r="L164" s="36">
        <v>2.2100000000000002E-3</v>
      </c>
      <c r="M164" s="36">
        <v>1.7799999999999999E-3</v>
      </c>
      <c r="N164" s="36">
        <v>3.13E-3</v>
      </c>
      <c r="O164" s="36">
        <v>2.2799999999999999E-3</v>
      </c>
      <c r="P164" s="5"/>
      <c r="Q164" s="36">
        <v>4.4400000000000004E-3</v>
      </c>
      <c r="R164" s="5"/>
      <c r="S164" s="5"/>
      <c r="T164" s="5"/>
      <c r="U164" s="5"/>
      <c r="V164" s="5"/>
      <c r="W164" s="5"/>
      <c r="X164" s="201"/>
      <c r="Y164" s="139">
        <v>3.65E-3</v>
      </c>
      <c r="Z164" s="36">
        <v>4.7699999999999999E-3</v>
      </c>
      <c r="AA164" s="36">
        <v>5.13E-3</v>
      </c>
      <c r="AB164" s="114"/>
      <c r="AC164" s="36">
        <v>2.3999999999999998E-3</v>
      </c>
    </row>
    <row r="165" spans="1:29">
      <c r="A165" s="94" t="s">
        <v>684</v>
      </c>
      <c r="B165" s="35">
        <v>0.47099999999999997</v>
      </c>
      <c r="C165" s="35">
        <v>8.3799999999999999E-2</v>
      </c>
      <c r="D165" s="35">
        <v>8.5800000000000001E-2</v>
      </c>
      <c r="E165" s="35">
        <v>1.29</v>
      </c>
      <c r="F165" s="35">
        <v>0.36499999999999999</v>
      </c>
      <c r="G165" s="35">
        <v>0.112</v>
      </c>
      <c r="H165" s="35">
        <v>8.0500000000000002E-2</v>
      </c>
      <c r="I165" s="35">
        <v>0.123</v>
      </c>
      <c r="J165" s="35">
        <v>0.30599999999999999</v>
      </c>
      <c r="K165" s="35">
        <v>0.184</v>
      </c>
      <c r="L165" s="35">
        <v>7.6600000000000001E-2</v>
      </c>
      <c r="M165" s="3"/>
      <c r="N165" s="35">
        <v>0.10299999999999999</v>
      </c>
      <c r="O165" s="35">
        <v>1.28</v>
      </c>
      <c r="P165" s="35">
        <v>0.379</v>
      </c>
      <c r="Q165" s="3"/>
      <c r="R165" s="35">
        <v>0.128</v>
      </c>
      <c r="S165" s="35">
        <v>6.8400000000000002E-2</v>
      </c>
      <c r="T165" s="35">
        <v>4.5400000000000003E-2</v>
      </c>
      <c r="U165" s="3"/>
      <c r="V165" s="3"/>
      <c r="W165" s="3"/>
      <c r="X165" s="203"/>
      <c r="Y165" s="204">
        <v>0.36</v>
      </c>
      <c r="Z165" s="35">
        <v>0.47899999999999998</v>
      </c>
      <c r="AA165" s="35">
        <v>0.34799999999999998</v>
      </c>
      <c r="AB165" s="138">
        <v>1.94</v>
      </c>
      <c r="AC165" s="35">
        <v>0.47099999999999997</v>
      </c>
    </row>
    <row r="166" spans="1:29">
      <c r="A166" s="94" t="s">
        <v>687</v>
      </c>
      <c r="B166" s="36">
        <v>6.2399999999999999E-3</v>
      </c>
      <c r="C166" s="36">
        <v>1.6299999999999999E-2</v>
      </c>
      <c r="D166" s="36">
        <v>1.06E-2</v>
      </c>
      <c r="E166" s="5"/>
      <c r="F166" s="5"/>
      <c r="G166" s="36">
        <v>1.01E-2</v>
      </c>
      <c r="H166" s="36">
        <v>9.5600000000000008E-3</v>
      </c>
      <c r="I166" s="36">
        <v>4.2100000000000002E-3</v>
      </c>
      <c r="J166" s="36">
        <v>9.7999999999999997E-3</v>
      </c>
      <c r="K166" s="5"/>
      <c r="L166" s="5"/>
      <c r="M166" s="5"/>
      <c r="N166" s="36">
        <v>3.46E-3</v>
      </c>
      <c r="O166" s="5"/>
      <c r="P166" s="5"/>
      <c r="Q166" s="5"/>
      <c r="R166" s="36">
        <v>3.8600000000000001E-3</v>
      </c>
      <c r="S166" s="36">
        <v>2.7000000000000001E-3</v>
      </c>
      <c r="T166" s="36">
        <v>5.6800000000000002E-3</v>
      </c>
      <c r="U166" s="36">
        <v>4.1099999999999999E-3</v>
      </c>
      <c r="V166" s="36">
        <v>2.2399999999999998E-3</v>
      </c>
      <c r="W166" s="36">
        <v>3.0400000000000002E-3</v>
      </c>
      <c r="X166" s="201"/>
      <c r="Y166" s="139">
        <v>1.11E-2</v>
      </c>
      <c r="Z166" s="36">
        <v>7.7499999999999999E-3</v>
      </c>
      <c r="AA166" s="36">
        <v>7.0600000000000003E-3</v>
      </c>
      <c r="AB166" s="114"/>
      <c r="AC166" s="36">
        <v>6.2399999999999999E-3</v>
      </c>
    </row>
    <row r="167" spans="1:29">
      <c r="A167" s="94" t="s">
        <v>691</v>
      </c>
      <c r="B167" s="36">
        <v>3.9800000000000002E-2</v>
      </c>
      <c r="C167" s="36">
        <v>1.6400000000000001E-2</v>
      </c>
      <c r="D167" s="36">
        <v>1.03E-2</v>
      </c>
      <c r="E167" s="36">
        <v>3.1800000000000002E-2</v>
      </c>
      <c r="F167" s="36">
        <v>3.9600000000000003E-2</v>
      </c>
      <c r="G167" s="36">
        <v>2.2700000000000001E-2</v>
      </c>
      <c r="H167" s="36">
        <v>2.4799999999999999E-2</v>
      </c>
      <c r="I167" s="36">
        <v>2.76E-2</v>
      </c>
      <c r="J167" s="36">
        <v>1.9199999999999998E-2</v>
      </c>
      <c r="K167" s="36">
        <v>3.4599999999999999E-2</v>
      </c>
      <c r="L167" s="36">
        <v>2.5600000000000001E-2</v>
      </c>
      <c r="M167" s="36">
        <v>2.0199999999999999E-2</v>
      </c>
      <c r="N167" s="36">
        <v>2.6200000000000001E-2</v>
      </c>
      <c r="O167" s="36">
        <v>3.7100000000000001E-2</v>
      </c>
      <c r="P167" s="36">
        <v>4.2500000000000003E-2</v>
      </c>
      <c r="Q167" s="36">
        <v>3.5700000000000003E-2</v>
      </c>
      <c r="R167" s="36">
        <v>5.6599999999999998E-2</v>
      </c>
      <c r="S167" s="36">
        <v>2.63E-2</v>
      </c>
      <c r="T167" s="36">
        <v>4.6100000000000002E-2</v>
      </c>
      <c r="U167" s="36">
        <v>3.4500000000000003E-2</v>
      </c>
      <c r="V167" s="36">
        <v>2.52E-2</v>
      </c>
      <c r="W167" s="36">
        <v>3.8199999999999998E-2</v>
      </c>
      <c r="X167" s="200">
        <v>3.7999999999999999E-2</v>
      </c>
      <c r="Y167" s="139">
        <v>3.2199999999999999E-2</v>
      </c>
      <c r="Z167" s="36">
        <v>4.53E-2</v>
      </c>
      <c r="AA167" s="36">
        <v>4.7699999999999999E-2</v>
      </c>
      <c r="AB167" s="140">
        <v>5.3100000000000001E-2</v>
      </c>
      <c r="AC167" s="36">
        <v>3.9800000000000002E-2</v>
      </c>
    </row>
    <row r="168" spans="1:29">
      <c r="A168" s="94" t="s">
        <v>694</v>
      </c>
      <c r="B168" s="35">
        <v>3.8500000000000001E-3</v>
      </c>
      <c r="C168" s="35">
        <v>7.45E-3</v>
      </c>
      <c r="D168" s="35">
        <v>4.2599999999999999E-3</v>
      </c>
      <c r="E168" s="3"/>
      <c r="F168" s="3"/>
      <c r="G168" s="3"/>
      <c r="H168" s="35">
        <v>4.3600000000000002E-3</v>
      </c>
      <c r="I168" s="3"/>
      <c r="J168" s="35">
        <v>5.8100000000000001E-3</v>
      </c>
      <c r="K168" s="3"/>
      <c r="L168" s="3"/>
      <c r="M168" s="3"/>
      <c r="N168" s="3"/>
      <c r="O168" s="3"/>
      <c r="P168" s="3"/>
      <c r="Q168" s="3"/>
      <c r="R168" s="3"/>
      <c r="S168" s="35">
        <v>1.7700000000000001E-3</v>
      </c>
      <c r="T168" s="3"/>
      <c r="U168" s="3"/>
      <c r="V168" s="3"/>
      <c r="W168" s="3"/>
      <c r="X168" s="203"/>
      <c r="Y168" s="204">
        <v>3.7000000000000002E-3</v>
      </c>
      <c r="Z168" s="35">
        <v>2.1900000000000001E-3</v>
      </c>
      <c r="AA168" s="3"/>
      <c r="AB168" s="142"/>
      <c r="AC168" s="35">
        <v>3.8500000000000001E-3</v>
      </c>
    </row>
    <row r="169" spans="1:29">
      <c r="A169" s="94" t="s">
        <v>702</v>
      </c>
      <c r="B169" s="35">
        <v>1.8699999999999999E-3</v>
      </c>
      <c r="C169" s="3"/>
      <c r="D169" s="3"/>
      <c r="E169" s="3"/>
      <c r="F169" s="3"/>
      <c r="G169" s="3"/>
      <c r="H169" s="3"/>
      <c r="I169" s="3"/>
      <c r="J169" s="3"/>
      <c r="K169" s="3"/>
      <c r="L169" s="3"/>
      <c r="M169" s="3"/>
      <c r="N169" s="3"/>
      <c r="O169" s="3"/>
      <c r="P169" s="3"/>
      <c r="Q169" s="3"/>
      <c r="R169" s="3"/>
      <c r="S169" s="3"/>
      <c r="T169" s="3"/>
      <c r="U169" s="35">
        <v>1.2999999999999999E-3</v>
      </c>
      <c r="V169" s="3"/>
      <c r="W169" s="3"/>
      <c r="X169" s="203"/>
      <c r="Y169" s="204">
        <v>1.9300000000000001E-3</v>
      </c>
      <c r="Z169" s="3"/>
      <c r="AA169" s="3"/>
      <c r="AB169" s="142"/>
      <c r="AC169" s="35">
        <v>1.8699999999999999E-3</v>
      </c>
    </row>
    <row r="170" spans="1:29">
      <c r="A170" s="94" t="s">
        <v>705</v>
      </c>
      <c r="B170" s="36">
        <v>8.3699999999999997E-2</v>
      </c>
      <c r="C170" s="36">
        <v>7.1400000000000005E-2</v>
      </c>
      <c r="D170" s="36">
        <v>5.4800000000000001E-2</v>
      </c>
      <c r="E170" s="36">
        <v>7.6200000000000004E-2</v>
      </c>
      <c r="F170" s="36">
        <v>5.21E-2</v>
      </c>
      <c r="G170" s="36">
        <v>8.8499999999999995E-2</v>
      </c>
      <c r="H170" s="36">
        <v>6.6799999999999998E-2</v>
      </c>
      <c r="I170" s="36">
        <v>6.3299999999999995E-2</v>
      </c>
      <c r="J170" s="36">
        <v>4.6699999999999998E-2</v>
      </c>
      <c r="K170" s="36">
        <v>4.9299999999999997E-2</v>
      </c>
      <c r="L170" s="36">
        <v>6.0100000000000001E-2</v>
      </c>
      <c r="M170" s="36">
        <v>3.5099999999999999E-2</v>
      </c>
      <c r="N170" s="36">
        <v>7.3899999999999993E-2</v>
      </c>
      <c r="O170" s="36">
        <v>8.0799999999999997E-2</v>
      </c>
      <c r="P170" s="36">
        <v>7.8100000000000003E-2</v>
      </c>
      <c r="Q170" s="36">
        <v>6.1899999999999997E-2</v>
      </c>
      <c r="R170" s="36">
        <v>2.18E-2</v>
      </c>
      <c r="S170" s="36">
        <v>4.1700000000000001E-2</v>
      </c>
      <c r="T170" s="36">
        <v>0.10100000000000001</v>
      </c>
      <c r="U170" s="36">
        <v>4.1599999999999998E-2</v>
      </c>
      <c r="V170" s="36">
        <v>4.6899999999999997E-2</v>
      </c>
      <c r="W170" s="36">
        <v>6.88E-2</v>
      </c>
      <c r="X170" s="200">
        <v>4.3200000000000002E-2</v>
      </c>
      <c r="Y170" s="139">
        <v>0.11</v>
      </c>
      <c r="Z170" s="36">
        <v>8.7900000000000006E-2</v>
      </c>
      <c r="AA170" s="36">
        <v>8.8900000000000007E-2</v>
      </c>
      <c r="AB170" s="140">
        <v>8.4199999999999997E-2</v>
      </c>
      <c r="AC170" s="36">
        <v>8.3699999999999997E-2</v>
      </c>
    </row>
    <row r="171" spans="1:29">
      <c r="A171" s="94" t="s">
        <v>707</v>
      </c>
      <c r="B171" s="36">
        <v>3.4200000000000001E-2</v>
      </c>
      <c r="C171" s="36">
        <v>5.1900000000000002E-2</v>
      </c>
      <c r="D171" s="36">
        <v>9.11E-2</v>
      </c>
      <c r="E171" s="36">
        <v>0.19900000000000001</v>
      </c>
      <c r="F171" s="36">
        <v>6.7299999999999999E-2</v>
      </c>
      <c r="G171" s="36">
        <v>1.14E-2</v>
      </c>
      <c r="H171" s="36">
        <v>2.9100000000000001E-2</v>
      </c>
      <c r="I171" s="36">
        <v>2.7900000000000001E-2</v>
      </c>
      <c r="J171" s="36">
        <v>2.4E-2</v>
      </c>
      <c r="K171" s="36">
        <v>1.0699999999999999E-2</v>
      </c>
      <c r="L171" s="36">
        <v>2.41E-2</v>
      </c>
      <c r="M171" s="5"/>
      <c r="N171" s="36">
        <v>2.9100000000000001E-2</v>
      </c>
      <c r="O171" s="5"/>
      <c r="P171" s="36">
        <v>3.8899999999999997E-2</v>
      </c>
      <c r="Q171" s="36">
        <v>1.4999999999999999E-2</v>
      </c>
      <c r="R171" s="36">
        <v>1.29E-2</v>
      </c>
      <c r="S171" s="36">
        <v>2.6200000000000001E-2</v>
      </c>
      <c r="T171" s="36">
        <v>2.7099999999999999E-2</v>
      </c>
      <c r="U171" s="36">
        <v>2.47E-2</v>
      </c>
      <c r="V171" s="36">
        <v>3.09E-2</v>
      </c>
      <c r="W171" s="36">
        <v>2.4899999999999999E-2</v>
      </c>
      <c r="X171" s="200">
        <v>3.2300000000000002E-2</v>
      </c>
      <c r="Y171" s="139">
        <v>3.1800000000000002E-2</v>
      </c>
      <c r="Z171" s="36">
        <v>5.1900000000000002E-2</v>
      </c>
      <c r="AA171" s="36">
        <v>4.0599999999999997E-2</v>
      </c>
      <c r="AB171" s="140">
        <v>0.114</v>
      </c>
      <c r="AC171" s="36">
        <v>3.4200000000000001E-2</v>
      </c>
    </row>
    <row r="172" spans="1:29">
      <c r="A172" s="94" t="s">
        <v>708</v>
      </c>
      <c r="B172" s="35">
        <v>6.3400000000000001E-3</v>
      </c>
      <c r="C172" s="3"/>
      <c r="D172" s="3"/>
      <c r="E172" s="3"/>
      <c r="F172" s="3"/>
      <c r="G172" s="3"/>
      <c r="H172" s="3"/>
      <c r="I172" s="3"/>
      <c r="J172" s="35">
        <v>4.8300000000000001E-3</v>
      </c>
      <c r="K172" s="3"/>
      <c r="L172" s="3"/>
      <c r="M172" s="3"/>
      <c r="N172" s="3"/>
      <c r="O172" s="3"/>
      <c r="P172" s="3"/>
      <c r="Q172" s="3"/>
      <c r="R172" s="3"/>
      <c r="S172" s="3"/>
      <c r="T172" s="3"/>
      <c r="U172" s="35">
        <v>4.9899999999999996E-3</v>
      </c>
      <c r="V172" s="3"/>
      <c r="W172" s="35">
        <v>2.8700000000000002E-3</v>
      </c>
      <c r="X172" s="202">
        <v>2.7000000000000001E-3</v>
      </c>
      <c r="Y172" s="204">
        <v>5.3200000000000001E-3</v>
      </c>
      <c r="Z172" s="35">
        <v>4.0800000000000003E-3</v>
      </c>
      <c r="AA172" s="3"/>
      <c r="AB172" s="142"/>
      <c r="AC172" s="35">
        <v>6.3400000000000001E-3</v>
      </c>
    </row>
    <row r="173" spans="1:29">
      <c r="A173" s="94" t="s">
        <v>709</v>
      </c>
      <c r="B173" s="36">
        <v>1.5499999999999999E-3</v>
      </c>
      <c r="C173" s="36">
        <v>3.32E-3</v>
      </c>
      <c r="D173" s="5"/>
      <c r="E173" s="5"/>
      <c r="F173" s="5"/>
      <c r="G173" s="5"/>
      <c r="H173" s="36">
        <v>1.24E-3</v>
      </c>
      <c r="I173" s="5"/>
      <c r="J173" s="5"/>
      <c r="K173" s="5"/>
      <c r="L173" s="5"/>
      <c r="M173" s="5"/>
      <c r="N173" s="5"/>
      <c r="O173" s="5"/>
      <c r="P173" s="5"/>
      <c r="Q173" s="5"/>
      <c r="R173" s="5"/>
      <c r="S173" s="5"/>
      <c r="T173" s="5"/>
      <c r="U173" s="36">
        <v>3.5799999999999998E-3</v>
      </c>
      <c r="V173" s="5"/>
      <c r="W173" s="5"/>
      <c r="X173" s="201"/>
      <c r="Y173" s="139">
        <v>3.5500000000000002E-3</v>
      </c>
      <c r="Z173" s="5"/>
      <c r="AA173" s="5"/>
      <c r="AB173" s="114"/>
      <c r="AC173" s="36">
        <v>1.5499999999999999E-3</v>
      </c>
    </row>
    <row r="174" spans="1:29">
      <c r="A174" s="94" t="s">
        <v>710</v>
      </c>
      <c r="B174" s="35">
        <v>2.93E-2</v>
      </c>
      <c r="C174" s="35">
        <v>4.1500000000000002E-2</v>
      </c>
      <c r="D174" s="35">
        <v>5.3900000000000003E-2</v>
      </c>
      <c r="E174" s="35">
        <v>7.5600000000000001E-2</v>
      </c>
      <c r="F174" s="35">
        <v>5.2200000000000003E-2</v>
      </c>
      <c r="G174" s="35">
        <v>2.8500000000000001E-2</v>
      </c>
      <c r="H174" s="35">
        <v>2.63E-2</v>
      </c>
      <c r="I174" s="35">
        <v>2.3599999999999999E-2</v>
      </c>
      <c r="J174" s="35">
        <v>2.4799999999999999E-2</v>
      </c>
      <c r="K174" s="35">
        <v>1.23E-2</v>
      </c>
      <c r="L174" s="35">
        <v>2.07E-2</v>
      </c>
      <c r="M174" s="35">
        <v>9.8200000000000006E-3</v>
      </c>
      <c r="N174" s="35">
        <v>2.8500000000000001E-2</v>
      </c>
      <c r="O174" s="35">
        <v>2.7699999999999999E-2</v>
      </c>
      <c r="P174" s="35">
        <v>3.8300000000000001E-2</v>
      </c>
      <c r="Q174" s="35">
        <v>1.8100000000000002E-2</v>
      </c>
      <c r="R174" s="35">
        <v>1.46E-2</v>
      </c>
      <c r="S174" s="35">
        <v>1.9099999999999999E-2</v>
      </c>
      <c r="T174" s="35">
        <v>2.53E-2</v>
      </c>
      <c r="U174" s="35">
        <v>2.1600000000000001E-2</v>
      </c>
      <c r="V174" s="35">
        <v>2.1899999999999999E-2</v>
      </c>
      <c r="W174" s="35">
        <v>2.2599999999999999E-2</v>
      </c>
      <c r="X174" s="202">
        <v>2.1600000000000001E-2</v>
      </c>
      <c r="Y174" s="204">
        <v>3.9699999999999999E-2</v>
      </c>
      <c r="Z174" s="35">
        <v>4.8899999999999999E-2</v>
      </c>
      <c r="AA174" s="35">
        <v>5.0700000000000002E-2</v>
      </c>
      <c r="AB174" s="138">
        <v>5.62E-2</v>
      </c>
      <c r="AC174" s="35">
        <v>2.93E-2</v>
      </c>
    </row>
    <row r="175" spans="1:29">
      <c r="A175" s="94" t="s">
        <v>712</v>
      </c>
      <c r="B175" s="35">
        <v>4.0299999999999997E-3</v>
      </c>
      <c r="C175" s="35">
        <v>4.1000000000000003E-3</v>
      </c>
      <c r="D175" s="3"/>
      <c r="E175" s="3"/>
      <c r="F175" s="3"/>
      <c r="G175" s="35">
        <v>4.7999999999999996E-3</v>
      </c>
      <c r="H175" s="35">
        <v>5.1599999999999997E-3</v>
      </c>
      <c r="I175" s="35">
        <v>4.3299999999999996E-3</v>
      </c>
      <c r="J175" s="35">
        <v>6.62E-3</v>
      </c>
      <c r="K175" s="3"/>
      <c r="L175" s="3"/>
      <c r="M175" s="3"/>
      <c r="N175" s="3"/>
      <c r="O175" s="3"/>
      <c r="P175" s="3"/>
      <c r="Q175" s="3"/>
      <c r="R175" s="35">
        <v>2.8300000000000001E-3</v>
      </c>
      <c r="S175" s="35">
        <v>1.34E-2</v>
      </c>
      <c r="T175" s="35">
        <v>2.2200000000000002E-3</v>
      </c>
      <c r="U175" s="35">
        <v>5.5500000000000002E-3</v>
      </c>
      <c r="V175" s="35">
        <v>1.1900000000000001E-3</v>
      </c>
      <c r="W175" s="35">
        <v>1.42E-3</v>
      </c>
      <c r="X175" s="203"/>
      <c r="Y175" s="141"/>
      <c r="Z175" s="35">
        <v>1.3500000000000001E-3</v>
      </c>
      <c r="AA175" s="3"/>
      <c r="AB175" s="142"/>
      <c r="AC175" s="35">
        <v>4.0299999999999997E-3</v>
      </c>
    </row>
    <row r="176" spans="1:29">
      <c r="A176" s="94" t="s">
        <v>713</v>
      </c>
      <c r="B176" s="36">
        <v>1.82E-3</v>
      </c>
      <c r="C176" s="5"/>
      <c r="D176" s="5"/>
      <c r="E176" s="5"/>
      <c r="F176" s="5"/>
      <c r="G176" s="5"/>
      <c r="H176" s="5"/>
      <c r="I176" s="5"/>
      <c r="J176" s="36">
        <v>2.7100000000000002E-3</v>
      </c>
      <c r="K176" s="5"/>
      <c r="L176" s="5"/>
      <c r="M176" s="5"/>
      <c r="N176" s="5"/>
      <c r="O176" s="5"/>
      <c r="P176" s="5"/>
      <c r="Q176" s="5"/>
      <c r="R176" s="5"/>
      <c r="S176" s="5"/>
      <c r="T176" s="5"/>
      <c r="U176" s="5"/>
      <c r="V176" s="5"/>
      <c r="W176" s="5"/>
      <c r="X176" s="201"/>
      <c r="Y176" s="113"/>
      <c r="Z176" s="5"/>
      <c r="AA176" s="5"/>
      <c r="AB176" s="114"/>
      <c r="AC176" s="36">
        <v>1.82E-3</v>
      </c>
    </row>
    <row r="177" spans="1:29">
      <c r="A177" s="94" t="s">
        <v>715</v>
      </c>
      <c r="B177" s="36">
        <v>1.39E-3</v>
      </c>
      <c r="C177" s="36">
        <v>3.3E-3</v>
      </c>
      <c r="D177" s="36">
        <v>1.8500000000000001E-3</v>
      </c>
      <c r="E177" s="5"/>
      <c r="F177" s="5"/>
      <c r="G177" s="36">
        <v>1.42E-3</v>
      </c>
      <c r="H177" s="36">
        <v>1.41E-3</v>
      </c>
      <c r="I177" s="5"/>
      <c r="J177" s="36">
        <v>2.3999999999999998E-3</v>
      </c>
      <c r="K177" s="5"/>
      <c r="L177" s="5"/>
      <c r="M177" s="5"/>
      <c r="N177" s="5"/>
      <c r="O177" s="5"/>
      <c r="P177" s="5"/>
      <c r="Q177" s="5"/>
      <c r="R177" s="5"/>
      <c r="S177" s="5"/>
      <c r="T177" s="5"/>
      <c r="U177" s="5"/>
      <c r="V177" s="5"/>
      <c r="W177" s="5"/>
      <c r="X177" s="201"/>
      <c r="Y177" s="139">
        <v>3.0799999999999998E-3</v>
      </c>
      <c r="Z177" s="36">
        <v>1.4400000000000001E-3</v>
      </c>
      <c r="AA177" s="5"/>
      <c r="AB177" s="114"/>
      <c r="AC177" s="36">
        <v>1.39E-3</v>
      </c>
    </row>
    <row r="178" spans="1:29">
      <c r="A178" s="94" t="s">
        <v>717</v>
      </c>
      <c r="B178" s="36">
        <v>7.91</v>
      </c>
      <c r="C178" s="36">
        <v>2.19</v>
      </c>
      <c r="D178" s="36">
        <v>0.159</v>
      </c>
      <c r="E178" s="36">
        <v>4.54</v>
      </c>
      <c r="F178" s="36">
        <v>4.33</v>
      </c>
      <c r="G178" s="36">
        <v>2.3199999999999998</v>
      </c>
      <c r="H178" s="36">
        <v>6.53</v>
      </c>
      <c r="I178" s="36">
        <v>2.25</v>
      </c>
      <c r="J178" s="36">
        <v>7.3099999999999998E-2</v>
      </c>
      <c r="K178" s="36">
        <v>22.1</v>
      </c>
      <c r="L178" s="36">
        <v>9.4700000000000006</v>
      </c>
      <c r="M178" s="36">
        <v>6.31</v>
      </c>
      <c r="N178" s="36">
        <v>10.7</v>
      </c>
      <c r="O178" s="36">
        <v>0.22800000000000001</v>
      </c>
      <c r="P178" s="36">
        <v>8.15</v>
      </c>
      <c r="Q178" s="36">
        <v>18.5</v>
      </c>
      <c r="R178" s="36">
        <v>10.5</v>
      </c>
      <c r="S178" s="36">
        <v>2.72</v>
      </c>
      <c r="T178" s="36">
        <v>10.9</v>
      </c>
      <c r="U178" s="36">
        <v>15</v>
      </c>
      <c r="V178" s="36">
        <v>11.7</v>
      </c>
      <c r="W178" s="36">
        <v>10.9</v>
      </c>
      <c r="X178" s="200">
        <v>13.5</v>
      </c>
      <c r="Y178" s="139">
        <v>15.5</v>
      </c>
      <c r="Z178" s="36">
        <v>10.5</v>
      </c>
      <c r="AA178" s="36">
        <v>9.1999999999999993</v>
      </c>
      <c r="AB178" s="140">
        <v>1.31</v>
      </c>
      <c r="AC178" s="36">
        <v>7.91</v>
      </c>
    </row>
    <row r="179" spans="1:29">
      <c r="A179" s="94" t="s">
        <v>720</v>
      </c>
      <c r="B179" s="35">
        <v>9.64E-2</v>
      </c>
      <c r="C179" s="3"/>
      <c r="D179" s="3"/>
      <c r="E179" s="3"/>
      <c r="F179" s="3"/>
      <c r="G179" s="3"/>
      <c r="H179" s="3"/>
      <c r="I179" s="3"/>
      <c r="J179" s="3"/>
      <c r="K179" s="3"/>
      <c r="L179" s="3"/>
      <c r="M179" s="3"/>
      <c r="N179" s="3"/>
      <c r="O179" s="3"/>
      <c r="P179" s="3"/>
      <c r="Q179" s="3"/>
      <c r="R179" s="3"/>
      <c r="S179" s="3"/>
      <c r="T179" s="3"/>
      <c r="U179" s="3"/>
      <c r="V179" s="3"/>
      <c r="W179" s="3"/>
      <c r="X179" s="203"/>
      <c r="Y179" s="141"/>
      <c r="Z179" s="3"/>
      <c r="AA179" s="3"/>
      <c r="AB179" s="138">
        <v>0.17499999999999999</v>
      </c>
      <c r="AC179" s="35">
        <v>9.64E-2</v>
      </c>
    </row>
    <row r="180" spans="1:29">
      <c r="A180" s="94" t="s">
        <v>723</v>
      </c>
      <c r="B180" s="36">
        <v>1.67E-2</v>
      </c>
      <c r="C180" s="5"/>
      <c r="D180" s="5"/>
      <c r="E180" s="5"/>
      <c r="F180" s="5"/>
      <c r="G180" s="5"/>
      <c r="H180" s="5"/>
      <c r="I180" s="5"/>
      <c r="J180" s="5"/>
      <c r="K180" s="36">
        <v>3.1600000000000003E-2</v>
      </c>
      <c r="L180" s="36">
        <v>9.1000000000000004E-3</v>
      </c>
      <c r="M180" s="36">
        <v>1.2200000000000001E-2</v>
      </c>
      <c r="N180" s="36">
        <v>3.4000000000000002E-2</v>
      </c>
      <c r="O180" s="36">
        <v>1.7999999999999999E-2</v>
      </c>
      <c r="P180" s="5"/>
      <c r="Q180" s="36">
        <v>1.49E-2</v>
      </c>
      <c r="R180" s="36">
        <v>2.24E-2</v>
      </c>
      <c r="S180" s="36">
        <v>2.0799999999999999E-2</v>
      </c>
      <c r="T180" s="36">
        <v>9.0600000000000003E-3</v>
      </c>
      <c r="U180" s="36">
        <v>1.6199999999999999E-2</v>
      </c>
      <c r="V180" s="36">
        <v>7.4200000000000004E-3</v>
      </c>
      <c r="W180" s="36">
        <v>9.0299999999999998E-3</v>
      </c>
      <c r="X180" s="200">
        <v>9.0799999999999995E-3</v>
      </c>
      <c r="Y180" s="139">
        <v>4.4200000000000003E-2</v>
      </c>
      <c r="Z180" s="5"/>
      <c r="AA180" s="5"/>
      <c r="AB180" s="114"/>
      <c r="AC180" s="36">
        <v>1.67E-2</v>
      </c>
    </row>
    <row r="181" spans="1:29">
      <c r="A181" s="94" t="s">
        <v>725</v>
      </c>
      <c r="B181" s="36">
        <v>0.13</v>
      </c>
      <c r="C181" s="36">
        <v>7.5499999999999998E-2</v>
      </c>
      <c r="D181" s="36">
        <v>4.0899999999999999E-2</v>
      </c>
      <c r="E181" s="36">
        <v>8.8800000000000004E-2</v>
      </c>
      <c r="F181" s="36">
        <v>7.9500000000000001E-2</v>
      </c>
      <c r="G181" s="36">
        <v>6.7599999999999993E-2</v>
      </c>
      <c r="H181" s="36">
        <v>8.0500000000000002E-2</v>
      </c>
      <c r="I181" s="36">
        <v>6.9199999999999998E-2</v>
      </c>
      <c r="J181" s="36">
        <v>3.9699999999999999E-2</v>
      </c>
      <c r="K181" s="36">
        <v>0.14499999999999999</v>
      </c>
      <c r="L181" s="36">
        <v>0.14699999999999999</v>
      </c>
      <c r="M181" s="36">
        <v>8.4000000000000005E-2</v>
      </c>
      <c r="N181" s="36">
        <v>0.104</v>
      </c>
      <c r="O181" s="36">
        <v>0.157</v>
      </c>
      <c r="P181" s="36">
        <v>7.9600000000000004E-2</v>
      </c>
      <c r="Q181" s="36">
        <v>0.13100000000000001</v>
      </c>
      <c r="R181" s="36">
        <v>0.11700000000000001</v>
      </c>
      <c r="S181" s="36">
        <v>2.8799999999999999E-2</v>
      </c>
      <c r="T181" s="36">
        <v>8.9800000000000005E-2</v>
      </c>
      <c r="U181" s="36">
        <v>7.0199999999999999E-2</v>
      </c>
      <c r="V181" s="36">
        <v>6.9800000000000001E-2</v>
      </c>
      <c r="W181" s="36">
        <v>5.7099999999999998E-2</v>
      </c>
      <c r="X181" s="200">
        <v>9.5699999999999993E-2</v>
      </c>
      <c r="Y181" s="139">
        <v>7.8299999999999995E-2</v>
      </c>
      <c r="Z181" s="36">
        <v>0.122</v>
      </c>
      <c r="AA181" s="36">
        <v>0.1</v>
      </c>
      <c r="AB181" s="140">
        <v>0.29299999999999998</v>
      </c>
      <c r="AC181" s="36">
        <v>0.13</v>
      </c>
    </row>
    <row r="182" spans="1:29">
      <c r="A182" s="94" t="s">
        <v>726</v>
      </c>
      <c r="B182" s="35">
        <v>1.56E-3</v>
      </c>
      <c r="C182" s="35">
        <v>3.2799999999999999E-3</v>
      </c>
      <c r="D182" s="35">
        <v>1.58E-3</v>
      </c>
      <c r="E182" s="3"/>
      <c r="F182" s="3"/>
      <c r="G182" s="3"/>
      <c r="H182" s="35">
        <v>1.2800000000000001E-3</v>
      </c>
      <c r="I182" s="3"/>
      <c r="J182" s="35">
        <v>1.82E-3</v>
      </c>
      <c r="K182" s="3"/>
      <c r="L182" s="3"/>
      <c r="M182" s="3"/>
      <c r="N182" s="3"/>
      <c r="O182" s="3"/>
      <c r="P182" s="3"/>
      <c r="Q182" s="3"/>
      <c r="R182" s="3"/>
      <c r="S182" s="3"/>
      <c r="T182" s="3"/>
      <c r="U182" s="35">
        <v>1.7899999999999999E-3</v>
      </c>
      <c r="V182" s="3"/>
      <c r="W182" s="3"/>
      <c r="X182" s="203"/>
      <c r="Y182" s="204">
        <v>2.8700000000000002E-3</v>
      </c>
      <c r="Z182" s="35">
        <v>9.8299999999999993E-4</v>
      </c>
      <c r="AA182" s="3"/>
      <c r="AB182" s="142"/>
      <c r="AC182" s="35">
        <v>1.56E-3</v>
      </c>
    </row>
    <row r="183" spans="1:29">
      <c r="A183" s="94" t="s">
        <v>731</v>
      </c>
      <c r="B183" s="36">
        <v>1.32</v>
      </c>
      <c r="C183" s="36">
        <v>0.54900000000000004</v>
      </c>
      <c r="D183" s="36">
        <v>0.22900000000000001</v>
      </c>
      <c r="E183" s="36">
        <v>0.17799999999999999</v>
      </c>
      <c r="F183" s="36">
        <v>3.4299999999999997E-2</v>
      </c>
      <c r="G183" s="36">
        <v>2.57</v>
      </c>
      <c r="H183" s="36">
        <v>1.53</v>
      </c>
      <c r="I183" s="36">
        <v>3.46</v>
      </c>
      <c r="J183" s="36">
        <v>2.9</v>
      </c>
      <c r="K183" s="36">
        <v>0.16900000000000001</v>
      </c>
      <c r="L183" s="36">
        <v>3.2099999999999997E-2</v>
      </c>
      <c r="M183" s="36">
        <v>0.17199999999999999</v>
      </c>
      <c r="N183" s="36">
        <v>0.28999999999999998</v>
      </c>
      <c r="O183" s="36">
        <v>1.86</v>
      </c>
      <c r="P183" s="36">
        <v>0.39</v>
      </c>
      <c r="Q183" s="36">
        <v>1.1299999999999999</v>
      </c>
      <c r="R183" s="36">
        <v>1.91</v>
      </c>
      <c r="S183" s="36">
        <v>2.58</v>
      </c>
      <c r="T183" s="36">
        <v>0.72099999999999997</v>
      </c>
      <c r="U183" s="36">
        <v>0.66400000000000003</v>
      </c>
      <c r="V183" s="36">
        <v>0.182</v>
      </c>
      <c r="W183" s="36">
        <v>0.59399999999999997</v>
      </c>
      <c r="X183" s="200">
        <v>0.42099999999999999</v>
      </c>
      <c r="Y183" s="139">
        <v>0.252</v>
      </c>
      <c r="Z183" s="36">
        <v>0.29099999999999998</v>
      </c>
      <c r="AA183" s="36">
        <v>0.33400000000000002</v>
      </c>
      <c r="AB183" s="140">
        <v>1.47</v>
      </c>
      <c r="AC183" s="36">
        <v>1.32</v>
      </c>
    </row>
    <row r="184" spans="1:29">
      <c r="A184" s="95" t="s">
        <v>343</v>
      </c>
      <c r="B184" s="5"/>
      <c r="C184" s="36">
        <v>2.4799999999999999E-2</v>
      </c>
      <c r="D184" s="36">
        <v>3.9199999999999999E-2</v>
      </c>
      <c r="E184" s="36">
        <v>1.6199999999999999E-3</v>
      </c>
      <c r="F184" s="36">
        <v>2.3099999999999999E-2</v>
      </c>
      <c r="G184" s="36">
        <v>4.6600000000000003E-2</v>
      </c>
      <c r="H184" s="36">
        <v>3.1800000000000002E-2</v>
      </c>
      <c r="I184" s="36">
        <v>5.1799999999999999E-2</v>
      </c>
      <c r="J184" s="5"/>
      <c r="K184" s="5"/>
      <c r="L184" s="5"/>
      <c r="M184" s="5"/>
      <c r="N184" s="5"/>
      <c r="O184" s="5"/>
      <c r="P184" s="5"/>
      <c r="Q184" s="5"/>
      <c r="R184" s="36">
        <v>9.2200000000000004E-2</v>
      </c>
      <c r="S184" s="36">
        <v>4.1300000000000003E-2</v>
      </c>
      <c r="T184" s="36">
        <v>3.4299999999999997E-2</v>
      </c>
      <c r="U184" s="5"/>
      <c r="V184" s="5"/>
      <c r="W184" s="5"/>
      <c r="X184" s="200">
        <v>2.93E-2</v>
      </c>
      <c r="Y184" s="113"/>
      <c r="Z184" s="5"/>
      <c r="AA184" s="5"/>
      <c r="AB184" s="114"/>
      <c r="AC184" s="5"/>
    </row>
    <row r="185" spans="1:29">
      <c r="A185" s="95" t="s">
        <v>734</v>
      </c>
      <c r="B185" s="36">
        <v>0.11799999999999999</v>
      </c>
      <c r="C185" s="36">
        <v>5.2600000000000001E-2</v>
      </c>
      <c r="D185" s="36">
        <v>0.32400000000000001</v>
      </c>
      <c r="E185" s="5"/>
      <c r="F185" s="36">
        <v>0.13100000000000001</v>
      </c>
      <c r="G185" s="36">
        <v>0.13800000000000001</v>
      </c>
      <c r="H185" s="36">
        <v>0.17599999999999999</v>
      </c>
      <c r="I185" s="36">
        <v>0.20799999999999999</v>
      </c>
      <c r="J185" s="36">
        <v>0.16</v>
      </c>
      <c r="K185" s="36">
        <v>0.104</v>
      </c>
      <c r="L185" s="36">
        <v>6.1899999999999997E-2</v>
      </c>
      <c r="M185" s="5"/>
      <c r="N185" s="36">
        <v>0.13400000000000001</v>
      </c>
      <c r="O185" s="5"/>
      <c r="P185" s="36">
        <v>8.1100000000000005E-2</v>
      </c>
      <c r="Q185" s="5"/>
      <c r="R185" s="5"/>
      <c r="S185" s="36">
        <v>0.23100000000000001</v>
      </c>
      <c r="T185" s="36">
        <v>0.15</v>
      </c>
      <c r="U185" s="36">
        <v>0.18</v>
      </c>
      <c r="V185" s="5"/>
      <c r="W185" s="36">
        <v>0.18099999999999999</v>
      </c>
      <c r="X185" s="200">
        <v>0.23300000000000001</v>
      </c>
      <c r="Y185" s="139">
        <v>0.127</v>
      </c>
      <c r="Z185" s="36">
        <v>9.35E-2</v>
      </c>
      <c r="AA185" s="36">
        <v>0.16800000000000001</v>
      </c>
      <c r="AB185" s="140">
        <v>0.107</v>
      </c>
      <c r="AC185" s="36">
        <v>0.11799999999999999</v>
      </c>
    </row>
    <row r="186" spans="1:29">
      <c r="A186" s="95" t="s">
        <v>736</v>
      </c>
      <c r="B186" s="36">
        <v>0.438</v>
      </c>
      <c r="C186" s="36">
        <v>0.28399999999999997</v>
      </c>
      <c r="D186" s="5"/>
      <c r="E186" s="36">
        <v>2.1399999999999999E-2</v>
      </c>
      <c r="F186" s="36">
        <v>7.6999999999999999E-2</v>
      </c>
      <c r="G186" s="36">
        <v>0.79200000000000004</v>
      </c>
      <c r="H186" s="36">
        <v>0.76800000000000002</v>
      </c>
      <c r="I186" s="36">
        <v>0.97499999999999998</v>
      </c>
      <c r="J186" s="36">
        <v>0.63900000000000001</v>
      </c>
      <c r="K186" s="36">
        <v>0.20200000000000001</v>
      </c>
      <c r="L186" s="36">
        <v>4.3200000000000002E-2</v>
      </c>
      <c r="M186" s="36">
        <v>8.0699999999999994E-2</v>
      </c>
      <c r="N186" s="36">
        <v>0.33100000000000002</v>
      </c>
      <c r="O186" s="36">
        <v>0.108</v>
      </c>
      <c r="P186" s="36">
        <v>4.8500000000000001E-2</v>
      </c>
      <c r="Q186" s="36">
        <v>0.77900000000000003</v>
      </c>
      <c r="R186" s="36">
        <v>0.36699999999999999</v>
      </c>
      <c r="S186" s="36">
        <v>1.05</v>
      </c>
      <c r="T186" s="36">
        <v>0.85299999999999998</v>
      </c>
      <c r="U186" s="36">
        <v>0.66100000000000003</v>
      </c>
      <c r="V186" s="36">
        <v>0.48599999999999999</v>
      </c>
      <c r="W186" s="36">
        <v>0.90400000000000003</v>
      </c>
      <c r="X186" s="200">
        <v>0.69299999999999995</v>
      </c>
      <c r="Y186" s="139">
        <v>0.255</v>
      </c>
      <c r="Z186" s="36">
        <v>0.129</v>
      </c>
      <c r="AA186" s="36">
        <v>0.19400000000000001</v>
      </c>
      <c r="AB186" s="140">
        <v>0.81799999999999995</v>
      </c>
      <c r="AC186" s="36">
        <v>0.438</v>
      </c>
    </row>
    <row r="187" spans="1:29">
      <c r="A187" s="95" t="s">
        <v>739</v>
      </c>
      <c r="B187" s="35">
        <v>6.9499999999999996E-3</v>
      </c>
      <c r="C187" s="3"/>
      <c r="D187" s="3"/>
      <c r="E187" s="3"/>
      <c r="F187" s="3"/>
      <c r="G187" s="35">
        <v>6.3699999999999998E-3</v>
      </c>
      <c r="H187" s="3"/>
      <c r="I187" s="3"/>
      <c r="J187" s="3"/>
      <c r="K187" s="3"/>
      <c r="L187" s="3"/>
      <c r="M187" s="3"/>
      <c r="N187" s="3"/>
      <c r="O187" s="3"/>
      <c r="P187" s="3"/>
      <c r="Q187" s="3"/>
      <c r="R187" s="3"/>
      <c r="S187" s="3"/>
      <c r="T187" s="3"/>
      <c r="U187" s="3"/>
      <c r="V187" s="3"/>
      <c r="W187" s="3"/>
      <c r="X187" s="203"/>
      <c r="Y187" s="141"/>
      <c r="Z187" s="3"/>
      <c r="AA187" s="3"/>
      <c r="AB187" s="138">
        <v>1.8100000000000002E-2</v>
      </c>
      <c r="AC187" s="35">
        <v>6.9499999999999996E-3</v>
      </c>
    </row>
    <row r="188" spans="1:29">
      <c r="A188" s="95" t="s">
        <v>740</v>
      </c>
      <c r="B188" s="36">
        <v>9.9500000000000005E-2</v>
      </c>
      <c r="C188" s="36">
        <v>2.1399999999999999E-2</v>
      </c>
      <c r="D188" s="36">
        <v>1.37E-2</v>
      </c>
      <c r="E188" s="36">
        <v>0.34599999999999997</v>
      </c>
      <c r="F188" s="36">
        <v>8.4699999999999998E-2</v>
      </c>
      <c r="G188" s="36">
        <v>3.8100000000000002E-2</v>
      </c>
      <c r="H188" s="36">
        <v>3.3099999999999997E-2</v>
      </c>
      <c r="I188" s="36">
        <v>2.9399999999999999E-2</v>
      </c>
      <c r="J188" s="36">
        <v>3.4799999999999998E-2</v>
      </c>
      <c r="K188" s="36">
        <v>0.216</v>
      </c>
      <c r="L188" s="36">
        <v>7.4300000000000005E-2</v>
      </c>
      <c r="M188" s="36">
        <v>6.7599999999999993E-2</v>
      </c>
      <c r="N188" s="36">
        <v>0.14199999999999999</v>
      </c>
      <c r="O188" s="36">
        <v>0.11600000000000001</v>
      </c>
      <c r="P188" s="36">
        <v>7.6499999999999999E-2</v>
      </c>
      <c r="Q188" s="36">
        <v>3.2099999999999997E-2</v>
      </c>
      <c r="R188" s="5"/>
      <c r="S188" s="36">
        <v>0.64600000000000002</v>
      </c>
      <c r="T188" s="36">
        <v>3.0300000000000001E-2</v>
      </c>
      <c r="U188" s="36">
        <v>1.83E-2</v>
      </c>
      <c r="V188" s="36">
        <v>1.7299999999999999E-2</v>
      </c>
      <c r="W188" s="36">
        <v>3.5999999999999997E-2</v>
      </c>
      <c r="X188" s="200">
        <v>3.4099999999999998E-2</v>
      </c>
      <c r="Y188" s="139">
        <v>4.1200000000000001E-2</v>
      </c>
      <c r="Z188" s="36">
        <v>3.6200000000000003E-2</v>
      </c>
      <c r="AA188" s="36">
        <v>6.3200000000000006E-2</v>
      </c>
      <c r="AB188" s="140">
        <v>4.2799999999999998E-2</v>
      </c>
      <c r="AC188" s="36">
        <v>9.9500000000000005E-2</v>
      </c>
    </row>
    <row r="189" spans="1:29">
      <c r="A189" s="95" t="s">
        <v>741</v>
      </c>
      <c r="B189" s="35">
        <v>0.14899999999999999</v>
      </c>
      <c r="C189" s="35">
        <v>9.5500000000000002E-2</v>
      </c>
      <c r="D189" s="35">
        <v>8.6199999999999999E-2</v>
      </c>
      <c r="E189" s="35">
        <v>0.13400000000000001</v>
      </c>
      <c r="F189" s="35">
        <v>0.39800000000000002</v>
      </c>
      <c r="G189" s="35">
        <v>0.16700000000000001</v>
      </c>
      <c r="H189" s="35">
        <v>0.14299999999999999</v>
      </c>
      <c r="I189" s="35">
        <v>0.17699999999999999</v>
      </c>
      <c r="J189" s="35">
        <v>0.11</v>
      </c>
      <c r="K189" s="35">
        <v>0.13100000000000001</v>
      </c>
      <c r="L189" s="35">
        <v>7.6899999999999996E-2</v>
      </c>
      <c r="M189" s="35">
        <v>7.5999999999999998E-2</v>
      </c>
      <c r="N189" s="35">
        <v>0.161</v>
      </c>
      <c r="O189" s="35">
        <v>9.9599999999999994E-2</v>
      </c>
      <c r="P189" s="35">
        <v>0.27100000000000002</v>
      </c>
      <c r="Q189" s="35">
        <v>0.1</v>
      </c>
      <c r="R189" s="35">
        <v>0.50800000000000001</v>
      </c>
      <c r="S189" s="35">
        <v>0.247</v>
      </c>
      <c r="T189" s="35">
        <v>0.17199999999999999</v>
      </c>
      <c r="U189" s="35">
        <v>0.14199999999999999</v>
      </c>
      <c r="V189" s="35">
        <v>0.104</v>
      </c>
      <c r="W189" s="35">
        <v>0.13200000000000001</v>
      </c>
      <c r="X189" s="202">
        <v>0.126</v>
      </c>
      <c r="Y189" s="141"/>
      <c r="Z189" s="3"/>
      <c r="AA189" s="3"/>
      <c r="AB189" s="142"/>
      <c r="AC189" s="35">
        <v>0.14899999999999999</v>
      </c>
    </row>
    <row r="190" spans="1:29">
      <c r="A190" s="95" t="s">
        <v>742</v>
      </c>
      <c r="B190" s="36">
        <v>6.4899999999999999E-2</v>
      </c>
      <c r="C190" s="5"/>
      <c r="D190" s="5"/>
      <c r="E190" s="5"/>
      <c r="F190" s="5"/>
      <c r="G190" s="5"/>
      <c r="H190" s="5"/>
      <c r="I190" s="5"/>
      <c r="J190" s="5"/>
      <c r="K190" s="5"/>
      <c r="L190" s="5"/>
      <c r="M190" s="5"/>
      <c r="N190" s="5"/>
      <c r="O190" s="5"/>
      <c r="P190" s="5"/>
      <c r="Q190" s="5"/>
      <c r="R190" s="5"/>
      <c r="S190" s="5"/>
      <c r="T190" s="5"/>
      <c r="U190" s="5"/>
      <c r="V190" s="5"/>
      <c r="W190" s="5"/>
      <c r="X190" s="201"/>
      <c r="Y190" s="139">
        <v>6.4899999999999999E-2</v>
      </c>
      <c r="Z190" s="36">
        <v>6.4899999999999999E-2</v>
      </c>
      <c r="AA190" s="36">
        <v>6.4899999999999999E-2</v>
      </c>
      <c r="AB190" s="140">
        <v>6.4899999999999999E-2</v>
      </c>
      <c r="AC190" s="36">
        <v>6.4899999999999999E-2</v>
      </c>
    </row>
    <row r="191" spans="1:29">
      <c r="A191" s="95" t="s">
        <v>743</v>
      </c>
      <c r="B191" s="35">
        <v>0.187</v>
      </c>
      <c r="C191" s="35">
        <v>8.9099999999999999E-2</v>
      </c>
      <c r="D191" s="35">
        <v>0.108</v>
      </c>
      <c r="E191" s="35">
        <v>0.27100000000000002</v>
      </c>
      <c r="F191" s="35">
        <v>0.161</v>
      </c>
      <c r="G191" s="35">
        <v>0.155</v>
      </c>
      <c r="H191" s="35">
        <v>0.123</v>
      </c>
      <c r="I191" s="35">
        <v>0.13400000000000001</v>
      </c>
      <c r="J191" s="35">
        <v>0.123</v>
      </c>
      <c r="K191" s="35">
        <v>0.35399999999999998</v>
      </c>
      <c r="L191" s="35">
        <v>0.13300000000000001</v>
      </c>
      <c r="M191" s="35">
        <v>0.14399999999999999</v>
      </c>
      <c r="N191" s="35">
        <v>0.28899999999999998</v>
      </c>
      <c r="O191" s="35">
        <v>0.32400000000000001</v>
      </c>
      <c r="P191" s="35">
        <v>0.14799999999999999</v>
      </c>
      <c r="Q191" s="35">
        <v>0.123</v>
      </c>
      <c r="R191" s="35">
        <v>0.12</v>
      </c>
      <c r="S191" s="35">
        <v>0.504</v>
      </c>
      <c r="T191" s="35">
        <v>0.14599999999999999</v>
      </c>
      <c r="U191" s="35">
        <v>9.5699999999999993E-2</v>
      </c>
      <c r="V191" s="35">
        <v>9.3899999999999997E-2</v>
      </c>
      <c r="W191" s="35">
        <v>0.108</v>
      </c>
      <c r="X191" s="202">
        <v>0.11</v>
      </c>
      <c r="Y191" s="204">
        <v>0.10299999999999999</v>
      </c>
      <c r="Z191" s="35">
        <v>0.115</v>
      </c>
      <c r="AA191" s="35">
        <v>0.22800000000000001</v>
      </c>
      <c r="AB191" s="138">
        <v>0.32500000000000001</v>
      </c>
      <c r="AC191" s="35">
        <v>0.187</v>
      </c>
    </row>
    <row r="192" spans="1:29">
      <c r="A192" s="95" t="s">
        <v>744</v>
      </c>
      <c r="B192" s="36">
        <v>5.94E-3</v>
      </c>
      <c r="C192" s="36">
        <v>7.7400000000000004E-3</v>
      </c>
      <c r="D192" s="36">
        <v>9.0500000000000008E-3</v>
      </c>
      <c r="E192" s="36">
        <v>1.9300000000000001E-3</v>
      </c>
      <c r="F192" s="36">
        <v>2.2399999999999998E-3</v>
      </c>
      <c r="G192" s="36">
        <v>9.2099999999999994E-3</v>
      </c>
      <c r="H192" s="36">
        <v>8.3000000000000001E-3</v>
      </c>
      <c r="I192" s="36">
        <v>1.09E-2</v>
      </c>
      <c r="J192" s="36">
        <v>1.11E-2</v>
      </c>
      <c r="K192" s="36">
        <v>7.9900000000000006E-3</v>
      </c>
      <c r="L192" s="36">
        <v>4.8999999999999998E-3</v>
      </c>
      <c r="M192" s="5"/>
      <c r="N192" s="36">
        <v>4.4600000000000004E-3</v>
      </c>
      <c r="O192" s="36">
        <v>3.9500000000000004E-3</v>
      </c>
      <c r="P192" s="36">
        <v>3.5400000000000002E-3</v>
      </c>
      <c r="Q192" s="36">
        <v>8.3999999999999995E-3</v>
      </c>
      <c r="R192" s="36">
        <v>1.2999999999999999E-2</v>
      </c>
      <c r="S192" s="36">
        <v>5.7499999999999999E-3</v>
      </c>
      <c r="T192" s="36">
        <v>9.2399999999999999E-3</v>
      </c>
      <c r="U192" s="36">
        <v>7.7099999999999998E-3</v>
      </c>
      <c r="V192" s="36">
        <v>6.43E-3</v>
      </c>
      <c r="W192" s="36">
        <v>7.7499999999999999E-3</v>
      </c>
      <c r="X192" s="200">
        <v>7.5300000000000002E-3</v>
      </c>
      <c r="Y192" s="139">
        <v>1.65E-3</v>
      </c>
      <c r="Z192" s="36">
        <v>4.0299999999999997E-3</v>
      </c>
      <c r="AA192" s="36">
        <v>5.8100000000000001E-3</v>
      </c>
      <c r="AB192" s="140">
        <v>1.9199999999999998E-2</v>
      </c>
      <c r="AC192" s="36">
        <v>5.94E-3</v>
      </c>
    </row>
    <row r="193" spans="1:29">
      <c r="A193" s="95" t="s">
        <v>745</v>
      </c>
      <c r="B193" s="35">
        <v>8.1499999999999993E-3</v>
      </c>
      <c r="C193" s="35">
        <v>1.17E-2</v>
      </c>
      <c r="D193" s="35">
        <v>1.4500000000000001E-2</v>
      </c>
      <c r="E193" s="3"/>
      <c r="F193" s="3"/>
      <c r="G193" s="35">
        <v>1.66E-2</v>
      </c>
      <c r="H193" s="35">
        <v>1.26E-2</v>
      </c>
      <c r="I193" s="35">
        <v>1.1599999999999999E-2</v>
      </c>
      <c r="J193" s="35">
        <v>1.03E-2</v>
      </c>
      <c r="K193" s="3"/>
      <c r="L193" s="3"/>
      <c r="M193" s="3"/>
      <c r="N193" s="3"/>
      <c r="O193" s="3"/>
      <c r="P193" s="3"/>
      <c r="Q193" s="35">
        <v>1.5100000000000001E-2</v>
      </c>
      <c r="R193" s="3"/>
      <c r="S193" s="35">
        <v>9.7800000000000005E-3</v>
      </c>
      <c r="T193" s="35">
        <v>1.0200000000000001E-2</v>
      </c>
      <c r="U193" s="35">
        <v>6.1999999999999998E-3</v>
      </c>
      <c r="V193" s="35">
        <v>7.77E-3</v>
      </c>
      <c r="W193" s="35">
        <v>1.38E-2</v>
      </c>
      <c r="X193" s="202">
        <v>7.6600000000000001E-3</v>
      </c>
      <c r="Y193" s="204">
        <v>5.1500000000000001E-3</v>
      </c>
      <c r="Z193" s="35">
        <v>2.8900000000000002E-3</v>
      </c>
      <c r="AA193" s="35">
        <v>5.0299999999999997E-3</v>
      </c>
      <c r="AB193" s="138">
        <v>3.0800000000000001E-2</v>
      </c>
      <c r="AC193" s="35">
        <v>8.1499999999999993E-3</v>
      </c>
    </row>
    <row r="194" spans="1:29">
      <c r="A194" s="95" t="s">
        <v>746</v>
      </c>
      <c r="B194" s="36">
        <v>2.1999999999999999E-2</v>
      </c>
      <c r="C194" s="5"/>
      <c r="D194" s="5"/>
      <c r="E194" s="36">
        <v>1.43E-2</v>
      </c>
      <c r="F194" s="36">
        <v>1.7500000000000002E-2</v>
      </c>
      <c r="G194" s="5"/>
      <c r="H194" s="36">
        <v>5.2900000000000003E-2</v>
      </c>
      <c r="I194" s="5"/>
      <c r="J194" s="5"/>
      <c r="K194" s="5"/>
      <c r="L194" s="5"/>
      <c r="M194" s="5"/>
      <c r="N194" s="5"/>
      <c r="O194" s="5"/>
      <c r="P194" s="36">
        <v>1.8700000000000001E-2</v>
      </c>
      <c r="Q194" s="5"/>
      <c r="R194" s="5"/>
      <c r="S194" s="5"/>
      <c r="T194" s="5"/>
      <c r="U194" s="5"/>
      <c r="V194" s="5"/>
      <c r="W194" s="5"/>
      <c r="X194" s="201"/>
      <c r="Y194" s="139">
        <v>3.0700000000000002E-2</v>
      </c>
      <c r="Z194" s="36">
        <v>1.9099999999999999E-2</v>
      </c>
      <c r="AA194" s="36">
        <v>2.46E-2</v>
      </c>
      <c r="AB194" s="114"/>
      <c r="AC194" s="36">
        <v>2.1999999999999999E-2</v>
      </c>
    </row>
    <row r="195" spans="1:29">
      <c r="A195" s="95" t="s">
        <v>747</v>
      </c>
      <c r="B195" s="35">
        <v>0.57099999999999995</v>
      </c>
      <c r="C195" s="35">
        <v>0.61199999999999999</v>
      </c>
      <c r="D195" s="35">
        <v>0.70899999999999996</v>
      </c>
      <c r="E195" s="35">
        <v>0.41799999999999998</v>
      </c>
      <c r="F195" s="35">
        <v>0.51200000000000001</v>
      </c>
      <c r="G195" s="35">
        <v>1.06</v>
      </c>
      <c r="H195" s="35">
        <v>0.71599999999999997</v>
      </c>
      <c r="I195" s="35">
        <v>0.76200000000000001</v>
      </c>
      <c r="J195" s="35">
        <v>0.54300000000000004</v>
      </c>
      <c r="K195" s="35">
        <v>0.65200000000000002</v>
      </c>
      <c r="L195" s="35">
        <v>0.36699999999999999</v>
      </c>
      <c r="M195" s="35">
        <v>0.33400000000000002</v>
      </c>
      <c r="N195" s="35">
        <v>0.74099999999999999</v>
      </c>
      <c r="O195" s="35">
        <v>0.39200000000000002</v>
      </c>
      <c r="P195" s="35">
        <v>0.40100000000000002</v>
      </c>
      <c r="Q195" s="35">
        <v>0.64100000000000001</v>
      </c>
      <c r="R195" s="35">
        <v>0.22</v>
      </c>
      <c r="S195" s="35">
        <v>0.51800000000000002</v>
      </c>
      <c r="T195" s="35">
        <v>0.78400000000000003</v>
      </c>
      <c r="U195" s="35">
        <v>0.39300000000000002</v>
      </c>
      <c r="V195" s="35">
        <v>0.52100000000000002</v>
      </c>
      <c r="W195" s="35">
        <v>0.67</v>
      </c>
      <c r="X195" s="202">
        <v>0.67400000000000004</v>
      </c>
      <c r="Y195" s="204">
        <v>0.53500000000000003</v>
      </c>
      <c r="Z195" s="35">
        <v>0.432</v>
      </c>
      <c r="AA195" s="35">
        <v>0.65300000000000002</v>
      </c>
      <c r="AB195" s="138">
        <v>1.46</v>
      </c>
      <c r="AC195" s="35">
        <v>0.57099999999999995</v>
      </c>
    </row>
    <row r="196" spans="1:29">
      <c r="A196" s="95" t="s">
        <v>748</v>
      </c>
      <c r="B196" s="36">
        <v>9.8900000000000002E-2</v>
      </c>
      <c r="C196" s="36">
        <v>9.64E-2</v>
      </c>
      <c r="D196" s="36">
        <v>0.11700000000000001</v>
      </c>
      <c r="E196" s="36">
        <v>6.6400000000000001E-2</v>
      </c>
      <c r="F196" s="36">
        <v>9.9400000000000002E-2</v>
      </c>
      <c r="G196" s="36">
        <v>0.158</v>
      </c>
      <c r="H196" s="36">
        <v>0.104</v>
      </c>
      <c r="I196" s="36">
        <v>0.128</v>
      </c>
      <c r="J196" s="36">
        <v>8.6900000000000005E-2</v>
      </c>
      <c r="K196" s="36">
        <v>0.11700000000000001</v>
      </c>
      <c r="L196" s="36">
        <v>5.8700000000000002E-2</v>
      </c>
      <c r="M196" s="36">
        <v>5.6399999999999999E-2</v>
      </c>
      <c r="N196" s="36">
        <v>0.127</v>
      </c>
      <c r="O196" s="36">
        <v>6.3100000000000003E-2</v>
      </c>
      <c r="P196" s="36">
        <v>6.9599999999999995E-2</v>
      </c>
      <c r="Q196" s="36">
        <v>9.8299999999999998E-2</v>
      </c>
      <c r="R196" s="36">
        <v>5.1400000000000001E-2</v>
      </c>
      <c r="S196" s="36">
        <v>8.2799999999999999E-2</v>
      </c>
      <c r="T196" s="36">
        <v>0.121</v>
      </c>
      <c r="U196" s="36">
        <v>6.4000000000000001E-2</v>
      </c>
      <c r="V196" s="36">
        <v>7.1800000000000003E-2</v>
      </c>
      <c r="W196" s="36">
        <v>9.7199999999999995E-2</v>
      </c>
      <c r="X196" s="200">
        <v>8.3599999999999994E-2</v>
      </c>
      <c r="Y196" s="139">
        <v>9.8100000000000007E-2</v>
      </c>
      <c r="Z196" s="36">
        <v>7.6799999999999993E-2</v>
      </c>
      <c r="AA196" s="36">
        <v>0.121</v>
      </c>
      <c r="AB196" s="140">
        <v>0.32500000000000001</v>
      </c>
      <c r="AC196" s="36">
        <v>9.8900000000000002E-2</v>
      </c>
    </row>
    <row r="197" spans="1:29">
      <c r="A197" s="95" t="s">
        <v>749</v>
      </c>
      <c r="B197" s="35">
        <v>6.1899999999999997E-2</v>
      </c>
      <c r="C197" s="35">
        <v>5.9400000000000001E-2</v>
      </c>
      <c r="D197" s="35">
        <v>6.2600000000000003E-2</v>
      </c>
      <c r="E197" s="35">
        <v>5.5399999999999998E-2</v>
      </c>
      <c r="F197" s="35">
        <v>6.8199999999999997E-2</v>
      </c>
      <c r="G197" s="35">
        <v>9.8799999999999999E-2</v>
      </c>
      <c r="H197" s="35">
        <v>7.3400000000000007E-2</v>
      </c>
      <c r="I197" s="35">
        <v>7.0499999999999993E-2</v>
      </c>
      <c r="J197" s="35">
        <v>5.3400000000000003E-2</v>
      </c>
      <c r="K197" s="35">
        <v>4.6699999999999998E-2</v>
      </c>
      <c r="L197" s="35">
        <v>5.57E-2</v>
      </c>
      <c r="M197" s="35">
        <v>3.7199999999999997E-2</v>
      </c>
      <c r="N197" s="35">
        <v>6.9500000000000006E-2</v>
      </c>
      <c r="O197" s="35">
        <v>4.5900000000000003E-2</v>
      </c>
      <c r="P197" s="35">
        <v>4.2700000000000002E-2</v>
      </c>
      <c r="Q197" s="35">
        <v>7.6100000000000001E-2</v>
      </c>
      <c r="R197" s="35">
        <v>2.01E-2</v>
      </c>
      <c r="S197" s="35">
        <v>5.8999999999999997E-2</v>
      </c>
      <c r="T197" s="35">
        <v>6.4199999999999993E-2</v>
      </c>
      <c r="U197" s="35">
        <v>2.9700000000000001E-2</v>
      </c>
      <c r="V197" s="35">
        <v>3.8899999999999997E-2</v>
      </c>
      <c r="W197" s="35">
        <v>5.1799999999999999E-2</v>
      </c>
      <c r="X197" s="202">
        <v>5.11E-2</v>
      </c>
      <c r="Y197" s="204">
        <v>5.91E-2</v>
      </c>
      <c r="Z197" s="35">
        <v>5.0799999999999998E-2</v>
      </c>
      <c r="AA197" s="35">
        <v>6.2E-2</v>
      </c>
      <c r="AB197" s="138">
        <v>0.23300000000000001</v>
      </c>
      <c r="AC197" s="35">
        <v>6.1899999999999997E-2</v>
      </c>
    </row>
    <row r="198" spans="1:29">
      <c r="A198" s="95" t="s">
        <v>751</v>
      </c>
      <c r="B198" s="35">
        <v>0.26700000000000002</v>
      </c>
      <c r="C198" s="35">
        <v>7.6700000000000004E-2</v>
      </c>
      <c r="D198" s="3"/>
      <c r="E198" s="3"/>
      <c r="F198" s="3"/>
      <c r="G198" s="35">
        <v>0.13500000000000001</v>
      </c>
      <c r="H198" s="35">
        <v>7.4300000000000005E-2</v>
      </c>
      <c r="I198" s="35">
        <v>0.109</v>
      </c>
      <c r="J198" s="35">
        <v>7.0099999999999996E-2</v>
      </c>
      <c r="K198" s="3"/>
      <c r="L198" s="3"/>
      <c r="M198" s="3"/>
      <c r="N198" s="3"/>
      <c r="O198" s="3"/>
      <c r="P198" s="3"/>
      <c r="Q198" s="3"/>
      <c r="R198" s="35">
        <v>6.4100000000000004E-2</v>
      </c>
      <c r="S198" s="35">
        <v>9.7100000000000006E-2</v>
      </c>
      <c r="T198" s="35">
        <v>0.11799999999999999</v>
      </c>
      <c r="U198" s="3"/>
      <c r="V198" s="3"/>
      <c r="W198" s="3"/>
      <c r="X198" s="203"/>
      <c r="Y198" s="204">
        <v>0.36199999999999999</v>
      </c>
      <c r="Z198" s="35">
        <v>6.3600000000000004E-2</v>
      </c>
      <c r="AA198" s="3"/>
      <c r="AB198" s="142"/>
      <c r="AC198" s="35">
        <v>0.26700000000000002</v>
      </c>
    </row>
    <row r="199" spans="1:29">
      <c r="A199" s="95" t="s">
        <v>752</v>
      </c>
      <c r="B199" s="36">
        <v>0.26500000000000001</v>
      </c>
      <c r="C199" s="36">
        <v>4.9700000000000001E-2</v>
      </c>
      <c r="D199" s="36">
        <v>1.2E-2</v>
      </c>
      <c r="E199" s="36">
        <v>5.9900000000000002E-2</v>
      </c>
      <c r="F199" s="36">
        <v>8.8200000000000001E-2</v>
      </c>
      <c r="G199" s="36">
        <v>6.6400000000000001E-2</v>
      </c>
      <c r="H199" s="36">
        <v>0.23</v>
      </c>
      <c r="I199" s="36">
        <v>8.43E-3</v>
      </c>
      <c r="J199" s="36">
        <v>6.0200000000000002E-3</v>
      </c>
      <c r="K199" s="36">
        <v>0.83699999999999997</v>
      </c>
      <c r="L199" s="36">
        <v>0.13200000000000001</v>
      </c>
      <c r="M199" s="36">
        <v>0.14899999999999999</v>
      </c>
      <c r="N199" s="36">
        <v>0.59399999999999997</v>
      </c>
      <c r="O199" s="5"/>
      <c r="P199" s="36">
        <v>1.61E-2</v>
      </c>
      <c r="Q199" s="36">
        <v>0.41</v>
      </c>
      <c r="R199" s="36">
        <v>0.254</v>
      </c>
      <c r="S199" s="36">
        <v>0.36299999999999999</v>
      </c>
      <c r="T199" s="36">
        <v>0.58499999999999996</v>
      </c>
      <c r="U199" s="36">
        <v>0.245</v>
      </c>
      <c r="V199" s="36">
        <v>0.23499999999999999</v>
      </c>
      <c r="W199" s="36">
        <v>0.55000000000000004</v>
      </c>
      <c r="X199" s="200">
        <v>0.46300000000000002</v>
      </c>
      <c r="Y199" s="139">
        <v>7.2999999999999995E-2</v>
      </c>
      <c r="Z199" s="36">
        <v>3.1600000000000003E-2</v>
      </c>
      <c r="AA199" s="36">
        <v>1.5599999999999999E-2</v>
      </c>
      <c r="AB199" s="140">
        <v>6.8500000000000005E-2</v>
      </c>
      <c r="AC199" s="36">
        <v>0.26500000000000001</v>
      </c>
    </row>
    <row r="200" spans="1:29">
      <c r="A200" s="95" t="s">
        <v>753</v>
      </c>
      <c r="B200" s="35">
        <v>2.9000000000000001E-2</v>
      </c>
      <c r="C200" s="35">
        <v>2.3E-2</v>
      </c>
      <c r="D200" s="35">
        <v>2.4799999999999999E-2</v>
      </c>
      <c r="E200" s="35">
        <v>1.5800000000000002E-2</v>
      </c>
      <c r="F200" s="35">
        <v>2.9899999999999999E-2</v>
      </c>
      <c r="G200" s="35">
        <v>4.48E-2</v>
      </c>
      <c r="H200" s="35">
        <v>3.7400000000000003E-2</v>
      </c>
      <c r="I200" s="35">
        <v>4.2999999999999997E-2</v>
      </c>
      <c r="J200" s="35">
        <v>2.9899999999999999E-2</v>
      </c>
      <c r="K200" s="35">
        <v>2.1000000000000001E-2</v>
      </c>
      <c r="L200" s="35">
        <v>1.18E-2</v>
      </c>
      <c r="M200" s="35">
        <v>1.21E-2</v>
      </c>
      <c r="N200" s="35">
        <v>3.04E-2</v>
      </c>
      <c r="O200" s="35">
        <v>2.1100000000000001E-2</v>
      </c>
      <c r="P200" s="35">
        <v>1.7999999999999999E-2</v>
      </c>
      <c r="Q200" s="35">
        <v>2.9600000000000001E-2</v>
      </c>
      <c r="R200" s="35">
        <v>1.5699999999999999E-2</v>
      </c>
      <c r="S200" s="35">
        <v>4.82E-2</v>
      </c>
      <c r="T200" s="35">
        <v>4.4900000000000002E-2</v>
      </c>
      <c r="U200" s="35">
        <v>2.93E-2</v>
      </c>
      <c r="V200" s="35">
        <v>3.1099999999999999E-2</v>
      </c>
      <c r="W200" s="35">
        <v>4.0599999999999997E-2</v>
      </c>
      <c r="X200" s="202">
        <v>3.8600000000000002E-2</v>
      </c>
      <c r="Y200" s="204">
        <v>2.81E-2</v>
      </c>
      <c r="Z200" s="35">
        <v>2.6700000000000002E-2</v>
      </c>
      <c r="AA200" s="35">
        <v>4.3299999999999998E-2</v>
      </c>
      <c r="AB200" s="138">
        <v>8.9099999999999999E-2</v>
      </c>
      <c r="AC200" s="35">
        <v>2.9000000000000001E-2</v>
      </c>
    </row>
    <row r="201" spans="1:29">
      <c r="A201" s="95" t="s">
        <v>754</v>
      </c>
      <c r="B201" s="36">
        <v>0.58499999999999996</v>
      </c>
      <c r="C201" s="36">
        <v>2.8400000000000002E-2</v>
      </c>
      <c r="D201" s="36">
        <v>4.0800000000000003E-2</v>
      </c>
      <c r="E201" s="36">
        <v>0.60599999999999998</v>
      </c>
      <c r="F201" s="36">
        <v>0.68100000000000005</v>
      </c>
      <c r="G201" s="36">
        <v>6.4299999999999996E-2</v>
      </c>
      <c r="H201" s="36">
        <v>5.9299999999999999E-2</v>
      </c>
      <c r="I201" s="36">
        <v>6.7199999999999996E-2</v>
      </c>
      <c r="J201" s="36">
        <v>4.41E-2</v>
      </c>
      <c r="K201" s="36">
        <v>1.18</v>
      </c>
      <c r="L201" s="36">
        <v>0.42299999999999999</v>
      </c>
      <c r="M201" s="36">
        <v>0.67800000000000005</v>
      </c>
      <c r="N201" s="36">
        <v>1.43</v>
      </c>
      <c r="O201" s="36">
        <v>0.52400000000000002</v>
      </c>
      <c r="P201" s="36">
        <v>0.371</v>
      </c>
      <c r="Q201" s="36">
        <v>0.09</v>
      </c>
      <c r="R201" s="36">
        <v>3.0099999999999998E-2</v>
      </c>
      <c r="S201" s="36">
        <v>0.13800000000000001</v>
      </c>
      <c r="T201" s="36">
        <v>0.13500000000000001</v>
      </c>
      <c r="U201" s="36">
        <v>6.2100000000000002E-2</v>
      </c>
      <c r="V201" s="36">
        <v>0.11700000000000001</v>
      </c>
      <c r="W201" s="36">
        <v>0.127</v>
      </c>
      <c r="X201" s="200">
        <v>0.14000000000000001</v>
      </c>
      <c r="Y201" s="139">
        <v>0.434</v>
      </c>
      <c r="Z201" s="36">
        <v>0.34699999999999998</v>
      </c>
      <c r="AA201" s="36">
        <v>0.44400000000000001</v>
      </c>
      <c r="AB201" s="140">
        <v>0.11899999999999999</v>
      </c>
      <c r="AC201" s="36">
        <v>0.58499999999999996</v>
      </c>
    </row>
    <row r="202" spans="1:29">
      <c r="A202" s="95" t="s">
        <v>755</v>
      </c>
      <c r="B202" s="35">
        <v>0.187</v>
      </c>
      <c r="C202" s="35">
        <v>9.5000000000000001E-2</v>
      </c>
      <c r="D202" s="35">
        <v>7.4399999999999994E-2</v>
      </c>
      <c r="E202" s="35">
        <v>0.14299999999999999</v>
      </c>
      <c r="F202" s="35">
        <v>0.24</v>
      </c>
      <c r="G202" s="35">
        <v>0.17899999999999999</v>
      </c>
      <c r="H202" s="35">
        <v>0.17</v>
      </c>
      <c r="I202" s="35">
        <v>0.216</v>
      </c>
      <c r="J202" s="35">
        <v>0.10100000000000001</v>
      </c>
      <c r="K202" s="35">
        <v>0.249</v>
      </c>
      <c r="L202" s="35">
        <v>9.7900000000000001E-2</v>
      </c>
      <c r="M202" s="35">
        <v>0.14399999999999999</v>
      </c>
      <c r="N202" s="35">
        <v>0.34100000000000003</v>
      </c>
      <c r="O202" s="35">
        <v>0.18099999999999999</v>
      </c>
      <c r="P202" s="35">
        <v>0.13500000000000001</v>
      </c>
      <c r="Q202" s="35">
        <v>0.122</v>
      </c>
      <c r="R202" s="35">
        <v>9.8400000000000001E-2</v>
      </c>
      <c r="S202" s="35">
        <v>0.20100000000000001</v>
      </c>
      <c r="T202" s="35">
        <v>0.16300000000000001</v>
      </c>
      <c r="U202" s="35">
        <v>0.13</v>
      </c>
      <c r="V202" s="35">
        <v>9.1499999999999998E-2</v>
      </c>
      <c r="W202" s="35">
        <v>0.13800000000000001</v>
      </c>
      <c r="X202" s="202">
        <v>0.13300000000000001</v>
      </c>
      <c r="Y202" s="204">
        <v>0.16300000000000001</v>
      </c>
      <c r="Z202" s="35">
        <v>0.13400000000000001</v>
      </c>
      <c r="AA202" s="35">
        <v>0.21099999999999999</v>
      </c>
      <c r="AB202" s="138">
        <v>0.20799999999999999</v>
      </c>
      <c r="AC202" s="35">
        <v>0.187</v>
      </c>
    </row>
    <row r="203" spans="1:29">
      <c r="A203" s="95" t="s">
        <v>756</v>
      </c>
      <c r="B203" s="36">
        <v>0.95299999999999996</v>
      </c>
      <c r="C203" s="36">
        <v>0.23</v>
      </c>
      <c r="D203" s="36">
        <v>0.224</v>
      </c>
      <c r="E203" s="36">
        <v>0.78700000000000003</v>
      </c>
      <c r="F203" s="36">
        <v>1.42</v>
      </c>
      <c r="G203" s="36">
        <v>0.51800000000000002</v>
      </c>
      <c r="H203" s="36">
        <v>0.497</v>
      </c>
      <c r="I203" s="36">
        <v>0.61499999999999999</v>
      </c>
      <c r="J203" s="36">
        <v>0.27700000000000002</v>
      </c>
      <c r="K203" s="36">
        <v>2.11</v>
      </c>
      <c r="L203" s="36">
        <v>0.77200000000000002</v>
      </c>
      <c r="M203" s="36">
        <v>1</v>
      </c>
      <c r="N203" s="36">
        <v>2.14</v>
      </c>
      <c r="O203" s="36">
        <v>1.38</v>
      </c>
      <c r="P203" s="36">
        <v>0.98699999999999999</v>
      </c>
      <c r="Q203" s="36">
        <v>0.41299999999999998</v>
      </c>
      <c r="R203" s="36">
        <v>0.26</v>
      </c>
      <c r="S203" s="36">
        <v>0.70299999999999996</v>
      </c>
      <c r="T203" s="36">
        <v>0.64400000000000002</v>
      </c>
      <c r="U203" s="36">
        <v>0.40600000000000003</v>
      </c>
      <c r="V203" s="36">
        <v>0.34399999999999997</v>
      </c>
      <c r="W203" s="36">
        <v>0.54300000000000004</v>
      </c>
      <c r="X203" s="200">
        <v>0.47599999999999998</v>
      </c>
      <c r="Y203" s="139">
        <v>0.70799999999999996</v>
      </c>
      <c r="Z203" s="36">
        <v>0.89400000000000002</v>
      </c>
      <c r="AA203" s="36">
        <v>1.51</v>
      </c>
      <c r="AB203" s="140">
        <v>0.51500000000000001</v>
      </c>
      <c r="AC203" s="36">
        <v>0.95299999999999996</v>
      </c>
    </row>
    <row r="204" spans="1:29">
      <c r="A204" s="95" t="s">
        <v>757</v>
      </c>
      <c r="B204" s="35">
        <v>0.193</v>
      </c>
      <c r="C204" s="35">
        <v>2.7900000000000001E-2</v>
      </c>
      <c r="D204" s="35">
        <v>2.87E-2</v>
      </c>
      <c r="E204" s="35">
        <v>0.56999999999999995</v>
      </c>
      <c r="F204" s="35">
        <v>6.9000000000000006E-2</v>
      </c>
      <c r="G204" s="35">
        <v>0.127</v>
      </c>
      <c r="H204" s="35">
        <v>0.16</v>
      </c>
      <c r="I204" s="35">
        <v>0.123</v>
      </c>
      <c r="J204" s="35">
        <v>8.3799999999999999E-2</v>
      </c>
      <c r="K204" s="35">
        <v>0.49299999999999999</v>
      </c>
      <c r="L204" s="35">
        <v>3.4799999999999998E-2</v>
      </c>
      <c r="M204" s="35">
        <v>6.2700000000000006E-2</v>
      </c>
      <c r="N204" s="35">
        <v>0.24199999999999999</v>
      </c>
      <c r="O204" s="35">
        <v>7.0999999999999994E-2</v>
      </c>
      <c r="P204" s="35">
        <v>5.4300000000000001E-2</v>
      </c>
      <c r="Q204" s="35">
        <v>0.54300000000000004</v>
      </c>
      <c r="R204" s="35">
        <v>0.245</v>
      </c>
      <c r="S204" s="35">
        <v>0.11899999999999999</v>
      </c>
      <c r="T204" s="35">
        <v>0.23200000000000001</v>
      </c>
      <c r="U204" s="35">
        <v>0.28899999999999998</v>
      </c>
      <c r="V204" s="35">
        <v>0.224</v>
      </c>
      <c r="W204" s="35">
        <v>0.56100000000000005</v>
      </c>
      <c r="X204" s="202">
        <v>0.371</v>
      </c>
      <c r="Y204" s="204">
        <v>0.247</v>
      </c>
      <c r="Z204" s="35">
        <v>6.4699999999999994E-2</v>
      </c>
      <c r="AA204" s="35">
        <v>0.153</v>
      </c>
      <c r="AB204" s="138">
        <v>0.38400000000000001</v>
      </c>
      <c r="AC204" s="35">
        <v>0.193</v>
      </c>
    </row>
    <row r="205" spans="1:29">
      <c r="A205" s="95" t="s">
        <v>758</v>
      </c>
      <c r="B205" s="5"/>
      <c r="C205" s="5"/>
      <c r="D205" s="5"/>
      <c r="E205" s="5"/>
      <c r="F205" s="5"/>
      <c r="G205" s="36">
        <v>4.9699999999999996E-3</v>
      </c>
      <c r="H205" s="36">
        <v>8.3400000000000002E-3</v>
      </c>
      <c r="I205" s="36">
        <v>1.03E-2</v>
      </c>
      <c r="J205" s="36">
        <v>6.5100000000000002E-3</v>
      </c>
      <c r="K205" s="5"/>
      <c r="L205" s="5"/>
      <c r="M205" s="5"/>
      <c r="N205" s="5"/>
      <c r="O205" s="5"/>
      <c r="P205" s="5"/>
      <c r="Q205" s="5"/>
      <c r="R205" s="5"/>
      <c r="S205" s="5"/>
      <c r="T205" s="5"/>
      <c r="U205" s="5"/>
      <c r="V205" s="5"/>
      <c r="W205" s="5"/>
      <c r="X205" s="201"/>
      <c r="Y205" s="113"/>
      <c r="Z205" s="5"/>
      <c r="AA205" s="5"/>
      <c r="AB205" s="114"/>
      <c r="AC205" s="5"/>
    </row>
    <row r="206" spans="1:29">
      <c r="A206" s="95" t="s">
        <v>759</v>
      </c>
      <c r="B206" s="35">
        <v>3.5200000000000002E-2</v>
      </c>
      <c r="C206" s="35">
        <v>3.6799999999999999E-2</v>
      </c>
      <c r="D206" s="35">
        <v>4.0099999999999997E-2</v>
      </c>
      <c r="E206" s="3"/>
      <c r="F206" s="3"/>
      <c r="G206" s="35">
        <v>7.0999999999999994E-2</v>
      </c>
      <c r="H206" s="35">
        <v>6.5699999999999995E-2</v>
      </c>
      <c r="I206" s="35">
        <v>5.5599999999999997E-2</v>
      </c>
      <c r="J206" s="35">
        <v>5.1999999999999998E-2</v>
      </c>
      <c r="K206" s="3"/>
      <c r="L206" s="3"/>
      <c r="M206" s="3"/>
      <c r="N206" s="35">
        <v>7.4099999999999999E-3</v>
      </c>
      <c r="O206" s="3"/>
      <c r="P206" s="3"/>
      <c r="Q206" s="35">
        <v>5.91E-2</v>
      </c>
      <c r="R206" s="3"/>
      <c r="S206" s="35">
        <v>8.1699999999999995E-2</v>
      </c>
      <c r="T206" s="35">
        <v>7.0099999999999996E-2</v>
      </c>
      <c r="U206" s="35">
        <v>3.78E-2</v>
      </c>
      <c r="V206" s="35">
        <v>3.5999999999999997E-2</v>
      </c>
      <c r="W206" s="35">
        <v>4.9599999999999998E-2</v>
      </c>
      <c r="X206" s="202">
        <v>4.36E-2</v>
      </c>
      <c r="Y206" s="204">
        <v>1.3899999999999999E-2</v>
      </c>
      <c r="Z206" s="35">
        <v>5.9199999999999999E-3</v>
      </c>
      <c r="AA206" s="35">
        <v>1.0200000000000001E-2</v>
      </c>
      <c r="AB206" s="138">
        <v>0.12</v>
      </c>
      <c r="AC206" s="35">
        <v>3.5200000000000002E-2</v>
      </c>
    </row>
    <row r="207" spans="1:29">
      <c r="A207" s="95" t="s">
        <v>760</v>
      </c>
      <c r="B207" s="36">
        <v>1.32E-2</v>
      </c>
      <c r="C207" s="36">
        <v>5.8399999999999997E-3</v>
      </c>
      <c r="D207" s="36">
        <v>1.8400000000000001E-3</v>
      </c>
      <c r="E207" s="36">
        <v>1.17E-2</v>
      </c>
      <c r="F207" s="36">
        <v>3.4099999999999998E-3</v>
      </c>
      <c r="G207" s="36">
        <v>9.3200000000000002E-3</v>
      </c>
      <c r="H207" s="36">
        <v>1.66E-2</v>
      </c>
      <c r="I207" s="36">
        <v>1.0800000000000001E-2</v>
      </c>
      <c r="J207" s="36">
        <v>6.62E-3</v>
      </c>
      <c r="K207" s="36">
        <v>2.7099999999999999E-2</v>
      </c>
      <c r="L207" s="36">
        <v>3.0100000000000001E-3</v>
      </c>
      <c r="M207" s="36">
        <v>4.79E-3</v>
      </c>
      <c r="N207" s="36">
        <v>1.17E-2</v>
      </c>
      <c r="O207" s="36">
        <v>3.2299999999999998E-3</v>
      </c>
      <c r="P207" s="36">
        <v>8.6199999999999992E-3</v>
      </c>
      <c r="Q207" s="36">
        <v>2.6700000000000002E-2</v>
      </c>
      <c r="R207" s="36">
        <v>1.44E-2</v>
      </c>
      <c r="S207" s="36">
        <v>1.06E-2</v>
      </c>
      <c r="T207" s="36">
        <v>1.61E-2</v>
      </c>
      <c r="U207" s="36">
        <v>9.4999999999999998E-3</v>
      </c>
      <c r="V207" s="36">
        <v>1.0500000000000001E-2</v>
      </c>
      <c r="W207" s="36">
        <v>3.3700000000000001E-2</v>
      </c>
      <c r="X207" s="200">
        <v>1.54E-2</v>
      </c>
      <c r="Y207" s="139">
        <v>6.6800000000000002E-3</v>
      </c>
      <c r="Z207" s="36">
        <v>1.67E-2</v>
      </c>
      <c r="AA207" s="36">
        <v>2.2100000000000002E-2</v>
      </c>
      <c r="AB207" s="140">
        <v>9.8500000000000004E-2</v>
      </c>
      <c r="AC207" s="36">
        <v>1.32E-2</v>
      </c>
    </row>
    <row r="208" spans="1:29">
      <c r="A208" s="95" t="s">
        <v>761</v>
      </c>
      <c r="B208" s="35">
        <v>7.28E-3</v>
      </c>
      <c r="C208" s="35">
        <v>3.82E-3</v>
      </c>
      <c r="D208" s="3"/>
      <c r="E208" s="35">
        <v>1.75E-3</v>
      </c>
      <c r="F208" s="3"/>
      <c r="G208" s="35">
        <v>7.9900000000000006E-3</v>
      </c>
      <c r="H208" s="35">
        <v>7.6899999999999998E-3</v>
      </c>
      <c r="I208" s="35">
        <v>6.9199999999999999E-3</v>
      </c>
      <c r="J208" s="35">
        <v>1.1299999999999999E-2</v>
      </c>
      <c r="K208" s="35">
        <v>1.17E-2</v>
      </c>
      <c r="L208" s="35">
        <v>2.2599999999999999E-3</v>
      </c>
      <c r="M208" s="35">
        <v>4.6100000000000004E-3</v>
      </c>
      <c r="N208" s="35">
        <v>7.7099999999999998E-3</v>
      </c>
      <c r="O208" s="35">
        <v>1.9E-3</v>
      </c>
      <c r="P208" s="35">
        <v>1.7600000000000001E-3</v>
      </c>
      <c r="Q208" s="35">
        <v>1.14E-2</v>
      </c>
      <c r="R208" s="35">
        <v>7.3800000000000003E-3</v>
      </c>
      <c r="S208" s="35">
        <v>2.2100000000000002E-2</v>
      </c>
      <c r="T208" s="35">
        <v>1.2E-2</v>
      </c>
      <c r="U208" s="35">
        <v>1.1299999999999999E-2</v>
      </c>
      <c r="V208" s="35">
        <v>5.8599999999999998E-3</v>
      </c>
      <c r="W208" s="35">
        <v>1.14E-2</v>
      </c>
      <c r="X208" s="202">
        <v>9.9900000000000006E-3</v>
      </c>
      <c r="Y208" s="204">
        <v>3.1800000000000001E-3</v>
      </c>
      <c r="Z208" s="35">
        <v>5.22E-4</v>
      </c>
      <c r="AA208" s="35">
        <v>2.3900000000000002E-3</v>
      </c>
      <c r="AB208" s="138">
        <v>8.2699999999999996E-3</v>
      </c>
      <c r="AC208" s="35">
        <v>7.28E-3</v>
      </c>
    </row>
    <row r="209" spans="1:29">
      <c r="A209" s="95" t="s">
        <v>762</v>
      </c>
      <c r="B209" s="36">
        <v>9.5200000000000007E-3</v>
      </c>
      <c r="C209" s="36">
        <v>3.8700000000000002E-3</v>
      </c>
      <c r="D209" s="5"/>
      <c r="E209" s="36">
        <v>5.6600000000000001E-3</v>
      </c>
      <c r="F209" s="36">
        <v>4.1399999999999996E-3</v>
      </c>
      <c r="G209" s="36">
        <v>8.2199999999999999E-3</v>
      </c>
      <c r="H209" s="36">
        <v>1.1599999999999999E-2</v>
      </c>
      <c r="I209" s="36">
        <v>9.0500000000000008E-3</v>
      </c>
      <c r="J209" s="36">
        <v>8.5299999999999994E-3</v>
      </c>
      <c r="K209" s="36">
        <v>1.4200000000000001E-2</v>
      </c>
      <c r="L209" s="36">
        <v>3.0899999999999999E-3</v>
      </c>
      <c r="M209" s="36">
        <v>4.4999999999999997E-3</v>
      </c>
      <c r="N209" s="36">
        <v>1.5100000000000001E-2</v>
      </c>
      <c r="O209" s="36">
        <v>3.14E-3</v>
      </c>
      <c r="P209" s="36">
        <v>2.2100000000000002E-3</v>
      </c>
      <c r="Q209" s="36">
        <v>1.1299999999999999E-2</v>
      </c>
      <c r="R209" s="36">
        <v>8.8800000000000007E-3</v>
      </c>
      <c r="S209" s="36">
        <v>1.5900000000000001E-2</v>
      </c>
      <c r="T209" s="36">
        <v>1.2999999999999999E-2</v>
      </c>
      <c r="U209" s="36">
        <v>7.7400000000000004E-3</v>
      </c>
      <c r="V209" s="36">
        <v>4.8500000000000001E-3</v>
      </c>
      <c r="W209" s="36">
        <v>1.55E-2</v>
      </c>
      <c r="X209" s="200">
        <v>1.18E-2</v>
      </c>
      <c r="Y209" s="139">
        <v>5.8900000000000003E-3</v>
      </c>
      <c r="Z209" s="36">
        <v>2.9499999999999999E-3</v>
      </c>
      <c r="AA209" s="36">
        <v>3.5899999999999999E-3</v>
      </c>
      <c r="AB209" s="114"/>
      <c r="AC209" s="36">
        <v>9.5200000000000007E-3</v>
      </c>
    </row>
    <row r="210" spans="1:29">
      <c r="A210" s="95" t="s">
        <v>763</v>
      </c>
      <c r="B210" s="35">
        <v>0.56200000000000006</v>
      </c>
      <c r="C210" s="35">
        <v>0.32800000000000001</v>
      </c>
      <c r="D210" s="35">
        <v>0.374</v>
      </c>
      <c r="E210" s="35">
        <v>0.23699999999999999</v>
      </c>
      <c r="F210" s="35">
        <v>0.31900000000000001</v>
      </c>
      <c r="G210" s="35">
        <v>0.67</v>
      </c>
      <c r="H210" s="35">
        <v>0.67400000000000004</v>
      </c>
      <c r="I210" s="35">
        <v>0.70399999999999996</v>
      </c>
      <c r="J210" s="35">
        <v>0.55300000000000005</v>
      </c>
      <c r="K210" s="35">
        <v>0.66600000000000004</v>
      </c>
      <c r="L210" s="35">
        <v>0.308</v>
      </c>
      <c r="M210" s="35">
        <v>0.376</v>
      </c>
      <c r="N210" s="35">
        <v>0.71899999999999997</v>
      </c>
      <c r="O210" s="35">
        <v>0.32100000000000001</v>
      </c>
      <c r="P210" s="35">
        <v>0.246</v>
      </c>
      <c r="Q210" s="35">
        <v>0.624</v>
      </c>
      <c r="R210" s="35">
        <v>0.27300000000000002</v>
      </c>
      <c r="S210" s="35">
        <v>1.21</v>
      </c>
      <c r="T210" s="35">
        <v>0.92200000000000004</v>
      </c>
      <c r="U210" s="35">
        <v>0.58199999999999996</v>
      </c>
      <c r="V210" s="35">
        <v>0.36899999999999999</v>
      </c>
      <c r="W210" s="35">
        <v>0.53700000000000003</v>
      </c>
      <c r="X210" s="202">
        <v>0.51300000000000001</v>
      </c>
      <c r="Y210" s="204">
        <v>0.31900000000000001</v>
      </c>
      <c r="Z210" s="35">
        <v>0.23400000000000001</v>
      </c>
      <c r="AA210" s="35">
        <v>0.39100000000000001</v>
      </c>
      <c r="AB210" s="138">
        <v>0.96499999999999997</v>
      </c>
      <c r="AC210" s="35">
        <v>0.56200000000000006</v>
      </c>
    </row>
    <row r="211" spans="1:29">
      <c r="A211" s="95" t="s">
        <v>764</v>
      </c>
      <c r="B211" s="36">
        <v>0.159</v>
      </c>
      <c r="C211" s="36">
        <v>0.113</v>
      </c>
      <c r="D211" s="36">
        <v>6.2600000000000003E-2</v>
      </c>
      <c r="E211" s="36">
        <v>2.1999999999999999E-2</v>
      </c>
      <c r="F211" s="36">
        <v>3.8899999999999997E-2</v>
      </c>
      <c r="G211" s="36">
        <v>0.26700000000000002</v>
      </c>
      <c r="H211" s="36">
        <v>0.317</v>
      </c>
      <c r="I211" s="36">
        <v>0.28199999999999997</v>
      </c>
      <c r="J211" s="36">
        <v>0.314</v>
      </c>
      <c r="K211" s="36">
        <v>0.151</v>
      </c>
      <c r="L211" s="36">
        <v>5.1999999999999998E-2</v>
      </c>
      <c r="M211" s="36">
        <v>7.3599999999999999E-2</v>
      </c>
      <c r="N211" s="36">
        <v>0.152</v>
      </c>
      <c r="O211" s="36">
        <v>4.3299999999999998E-2</v>
      </c>
      <c r="P211" s="36">
        <v>4.82E-2</v>
      </c>
      <c r="Q211" s="36">
        <v>0.151</v>
      </c>
      <c r="R211" s="36">
        <v>0.245</v>
      </c>
      <c r="S211" s="36">
        <v>0.84899999999999998</v>
      </c>
      <c r="T211" s="36">
        <v>0.59199999999999997</v>
      </c>
      <c r="U211" s="36">
        <v>0.36299999999999999</v>
      </c>
      <c r="V211" s="36">
        <v>0.192</v>
      </c>
      <c r="W211" s="36">
        <v>0.23699999999999999</v>
      </c>
      <c r="X211" s="200">
        <v>0.26300000000000001</v>
      </c>
      <c r="Y211" s="139">
        <v>4.9799999999999997E-2</v>
      </c>
      <c r="Z211" s="36">
        <v>3.7400000000000003E-2</v>
      </c>
      <c r="AA211" s="36">
        <v>4.9500000000000002E-2</v>
      </c>
      <c r="AB211" s="140">
        <v>8.6400000000000005E-2</v>
      </c>
      <c r="AC211" s="36">
        <v>0.159</v>
      </c>
    </row>
    <row r="212" spans="1:29">
      <c r="A212" s="95" t="s">
        <v>765</v>
      </c>
      <c r="B212" s="35">
        <v>7.8200000000000006E-2</v>
      </c>
      <c r="C212" s="35">
        <v>4.82E-2</v>
      </c>
      <c r="D212" s="35">
        <v>5.8500000000000003E-2</v>
      </c>
      <c r="E212" s="35">
        <v>3.1E-2</v>
      </c>
      <c r="F212" s="35">
        <v>4.8500000000000001E-2</v>
      </c>
      <c r="G212" s="35">
        <v>9.3399999999999997E-2</v>
      </c>
      <c r="H212" s="35">
        <v>9.3200000000000005E-2</v>
      </c>
      <c r="I212" s="35">
        <v>9.64E-2</v>
      </c>
      <c r="J212" s="35">
        <v>7.7499999999999999E-2</v>
      </c>
      <c r="K212" s="35">
        <v>9.6500000000000002E-2</v>
      </c>
      <c r="L212" s="35">
        <v>4.0599999999999997E-2</v>
      </c>
      <c r="M212" s="35">
        <v>4.8500000000000001E-2</v>
      </c>
      <c r="N212" s="35">
        <v>0.10199999999999999</v>
      </c>
      <c r="O212" s="35">
        <v>4.2200000000000001E-2</v>
      </c>
      <c r="P212" s="35">
        <v>3.9199999999999999E-2</v>
      </c>
      <c r="Q212" s="35">
        <v>8.3000000000000004E-2</v>
      </c>
      <c r="R212" s="35">
        <v>3.4500000000000003E-2</v>
      </c>
      <c r="S212" s="35">
        <v>0.13500000000000001</v>
      </c>
      <c r="T212" s="35">
        <v>0.109</v>
      </c>
      <c r="U212" s="35">
        <v>9.2700000000000005E-2</v>
      </c>
      <c r="V212" s="35">
        <v>5.91E-2</v>
      </c>
      <c r="W212" s="35">
        <v>8.3900000000000002E-2</v>
      </c>
      <c r="X212" s="202">
        <v>7.4200000000000002E-2</v>
      </c>
      <c r="Y212" s="204">
        <v>4.87E-2</v>
      </c>
      <c r="Z212" s="35">
        <v>3.4799999999999998E-2</v>
      </c>
      <c r="AA212" s="35">
        <v>5.67E-2</v>
      </c>
      <c r="AB212" s="138">
        <v>0.126</v>
      </c>
      <c r="AC212" s="35">
        <v>7.8200000000000006E-2</v>
      </c>
    </row>
    <row r="213" spans="1:29">
      <c r="A213" s="95" t="s">
        <v>766</v>
      </c>
      <c r="B213" s="36">
        <v>9.3600000000000003E-3</v>
      </c>
      <c r="C213" s="5"/>
      <c r="D213" s="5"/>
      <c r="E213" s="36">
        <v>1.1299999999999999E-2</v>
      </c>
      <c r="F213" s="36">
        <v>5.9199999999999999E-3</v>
      </c>
      <c r="G213" s="5"/>
      <c r="H213" s="5"/>
      <c r="I213" s="5"/>
      <c r="J213" s="5"/>
      <c r="K213" s="5"/>
      <c r="L213" s="5"/>
      <c r="M213" s="5"/>
      <c r="N213" s="5"/>
      <c r="O213" s="36">
        <v>8.2199999999999999E-3</v>
      </c>
      <c r="P213" s="36">
        <v>4.8799999999999998E-3</v>
      </c>
      <c r="Q213" s="5"/>
      <c r="R213" s="5"/>
      <c r="S213" s="5"/>
      <c r="T213" s="36">
        <v>1.06E-2</v>
      </c>
      <c r="U213" s="5"/>
      <c r="V213" s="36">
        <v>1.03E-2</v>
      </c>
      <c r="W213" s="36">
        <v>1.78E-2</v>
      </c>
      <c r="X213" s="200">
        <v>2.5399999999999999E-2</v>
      </c>
      <c r="Y213" s="139">
        <v>7.8100000000000001E-3</v>
      </c>
      <c r="Z213" s="36">
        <v>6.28E-3</v>
      </c>
      <c r="AA213" s="36">
        <v>6.62E-3</v>
      </c>
      <c r="AB213" s="140">
        <v>2.23E-2</v>
      </c>
      <c r="AC213" s="36">
        <v>9.3600000000000003E-3</v>
      </c>
    </row>
    <row r="214" spans="1:29">
      <c r="A214" s="95" t="s">
        <v>767</v>
      </c>
      <c r="B214" s="35">
        <v>0.22900000000000001</v>
      </c>
      <c r="C214" s="35">
        <v>0.14399999999999999</v>
      </c>
      <c r="D214" s="35">
        <v>0.13900000000000001</v>
      </c>
      <c r="E214" s="35">
        <v>0.184</v>
      </c>
      <c r="F214" s="35">
        <v>0.13600000000000001</v>
      </c>
      <c r="G214" s="35">
        <v>0.248</v>
      </c>
      <c r="H214" s="35">
        <v>0.25</v>
      </c>
      <c r="I214" s="35">
        <v>0.23699999999999999</v>
      </c>
      <c r="J214" s="35">
        <v>0.20399999999999999</v>
      </c>
      <c r="K214" s="35">
        <v>0.2</v>
      </c>
      <c r="L214" s="35">
        <v>0.127</v>
      </c>
      <c r="M214" s="35">
        <v>0.11899999999999999</v>
      </c>
      <c r="N214" s="35">
        <v>0.2</v>
      </c>
      <c r="O214" s="35">
        <v>0.16</v>
      </c>
      <c r="P214" s="35">
        <v>9.4100000000000003E-2</v>
      </c>
      <c r="Q214" s="35">
        <v>0.214</v>
      </c>
      <c r="R214" s="35">
        <v>0.155</v>
      </c>
      <c r="S214" s="35">
        <v>0.35299999999999998</v>
      </c>
      <c r="T214" s="35">
        <v>0.27400000000000002</v>
      </c>
      <c r="U214" s="35">
        <v>0.21199999999999999</v>
      </c>
      <c r="V214" s="35">
        <v>0.14399999999999999</v>
      </c>
      <c r="W214" s="35">
        <v>0.19500000000000001</v>
      </c>
      <c r="X214" s="202">
        <v>0.19400000000000001</v>
      </c>
      <c r="Y214" s="204">
        <v>0.11899999999999999</v>
      </c>
      <c r="Z214" s="35">
        <v>0.108</v>
      </c>
      <c r="AA214" s="35">
        <v>0.156</v>
      </c>
      <c r="AB214" s="142"/>
      <c r="AC214" s="35">
        <v>0.22900000000000001</v>
      </c>
    </row>
    <row r="215" spans="1:29">
      <c r="A215" s="95" t="s">
        <v>768</v>
      </c>
      <c r="B215" s="36">
        <v>1.9900000000000001E-2</v>
      </c>
      <c r="C215" s="36">
        <v>1.38E-2</v>
      </c>
      <c r="D215" s="36">
        <v>1.6899999999999998E-2</v>
      </c>
      <c r="E215" s="36">
        <v>1.49E-2</v>
      </c>
      <c r="F215" s="36">
        <v>2.2800000000000001E-2</v>
      </c>
      <c r="G215" s="36">
        <v>1.7100000000000001E-2</v>
      </c>
      <c r="H215" s="36">
        <v>9.4000000000000004E-3</v>
      </c>
      <c r="I215" s="36">
        <v>7.7000000000000002E-3</v>
      </c>
      <c r="J215" s="36">
        <v>1.47E-2</v>
      </c>
      <c r="K215" s="36">
        <v>3.7600000000000001E-2</v>
      </c>
      <c r="L215" s="36">
        <v>8.77E-3</v>
      </c>
      <c r="M215" s="36">
        <v>1.0800000000000001E-2</v>
      </c>
      <c r="N215" s="36">
        <v>2.0299999999999999E-2</v>
      </c>
      <c r="O215" s="36">
        <v>2.0500000000000001E-2</v>
      </c>
      <c r="P215" s="36">
        <v>1.34E-2</v>
      </c>
      <c r="Q215" s="36">
        <v>2.1700000000000001E-2</v>
      </c>
      <c r="R215" s="36">
        <v>2.0799999999999999E-2</v>
      </c>
      <c r="S215" s="36">
        <v>3.0099999999999998E-2</v>
      </c>
      <c r="T215" s="36">
        <v>1.7600000000000001E-2</v>
      </c>
      <c r="U215" s="36">
        <v>2.5899999999999999E-2</v>
      </c>
      <c r="V215" s="36">
        <v>1.0699999999999999E-2</v>
      </c>
      <c r="W215" s="36">
        <v>1.4200000000000001E-2</v>
      </c>
      <c r="X215" s="201"/>
      <c r="Y215" s="139">
        <v>1.24E-2</v>
      </c>
      <c r="Z215" s="36">
        <v>9.2700000000000005E-3</v>
      </c>
      <c r="AA215" s="36">
        <v>1.34E-2</v>
      </c>
      <c r="AB215" s="140">
        <v>1.5599999999999999E-2</v>
      </c>
      <c r="AC215" s="36">
        <v>1.9900000000000001E-2</v>
      </c>
    </row>
    <row r="216" spans="1:29">
      <c r="A216" s="95" t="s">
        <v>769</v>
      </c>
      <c r="B216" s="35">
        <v>2.5399999999999999E-2</v>
      </c>
      <c r="C216" s="35">
        <v>8.1300000000000001E-3</v>
      </c>
      <c r="D216" s="35">
        <v>6.2300000000000003E-3</v>
      </c>
      <c r="E216" s="35">
        <v>5.6699999999999997E-3</v>
      </c>
      <c r="F216" s="35">
        <v>7.7299999999999999E-3</v>
      </c>
      <c r="G216" s="35">
        <v>2.2100000000000002E-2</v>
      </c>
      <c r="H216" s="35">
        <v>2.5000000000000001E-2</v>
      </c>
      <c r="I216" s="35">
        <v>2.6599999999999999E-2</v>
      </c>
      <c r="J216" s="35">
        <v>2.3199999999999998E-2</v>
      </c>
      <c r="K216" s="35">
        <v>3.6299999999999999E-2</v>
      </c>
      <c r="L216" s="35">
        <v>1.2200000000000001E-2</v>
      </c>
      <c r="M216" s="35">
        <v>1.7299999999999999E-2</v>
      </c>
      <c r="N216" s="35">
        <v>3.2800000000000003E-2</v>
      </c>
      <c r="O216" s="35">
        <v>1.32E-2</v>
      </c>
      <c r="P216" s="35">
        <v>6.9499999999999996E-3</v>
      </c>
      <c r="Q216" s="35">
        <v>3.2300000000000002E-2</v>
      </c>
      <c r="R216" s="35">
        <v>3.5999999999999997E-2</v>
      </c>
      <c r="S216" s="35">
        <v>6.0199999999999997E-2</v>
      </c>
      <c r="T216" s="35">
        <v>4.7500000000000001E-2</v>
      </c>
      <c r="U216" s="35">
        <v>6.6699999999999995E-2</v>
      </c>
      <c r="V216" s="35">
        <v>3.56E-2</v>
      </c>
      <c r="W216" s="35">
        <v>4.53E-2</v>
      </c>
      <c r="X216" s="202">
        <v>5.0700000000000002E-2</v>
      </c>
      <c r="Y216" s="204">
        <v>9.8899999999999995E-3</v>
      </c>
      <c r="Z216" s="35">
        <v>1.1299999999999999E-2</v>
      </c>
      <c r="AA216" s="35">
        <v>1.7399999999999999E-2</v>
      </c>
      <c r="AB216" s="138">
        <v>3.09E-2</v>
      </c>
      <c r="AC216" s="35">
        <v>2.5399999999999999E-2</v>
      </c>
    </row>
    <row r="217" spans="1:29">
      <c r="A217" s="95" t="s">
        <v>770</v>
      </c>
      <c r="B217" s="5"/>
      <c r="C217" s="5"/>
      <c r="D217" s="5"/>
      <c r="E217" s="5"/>
      <c r="F217" s="5"/>
      <c r="G217" s="5"/>
      <c r="H217" s="36">
        <v>9.0300000000000005E-4</v>
      </c>
      <c r="I217" s="36">
        <v>5.2800000000000004E-4</v>
      </c>
      <c r="J217" s="5"/>
      <c r="K217" s="5"/>
      <c r="L217" s="5"/>
      <c r="M217" s="5"/>
      <c r="N217" s="5"/>
      <c r="O217" s="5"/>
      <c r="P217" s="5"/>
      <c r="Q217" s="5"/>
      <c r="R217" s="5"/>
      <c r="S217" s="5"/>
      <c r="T217" s="5"/>
      <c r="U217" s="5"/>
      <c r="V217" s="5"/>
      <c r="W217" s="5"/>
      <c r="X217" s="201"/>
      <c r="Y217" s="113"/>
      <c r="Z217" s="5"/>
      <c r="AA217" s="5"/>
      <c r="AB217" s="114"/>
      <c r="AC217" s="5"/>
    </row>
    <row r="218" spans="1:29">
      <c r="A218" s="95" t="s">
        <v>771</v>
      </c>
      <c r="B218" s="35">
        <v>0.107</v>
      </c>
      <c r="C218" s="35">
        <v>5.0999999999999997E-2</v>
      </c>
      <c r="D218" s="35">
        <v>4.5999999999999999E-2</v>
      </c>
      <c r="E218" s="35">
        <v>2.07E-2</v>
      </c>
      <c r="F218" s="35">
        <v>2.5999999999999999E-2</v>
      </c>
      <c r="G218" s="35">
        <v>0.13300000000000001</v>
      </c>
      <c r="H218" s="35">
        <v>0.159</v>
      </c>
      <c r="I218" s="35">
        <v>0.17899999999999999</v>
      </c>
      <c r="J218" s="35">
        <v>0.127</v>
      </c>
      <c r="K218" s="35">
        <v>0.114</v>
      </c>
      <c r="L218" s="35">
        <v>3.6900000000000002E-2</v>
      </c>
      <c r="M218" s="35">
        <v>5.1299999999999998E-2</v>
      </c>
      <c r="N218" s="35">
        <v>0.127</v>
      </c>
      <c r="O218" s="35">
        <v>4.5699999999999998E-2</v>
      </c>
      <c r="P218" s="35">
        <v>2.23E-2</v>
      </c>
      <c r="Q218" s="35">
        <v>0.13200000000000001</v>
      </c>
      <c r="R218" s="35">
        <v>7.46E-2</v>
      </c>
      <c r="S218" s="35">
        <v>0.21099999999999999</v>
      </c>
      <c r="T218" s="35">
        <v>0.156</v>
      </c>
      <c r="U218" s="35">
        <v>0.19</v>
      </c>
      <c r="V218" s="35">
        <v>0.11</v>
      </c>
      <c r="W218" s="35">
        <v>0.14899999999999999</v>
      </c>
      <c r="X218" s="202">
        <v>0.14499999999999999</v>
      </c>
      <c r="Y218" s="204">
        <v>3.4000000000000002E-2</v>
      </c>
      <c r="Z218" s="35">
        <v>3.1399999999999997E-2</v>
      </c>
      <c r="AA218" s="35">
        <v>3.5099999999999999E-2</v>
      </c>
      <c r="AB218" s="138">
        <v>6.8000000000000005E-2</v>
      </c>
      <c r="AC218" s="35">
        <v>0.107</v>
      </c>
    </row>
    <row r="219" spans="1:29">
      <c r="A219" s="95" t="s">
        <v>772</v>
      </c>
      <c r="B219" s="36">
        <v>0.25900000000000001</v>
      </c>
      <c r="C219" s="36">
        <v>0.14000000000000001</v>
      </c>
      <c r="D219" s="36">
        <v>7.0199999999999999E-2</v>
      </c>
      <c r="E219" s="36">
        <v>4.0300000000000002E-2</v>
      </c>
      <c r="F219" s="36">
        <v>0.104</v>
      </c>
      <c r="G219" s="36">
        <v>0.32</v>
      </c>
      <c r="H219" s="36">
        <v>0.40200000000000002</v>
      </c>
      <c r="I219" s="36">
        <v>0.46600000000000003</v>
      </c>
      <c r="J219" s="36">
        <v>0.29399999999999998</v>
      </c>
      <c r="K219" s="36">
        <v>0.309</v>
      </c>
      <c r="L219" s="36">
        <v>9.5699999999999993E-2</v>
      </c>
      <c r="M219" s="36">
        <v>0.157</v>
      </c>
      <c r="N219" s="36">
        <v>0.32100000000000001</v>
      </c>
      <c r="O219" s="36">
        <v>0.11799999999999999</v>
      </c>
      <c r="P219" s="36">
        <v>7.4099999999999999E-2</v>
      </c>
      <c r="Q219" s="36">
        <v>0.316</v>
      </c>
      <c r="R219" s="36">
        <v>0.35399999999999998</v>
      </c>
      <c r="S219" s="36">
        <v>0.504</v>
      </c>
      <c r="T219" s="36">
        <v>0.4</v>
      </c>
      <c r="U219" s="36">
        <v>0.61499999999999999</v>
      </c>
      <c r="V219" s="36">
        <v>0.32100000000000001</v>
      </c>
      <c r="W219" s="36">
        <v>0.40799999999999997</v>
      </c>
      <c r="X219" s="200">
        <v>0.44500000000000001</v>
      </c>
      <c r="Y219" s="139">
        <v>0.104</v>
      </c>
      <c r="Z219" s="36">
        <v>6.8199999999999997E-2</v>
      </c>
      <c r="AA219" s="36">
        <v>0.108</v>
      </c>
      <c r="AB219" s="140">
        <v>0.14000000000000001</v>
      </c>
      <c r="AC219" s="36">
        <v>0.25900000000000001</v>
      </c>
    </row>
    <row r="220" spans="1:29">
      <c r="A220" s="95" t="s">
        <v>773</v>
      </c>
      <c r="B220" s="35">
        <v>0.63600000000000001</v>
      </c>
      <c r="C220" s="35">
        <v>0.3</v>
      </c>
      <c r="D220" s="35">
        <v>0.17499999999999999</v>
      </c>
      <c r="E220" s="35">
        <v>0.113</v>
      </c>
      <c r="F220" s="35">
        <v>0.247</v>
      </c>
      <c r="G220" s="35">
        <v>0.748</v>
      </c>
      <c r="H220" s="35">
        <v>0.98299999999999998</v>
      </c>
      <c r="I220" s="35">
        <v>1.19</v>
      </c>
      <c r="J220" s="35">
        <v>0.68300000000000005</v>
      </c>
      <c r="K220" s="35">
        <v>0.69199999999999995</v>
      </c>
      <c r="L220" s="35">
        <v>0.214</v>
      </c>
      <c r="M220" s="35">
        <v>0.35699999999999998</v>
      </c>
      <c r="N220" s="35">
        <v>0.86</v>
      </c>
      <c r="O220" s="35">
        <v>0.32700000000000001</v>
      </c>
      <c r="P220" s="35">
        <v>0.129</v>
      </c>
      <c r="Q220" s="35">
        <v>0.872</v>
      </c>
      <c r="R220" s="35">
        <v>0.69799999999999995</v>
      </c>
      <c r="S220" s="35">
        <v>1.28</v>
      </c>
      <c r="T220" s="35">
        <v>1.0900000000000001</v>
      </c>
      <c r="U220" s="35">
        <v>1.81</v>
      </c>
      <c r="V220" s="35">
        <v>0.85199999999999998</v>
      </c>
      <c r="W220" s="35">
        <v>1.18</v>
      </c>
      <c r="X220" s="202">
        <v>1.17</v>
      </c>
      <c r="Y220" s="204">
        <v>0.22800000000000001</v>
      </c>
      <c r="Z220" s="35">
        <v>0.16500000000000001</v>
      </c>
      <c r="AA220" s="35">
        <v>0.20799999999999999</v>
      </c>
      <c r="AB220" s="138">
        <v>0.30499999999999999</v>
      </c>
      <c r="AC220" s="35">
        <v>0.63600000000000001</v>
      </c>
    </row>
    <row r="221" spans="1:29">
      <c r="A221" s="95" t="s">
        <v>774</v>
      </c>
      <c r="B221" s="36">
        <v>4.0300000000000002E-2</v>
      </c>
      <c r="C221" s="36">
        <v>2.76E-2</v>
      </c>
      <c r="D221" s="36">
        <v>2.2499999999999999E-2</v>
      </c>
      <c r="E221" s="36">
        <v>2.97E-3</v>
      </c>
      <c r="F221" s="36">
        <v>3.15E-3</v>
      </c>
      <c r="G221" s="36">
        <v>7.2599999999999998E-2</v>
      </c>
      <c r="H221" s="36">
        <v>8.7900000000000006E-2</v>
      </c>
      <c r="I221" s="36">
        <v>6.8699999999999997E-2</v>
      </c>
      <c r="J221" s="36">
        <v>7.8E-2</v>
      </c>
      <c r="K221" s="36">
        <v>2.1999999999999999E-2</v>
      </c>
      <c r="L221" s="36">
        <v>7.9699999999999997E-3</v>
      </c>
      <c r="M221" s="36">
        <v>1.3100000000000001E-2</v>
      </c>
      <c r="N221" s="36">
        <v>2.2800000000000001E-2</v>
      </c>
      <c r="O221" s="36">
        <v>6.0099999999999997E-3</v>
      </c>
      <c r="P221" s="36">
        <v>4.5799999999999999E-3</v>
      </c>
      <c r="Q221" s="36">
        <v>8.5999999999999993E-2</v>
      </c>
      <c r="R221" s="36">
        <v>3.9600000000000003E-2</v>
      </c>
      <c r="S221" s="36">
        <v>0.13500000000000001</v>
      </c>
      <c r="T221" s="36">
        <v>0.10299999999999999</v>
      </c>
      <c r="U221" s="36">
        <v>0.123</v>
      </c>
      <c r="V221" s="36">
        <v>6.88E-2</v>
      </c>
      <c r="W221" s="36">
        <v>8.5000000000000006E-2</v>
      </c>
      <c r="X221" s="200">
        <v>9.35E-2</v>
      </c>
      <c r="Y221" s="139">
        <v>9.8899999999999995E-3</v>
      </c>
      <c r="Z221" s="36">
        <v>3.7299999999999998E-3</v>
      </c>
      <c r="AA221" s="36">
        <v>4.9899999999999996E-3</v>
      </c>
      <c r="AB221" s="140">
        <v>6.2199999999999998E-2</v>
      </c>
      <c r="AC221" s="36">
        <v>4.0300000000000002E-2</v>
      </c>
    </row>
    <row r="222" spans="1:29">
      <c r="A222" s="95" t="s">
        <v>775</v>
      </c>
      <c r="B222" s="35">
        <v>1.23</v>
      </c>
      <c r="C222" s="35">
        <v>0.60199999999999998</v>
      </c>
      <c r="D222" s="35">
        <v>0.39200000000000002</v>
      </c>
      <c r="E222" s="35">
        <v>0.2</v>
      </c>
      <c r="F222" s="35">
        <v>0.224</v>
      </c>
      <c r="G222" s="35">
        <v>1.56</v>
      </c>
      <c r="H222" s="35">
        <v>1.92</v>
      </c>
      <c r="I222" s="35">
        <v>1.68</v>
      </c>
      <c r="J222" s="35">
        <v>1.82</v>
      </c>
      <c r="K222" s="35">
        <v>1.55</v>
      </c>
      <c r="L222" s="35">
        <v>0.48399999999999999</v>
      </c>
      <c r="M222" s="35">
        <v>0.80700000000000005</v>
      </c>
      <c r="N222" s="35">
        <v>1.63</v>
      </c>
      <c r="O222" s="35">
        <v>0.374</v>
      </c>
      <c r="P222" s="35">
        <v>0.29199999999999998</v>
      </c>
      <c r="Q222" s="35">
        <v>1.73</v>
      </c>
      <c r="R222" s="35">
        <v>0.78100000000000003</v>
      </c>
      <c r="S222" s="35">
        <v>2.48</v>
      </c>
      <c r="T222" s="35">
        <v>1.76</v>
      </c>
      <c r="U222" s="35">
        <v>2.36</v>
      </c>
      <c r="V222" s="35">
        <v>1.25</v>
      </c>
      <c r="W222" s="35">
        <v>1.4</v>
      </c>
      <c r="X222" s="202">
        <v>1.67</v>
      </c>
      <c r="Y222" s="204">
        <v>0.33200000000000002</v>
      </c>
      <c r="Z222" s="35">
        <v>0.27800000000000002</v>
      </c>
      <c r="AA222" s="35">
        <v>0.312</v>
      </c>
      <c r="AB222" s="138">
        <v>0.82799999999999996</v>
      </c>
      <c r="AC222" s="35">
        <v>1.23</v>
      </c>
    </row>
    <row r="223" spans="1:29">
      <c r="A223" s="95" t="s">
        <v>776</v>
      </c>
      <c r="B223" s="36">
        <v>0.19800000000000001</v>
      </c>
      <c r="C223" s="36">
        <v>9.7100000000000006E-2</v>
      </c>
      <c r="D223" s="36">
        <v>6.3100000000000003E-2</v>
      </c>
      <c r="E223" s="36">
        <v>2.9499999999999998E-2</v>
      </c>
      <c r="F223" s="36">
        <v>3.9699999999999999E-2</v>
      </c>
      <c r="G223" s="36">
        <v>0.24199999999999999</v>
      </c>
      <c r="H223" s="36">
        <v>0.30199999999999999</v>
      </c>
      <c r="I223" s="36">
        <v>0.26400000000000001</v>
      </c>
      <c r="J223" s="36">
        <v>0.28799999999999998</v>
      </c>
      <c r="K223" s="36">
        <v>0.247</v>
      </c>
      <c r="L223" s="36">
        <v>7.4899999999999994E-2</v>
      </c>
      <c r="M223" s="36">
        <v>0.125</v>
      </c>
      <c r="N223" s="36">
        <v>0.25600000000000001</v>
      </c>
      <c r="O223" s="36">
        <v>6.4000000000000001E-2</v>
      </c>
      <c r="P223" s="36">
        <v>5.2200000000000003E-2</v>
      </c>
      <c r="Q223" s="36">
        <v>0.26800000000000002</v>
      </c>
      <c r="R223" s="36">
        <v>0.14000000000000001</v>
      </c>
      <c r="S223" s="36">
        <v>0.47299999999999998</v>
      </c>
      <c r="T223" s="36">
        <v>0.31</v>
      </c>
      <c r="U223" s="36">
        <v>0.40400000000000003</v>
      </c>
      <c r="V223" s="36">
        <v>0.185</v>
      </c>
      <c r="W223" s="36">
        <v>0.24199999999999999</v>
      </c>
      <c r="X223" s="200">
        <v>0.253</v>
      </c>
      <c r="Y223" s="139">
        <v>5.3400000000000003E-2</v>
      </c>
      <c r="Z223" s="36">
        <v>4.48E-2</v>
      </c>
      <c r="AA223" s="36">
        <v>4.9399999999999999E-2</v>
      </c>
      <c r="AB223" s="140">
        <v>0.13500000000000001</v>
      </c>
      <c r="AC223" s="36">
        <v>0.19800000000000001</v>
      </c>
    </row>
    <row r="224" spans="1:29">
      <c r="A224" s="95" t="s">
        <v>777</v>
      </c>
      <c r="B224" s="35">
        <v>0.627</v>
      </c>
      <c r="C224" s="35">
        <v>0.29199999999999998</v>
      </c>
      <c r="D224" s="35">
        <v>0.158</v>
      </c>
      <c r="E224" s="35">
        <v>9.6199999999999994E-2</v>
      </c>
      <c r="F224" s="35">
        <v>8.9200000000000002E-2</v>
      </c>
      <c r="G224" s="35">
        <v>0.68</v>
      </c>
      <c r="H224" s="35">
        <v>0.81399999999999995</v>
      </c>
      <c r="I224" s="35">
        <v>0.64700000000000002</v>
      </c>
      <c r="J224" s="35">
        <v>0.74399999999999999</v>
      </c>
      <c r="K224" s="35">
        <v>0.61</v>
      </c>
      <c r="L224" s="35">
        <v>0.24</v>
      </c>
      <c r="M224" s="35">
        <v>0.317</v>
      </c>
      <c r="N224" s="35">
        <v>0.53700000000000003</v>
      </c>
      <c r="O224" s="35">
        <v>0.16500000000000001</v>
      </c>
      <c r="P224" s="35">
        <v>0.13100000000000001</v>
      </c>
      <c r="Q224" s="35">
        <v>0.73599999999999999</v>
      </c>
      <c r="R224" s="35">
        <v>0.48299999999999998</v>
      </c>
      <c r="S224" s="35">
        <v>1.2</v>
      </c>
      <c r="T224" s="35">
        <v>1.1000000000000001</v>
      </c>
      <c r="U224" s="35">
        <v>0.82199999999999995</v>
      </c>
      <c r="V224" s="35">
        <v>0.495</v>
      </c>
      <c r="W224" s="35">
        <v>0.59599999999999997</v>
      </c>
      <c r="X224" s="202">
        <v>0.67600000000000005</v>
      </c>
      <c r="Y224" s="204">
        <v>0.14499999999999999</v>
      </c>
      <c r="Z224" s="35">
        <v>0.14899999999999999</v>
      </c>
      <c r="AA224" s="35">
        <v>0.14699999999999999</v>
      </c>
      <c r="AB224" s="138">
        <v>0.83099999999999996</v>
      </c>
      <c r="AC224" s="35">
        <v>0.627</v>
      </c>
    </row>
    <row r="225" spans="1:29">
      <c r="A225" s="95" t="s">
        <v>778</v>
      </c>
      <c r="B225" s="36">
        <v>1.52E-2</v>
      </c>
      <c r="C225" s="36">
        <v>1.04E-2</v>
      </c>
      <c r="D225" s="5"/>
      <c r="E225" s="36">
        <v>7.3400000000000002E-3</v>
      </c>
      <c r="F225" s="36">
        <v>4.2900000000000004E-3</v>
      </c>
      <c r="G225" s="36">
        <v>2.5000000000000001E-2</v>
      </c>
      <c r="H225" s="36">
        <v>2.23E-2</v>
      </c>
      <c r="I225" s="36">
        <v>2.87E-2</v>
      </c>
      <c r="J225" s="36">
        <v>2.7199999999999998E-2</v>
      </c>
      <c r="K225" s="36">
        <v>4.7499999999999999E-3</v>
      </c>
      <c r="L225" s="36">
        <v>1.82E-3</v>
      </c>
      <c r="M225" s="36">
        <v>3.15E-3</v>
      </c>
      <c r="N225" s="36">
        <v>8.5299999999999994E-3</v>
      </c>
      <c r="O225" s="36">
        <v>6.8999999999999999E-3</v>
      </c>
      <c r="P225" s="36">
        <v>2.0400000000000001E-3</v>
      </c>
      <c r="Q225" s="36">
        <v>3.4299999999999997E-2</v>
      </c>
      <c r="R225" s="36">
        <v>4.1200000000000001E-2</v>
      </c>
      <c r="S225" s="36">
        <v>5.3100000000000001E-2</v>
      </c>
      <c r="T225" s="36">
        <v>3.4200000000000001E-2</v>
      </c>
      <c r="U225" s="36">
        <v>2.41E-2</v>
      </c>
      <c r="V225" s="36">
        <v>1.9900000000000001E-2</v>
      </c>
      <c r="W225" s="36">
        <v>2.98E-2</v>
      </c>
      <c r="X225" s="200">
        <v>2.3300000000000001E-2</v>
      </c>
      <c r="Y225" s="139">
        <v>9.1500000000000001E-3</v>
      </c>
      <c r="Z225" s="36">
        <v>2.0400000000000001E-3</v>
      </c>
      <c r="AA225" s="36">
        <v>3.1800000000000001E-3</v>
      </c>
      <c r="AB225" s="140">
        <v>3.73E-2</v>
      </c>
      <c r="AC225" s="36">
        <v>1.52E-2</v>
      </c>
    </row>
    <row r="226" spans="1:29">
      <c r="A226" s="95" t="s">
        <v>779</v>
      </c>
      <c r="B226" s="35">
        <v>0.94199999999999995</v>
      </c>
      <c r="C226" s="35">
        <v>0.753</v>
      </c>
      <c r="D226" s="35">
        <v>1.15E-2</v>
      </c>
      <c r="E226" s="35">
        <v>1.9900000000000001E-2</v>
      </c>
      <c r="F226" s="35">
        <v>6.2799999999999995E-2</v>
      </c>
      <c r="G226" s="35">
        <v>2.13</v>
      </c>
      <c r="H226" s="35">
        <v>2.15</v>
      </c>
      <c r="I226" s="35">
        <v>2.46</v>
      </c>
      <c r="J226" s="35">
        <v>1.6</v>
      </c>
      <c r="K226" s="35">
        <v>9.6199999999999994E-2</v>
      </c>
      <c r="L226" s="35">
        <v>3.27E-2</v>
      </c>
      <c r="M226" s="35">
        <v>5.0900000000000001E-2</v>
      </c>
      <c r="N226" s="35">
        <v>0.30399999999999999</v>
      </c>
      <c r="O226" s="35">
        <v>8.2000000000000003E-2</v>
      </c>
      <c r="P226" s="35">
        <v>3.7199999999999997E-2</v>
      </c>
      <c r="Q226" s="35">
        <v>2.5499999999999998</v>
      </c>
      <c r="R226" s="35">
        <v>2.62</v>
      </c>
      <c r="S226" s="35">
        <v>2.14</v>
      </c>
      <c r="T226" s="35">
        <v>1.88</v>
      </c>
      <c r="U226" s="35">
        <v>1.66</v>
      </c>
      <c r="V226" s="35">
        <v>1.44</v>
      </c>
      <c r="W226" s="35">
        <v>2.27</v>
      </c>
      <c r="X226" s="202">
        <v>1.92</v>
      </c>
      <c r="Y226" s="204">
        <v>0.30599999999999999</v>
      </c>
      <c r="Z226" s="35">
        <v>0.185</v>
      </c>
      <c r="AA226" s="35">
        <v>0.309</v>
      </c>
      <c r="AB226" s="138">
        <v>2.5</v>
      </c>
      <c r="AC226" s="35">
        <v>0.94199999999999995</v>
      </c>
    </row>
    <row r="227" spans="1:29">
      <c r="A227" s="95" t="s">
        <v>780</v>
      </c>
      <c r="B227" s="36">
        <v>6.9199999999999998E-2</v>
      </c>
      <c r="C227" s="36">
        <v>2.4899999999999999E-2</v>
      </c>
      <c r="D227" s="36">
        <v>5.3299999999999997E-3</v>
      </c>
      <c r="E227" s="36">
        <v>1.3299999999999999E-2</v>
      </c>
      <c r="F227" s="36">
        <v>1.52E-2</v>
      </c>
      <c r="G227" s="36">
        <v>0.105</v>
      </c>
      <c r="H227" s="36">
        <v>9.6100000000000005E-2</v>
      </c>
      <c r="I227" s="36">
        <v>0.13900000000000001</v>
      </c>
      <c r="J227" s="36">
        <v>9.2200000000000004E-2</v>
      </c>
      <c r="K227" s="36">
        <v>4.1099999999999998E-2</v>
      </c>
      <c r="L227" s="36">
        <v>9.7800000000000005E-3</v>
      </c>
      <c r="M227" s="36">
        <v>1.7100000000000001E-2</v>
      </c>
      <c r="N227" s="36">
        <v>7.6300000000000007E-2</v>
      </c>
      <c r="O227" s="36">
        <v>2.47E-2</v>
      </c>
      <c r="P227" s="36">
        <v>8.2199999999999999E-3</v>
      </c>
      <c r="Q227" s="36">
        <v>0.17499999999999999</v>
      </c>
      <c r="R227" s="36">
        <v>8.2600000000000007E-2</v>
      </c>
      <c r="S227" s="36">
        <v>0.191</v>
      </c>
      <c r="T227" s="36">
        <v>0.14199999999999999</v>
      </c>
      <c r="U227" s="36">
        <v>0.14299999999999999</v>
      </c>
      <c r="V227" s="36">
        <v>8.7999999999999995E-2</v>
      </c>
      <c r="W227" s="36">
        <v>0.156</v>
      </c>
      <c r="X227" s="200">
        <v>0.124</v>
      </c>
      <c r="Y227" s="139">
        <v>3.7100000000000001E-2</v>
      </c>
      <c r="Z227" s="36">
        <v>1.15E-2</v>
      </c>
      <c r="AA227" s="36">
        <v>1.6199999999999999E-2</v>
      </c>
      <c r="AB227" s="140">
        <v>8.5800000000000001E-2</v>
      </c>
      <c r="AC227" s="36">
        <v>6.9199999999999998E-2</v>
      </c>
    </row>
    <row r="228" spans="1:29">
      <c r="A228" s="95" t="s">
        <v>781</v>
      </c>
      <c r="B228" s="35">
        <v>1.2699999999999999E-2</v>
      </c>
      <c r="C228" s="35">
        <v>5.2399999999999999E-3</v>
      </c>
      <c r="D228" s="3"/>
      <c r="E228" s="3"/>
      <c r="F228" s="3"/>
      <c r="G228" s="35">
        <v>1.0200000000000001E-2</v>
      </c>
      <c r="H228" s="35">
        <v>6.6600000000000001E-3</v>
      </c>
      <c r="I228" s="35">
        <v>9.2999999999999992E-3</v>
      </c>
      <c r="J228" s="35">
        <v>6.94E-3</v>
      </c>
      <c r="K228" s="3"/>
      <c r="L228" s="3"/>
      <c r="M228" s="3"/>
      <c r="N228" s="35">
        <v>6.3E-3</v>
      </c>
      <c r="O228" s="3"/>
      <c r="P228" s="3"/>
      <c r="Q228" s="35">
        <v>2.0299999999999999E-2</v>
      </c>
      <c r="R228" s="35">
        <v>1.09E-2</v>
      </c>
      <c r="S228" s="35">
        <v>2.2100000000000002E-2</v>
      </c>
      <c r="T228" s="35">
        <v>2.1000000000000001E-2</v>
      </c>
      <c r="U228" s="35">
        <v>1.2200000000000001E-2</v>
      </c>
      <c r="V228" s="35">
        <v>1.2200000000000001E-2</v>
      </c>
      <c r="W228" s="35">
        <v>1.5299999999999999E-2</v>
      </c>
      <c r="X228" s="202">
        <v>1.44E-2</v>
      </c>
      <c r="Y228" s="141"/>
      <c r="Z228" s="3"/>
      <c r="AA228" s="3"/>
      <c r="AB228" s="142"/>
      <c r="AC228" s="35">
        <v>1.2699999999999999E-2</v>
      </c>
    </row>
    <row r="229" spans="1:29">
      <c r="A229" s="95" t="s">
        <v>783</v>
      </c>
      <c r="B229" s="35">
        <v>0.32300000000000001</v>
      </c>
      <c r="C229" s="35">
        <v>0.183</v>
      </c>
      <c r="D229" s="35">
        <v>0.217</v>
      </c>
      <c r="E229" s="35">
        <v>1.34E-2</v>
      </c>
      <c r="F229" s="35">
        <v>4.4900000000000002E-2</v>
      </c>
      <c r="G229" s="35">
        <v>0.61399999999999999</v>
      </c>
      <c r="H229" s="35">
        <v>0.628</v>
      </c>
      <c r="I229" s="35">
        <v>0.81799999999999995</v>
      </c>
      <c r="J229" s="35">
        <v>0.44</v>
      </c>
      <c r="K229" s="35">
        <v>9.8299999999999998E-2</v>
      </c>
      <c r="L229" s="35">
        <v>1.6799999999999999E-2</v>
      </c>
      <c r="M229" s="35">
        <v>4.36E-2</v>
      </c>
      <c r="N229" s="35">
        <v>0.187</v>
      </c>
      <c r="O229" s="35">
        <v>7.1999999999999995E-2</v>
      </c>
      <c r="P229" s="35">
        <v>2.0799999999999999E-2</v>
      </c>
      <c r="Q229" s="35">
        <v>0.64100000000000001</v>
      </c>
      <c r="R229" s="35">
        <v>0.25900000000000001</v>
      </c>
      <c r="S229" s="35">
        <v>0.73799999999999999</v>
      </c>
      <c r="T229" s="35">
        <v>0.54600000000000004</v>
      </c>
      <c r="U229" s="35">
        <v>0.57599999999999996</v>
      </c>
      <c r="V229" s="35">
        <v>0.42399999999999999</v>
      </c>
      <c r="W229" s="35">
        <v>0.73799999999999999</v>
      </c>
      <c r="X229" s="202">
        <v>0.57099999999999995</v>
      </c>
      <c r="Y229" s="204">
        <v>0.154</v>
      </c>
      <c r="Z229" s="35">
        <v>8.5000000000000006E-2</v>
      </c>
      <c r="AA229" s="35">
        <v>0.13200000000000001</v>
      </c>
      <c r="AB229" s="138">
        <v>0.57999999999999996</v>
      </c>
      <c r="AC229" s="35">
        <v>0.32300000000000001</v>
      </c>
    </row>
    <row r="230" spans="1:29">
      <c r="A230" s="95" t="s">
        <v>784</v>
      </c>
      <c r="B230" s="36">
        <v>8.6599999999999996E-2</v>
      </c>
      <c r="C230" s="36">
        <v>8.9499999999999996E-2</v>
      </c>
      <c r="D230" s="36">
        <v>2.9700000000000001E-2</v>
      </c>
      <c r="E230" s="5"/>
      <c r="F230" s="36">
        <v>0.26200000000000001</v>
      </c>
      <c r="G230" s="36">
        <v>0.17499999999999999</v>
      </c>
      <c r="H230" s="36">
        <v>0.154</v>
      </c>
      <c r="I230" s="36">
        <v>0.20699999999999999</v>
      </c>
      <c r="J230" s="36">
        <v>0.17799999999999999</v>
      </c>
      <c r="K230" s="36">
        <v>1.18E-2</v>
      </c>
      <c r="L230" s="36">
        <v>3.8500000000000001E-3</v>
      </c>
      <c r="M230" s="36">
        <v>1.0800000000000001E-2</v>
      </c>
      <c r="N230" s="36">
        <v>1.7600000000000001E-2</v>
      </c>
      <c r="O230" s="5"/>
      <c r="P230" s="36">
        <v>0.214</v>
      </c>
      <c r="Q230" s="36">
        <v>8.72E-2</v>
      </c>
      <c r="R230" s="5"/>
      <c r="S230" s="5"/>
      <c r="T230" s="5"/>
      <c r="U230" s="36">
        <v>0.114</v>
      </c>
      <c r="V230" s="36">
        <v>1.5900000000000001E-2</v>
      </c>
      <c r="W230" s="36">
        <v>4.99E-2</v>
      </c>
      <c r="X230" s="200">
        <v>2.18E-2</v>
      </c>
      <c r="Y230" s="139">
        <v>0.13</v>
      </c>
      <c r="Z230" s="36">
        <v>2.1499999999999998E-2</v>
      </c>
      <c r="AA230" s="36">
        <v>0.25600000000000001</v>
      </c>
      <c r="AB230" s="114"/>
      <c r="AC230" s="36">
        <v>8.6599999999999996E-2</v>
      </c>
    </row>
    <row r="231" spans="1:29">
      <c r="A231" s="95" t="s">
        <v>785</v>
      </c>
      <c r="B231" s="35">
        <v>0.72</v>
      </c>
      <c r="C231" s="35">
        <v>0.51800000000000002</v>
      </c>
      <c r="D231" s="35">
        <v>0.51200000000000001</v>
      </c>
      <c r="E231" s="35">
        <v>0.68400000000000005</v>
      </c>
      <c r="F231" s="35">
        <v>0.36599999999999999</v>
      </c>
      <c r="G231" s="35">
        <v>0.94099999999999995</v>
      </c>
      <c r="H231" s="35">
        <v>0.82399999999999995</v>
      </c>
      <c r="I231" s="35">
        <v>0.92800000000000005</v>
      </c>
      <c r="J231" s="35">
        <v>0.79100000000000004</v>
      </c>
      <c r="K231" s="35">
        <v>0.61199999999999999</v>
      </c>
      <c r="L231" s="35">
        <v>0.35899999999999999</v>
      </c>
      <c r="M231" s="35">
        <v>0.48399999999999999</v>
      </c>
      <c r="N231" s="35">
        <v>0.60599999999999998</v>
      </c>
      <c r="O231" s="35">
        <v>1.01</v>
      </c>
      <c r="P231" s="35">
        <v>0.30299999999999999</v>
      </c>
      <c r="Q231" s="35">
        <v>0.98499999999999999</v>
      </c>
      <c r="R231" s="35">
        <v>0.67300000000000004</v>
      </c>
      <c r="S231" s="35">
        <v>0.78800000000000003</v>
      </c>
      <c r="T231" s="35">
        <v>0.87</v>
      </c>
      <c r="U231" s="35">
        <v>0.74</v>
      </c>
      <c r="V231" s="35">
        <v>0.55700000000000005</v>
      </c>
      <c r="W231" s="35">
        <v>0.59799999999999998</v>
      </c>
      <c r="X231" s="202">
        <v>0.624</v>
      </c>
      <c r="Y231" s="204">
        <v>0.316</v>
      </c>
      <c r="Z231" s="35">
        <v>0.29599999999999999</v>
      </c>
      <c r="AA231" s="35">
        <v>0.40799999999999997</v>
      </c>
      <c r="AB231" s="138">
        <v>1.37</v>
      </c>
      <c r="AC231" s="35">
        <v>0.72</v>
      </c>
    </row>
    <row r="232" spans="1:29">
      <c r="A232" s="95" t="s">
        <v>786</v>
      </c>
      <c r="B232" s="36">
        <v>0.14699999999999999</v>
      </c>
      <c r="C232" s="36">
        <v>0.126</v>
      </c>
      <c r="D232" s="36">
        <v>0.115</v>
      </c>
      <c r="E232" s="36">
        <v>9.4600000000000004E-2</v>
      </c>
      <c r="F232" s="36">
        <v>0.108</v>
      </c>
      <c r="G232" s="36">
        <v>0.23300000000000001</v>
      </c>
      <c r="H232" s="36">
        <v>0.193</v>
      </c>
      <c r="I232" s="36">
        <v>0.224</v>
      </c>
      <c r="J232" s="36">
        <v>0.16900000000000001</v>
      </c>
      <c r="K232" s="36">
        <v>0.158</v>
      </c>
      <c r="L232" s="36">
        <v>9.0499999999999997E-2</v>
      </c>
      <c r="M232" s="36">
        <v>0.122</v>
      </c>
      <c r="N232" s="36">
        <v>0.16300000000000001</v>
      </c>
      <c r="O232" s="36">
        <v>0.14099999999999999</v>
      </c>
      <c r="P232" s="36">
        <v>8.8700000000000001E-2</v>
      </c>
      <c r="Q232" s="36">
        <v>0.20599999999999999</v>
      </c>
      <c r="R232" s="36">
        <v>0.14099999999999999</v>
      </c>
      <c r="S232" s="36">
        <v>0.157</v>
      </c>
      <c r="T232" s="36">
        <v>0.17100000000000001</v>
      </c>
      <c r="U232" s="36">
        <v>0.158</v>
      </c>
      <c r="V232" s="36">
        <v>0.14499999999999999</v>
      </c>
      <c r="W232" s="36">
        <v>0.14599999999999999</v>
      </c>
      <c r="X232" s="200">
        <v>0.14599999999999999</v>
      </c>
      <c r="Y232" s="139">
        <v>9.0700000000000003E-2</v>
      </c>
      <c r="Z232" s="36">
        <v>8.6599999999999996E-2</v>
      </c>
      <c r="AA232" s="36">
        <v>0.11700000000000001</v>
      </c>
      <c r="AB232" s="140">
        <v>0.187</v>
      </c>
      <c r="AC232" s="36">
        <v>0.14699999999999999</v>
      </c>
    </row>
    <row r="233" spans="1:29">
      <c r="A233" s="95" t="s">
        <v>787</v>
      </c>
      <c r="B233" s="3"/>
      <c r="C233" s="3"/>
      <c r="D233" s="3"/>
      <c r="E233" s="3"/>
      <c r="F233" s="3"/>
      <c r="G233" s="3"/>
      <c r="H233" s="3"/>
      <c r="I233" s="3"/>
      <c r="J233" s="3"/>
      <c r="K233" s="3"/>
      <c r="L233" s="3"/>
      <c r="M233" s="3"/>
      <c r="N233" s="3"/>
      <c r="O233" s="3"/>
      <c r="P233" s="3"/>
      <c r="Q233" s="3"/>
      <c r="R233" s="3"/>
      <c r="S233" s="35">
        <v>0.10199999999999999</v>
      </c>
      <c r="T233" s="35">
        <v>2.4500000000000001E-2</v>
      </c>
      <c r="U233" s="35">
        <v>0.224</v>
      </c>
      <c r="V233" s="35">
        <v>0.121</v>
      </c>
      <c r="W233" s="35">
        <v>0.16600000000000001</v>
      </c>
      <c r="X233" s="202">
        <v>0.15</v>
      </c>
      <c r="Y233" s="141"/>
      <c r="Z233" s="3"/>
      <c r="AA233" s="3"/>
      <c r="AB233" s="142"/>
      <c r="AC233" s="3"/>
    </row>
    <row r="234" spans="1:29">
      <c r="A234" s="95" t="s">
        <v>788</v>
      </c>
      <c r="B234" s="36">
        <v>8.7300000000000003E-2</v>
      </c>
      <c r="C234" s="36">
        <v>5.6300000000000003E-2</v>
      </c>
      <c r="D234" s="36">
        <v>6.7100000000000007E-2</v>
      </c>
      <c r="E234" s="36">
        <v>2.64E-2</v>
      </c>
      <c r="F234" s="36">
        <v>3.6999999999999998E-2</v>
      </c>
      <c r="G234" s="36">
        <v>0.16200000000000001</v>
      </c>
      <c r="H234" s="36">
        <v>0.16500000000000001</v>
      </c>
      <c r="I234" s="36">
        <v>0.17599999999999999</v>
      </c>
      <c r="J234" s="36">
        <v>0.14099999999999999</v>
      </c>
      <c r="K234" s="36">
        <v>0.109</v>
      </c>
      <c r="L234" s="36">
        <v>2.58E-2</v>
      </c>
      <c r="M234" s="36">
        <v>3.8800000000000001E-2</v>
      </c>
      <c r="N234" s="36">
        <v>0.104</v>
      </c>
      <c r="O234" s="36">
        <v>6.5500000000000003E-2</v>
      </c>
      <c r="P234" s="36">
        <v>5.2200000000000003E-2</v>
      </c>
      <c r="Q234" s="36">
        <v>0.18099999999999999</v>
      </c>
      <c r="R234" s="36">
        <v>0.105</v>
      </c>
      <c r="S234" s="36">
        <v>0.185</v>
      </c>
      <c r="T234" s="36">
        <v>0.155</v>
      </c>
      <c r="U234" s="36">
        <v>0.11700000000000001</v>
      </c>
      <c r="V234" s="36">
        <v>6.7599999999999993E-2</v>
      </c>
      <c r="W234" s="36">
        <v>0.13200000000000001</v>
      </c>
      <c r="X234" s="200">
        <v>0.105</v>
      </c>
      <c r="Y234" s="139">
        <v>3.8899999999999997E-2</v>
      </c>
      <c r="Z234" s="36">
        <v>4.5999999999999999E-2</v>
      </c>
      <c r="AA234" s="36">
        <v>6.88E-2</v>
      </c>
      <c r="AB234" s="140">
        <v>0.13400000000000001</v>
      </c>
      <c r="AC234" s="36">
        <v>8.7300000000000003E-2</v>
      </c>
    </row>
    <row r="235" spans="1:29">
      <c r="A235" s="95" t="s">
        <v>789</v>
      </c>
      <c r="B235" s="35">
        <v>0.16300000000000001</v>
      </c>
      <c r="C235" s="3"/>
      <c r="D235" s="3"/>
      <c r="E235" s="3"/>
      <c r="F235" s="3"/>
      <c r="G235" s="35">
        <v>0.13700000000000001</v>
      </c>
      <c r="H235" s="35">
        <v>0.13700000000000001</v>
      </c>
      <c r="I235" s="35">
        <v>0.13100000000000001</v>
      </c>
      <c r="J235" s="3"/>
      <c r="K235" s="3"/>
      <c r="L235" s="3"/>
      <c r="M235" s="3"/>
      <c r="N235" s="3"/>
      <c r="O235" s="3"/>
      <c r="P235" s="3"/>
      <c r="Q235" s="3"/>
      <c r="R235" s="3"/>
      <c r="S235" s="35">
        <v>0.123</v>
      </c>
      <c r="T235" s="35">
        <v>5.7599999999999998E-2</v>
      </c>
      <c r="U235" s="3"/>
      <c r="V235" s="3"/>
      <c r="W235" s="3"/>
      <c r="X235" s="203"/>
      <c r="Y235" s="141"/>
      <c r="Z235" s="3"/>
      <c r="AA235" s="3"/>
      <c r="AB235" s="142"/>
      <c r="AC235" s="35">
        <v>0.16300000000000001</v>
      </c>
    </row>
    <row r="236" spans="1:29">
      <c r="A236" s="95" t="s">
        <v>790</v>
      </c>
      <c r="B236" s="36">
        <v>2.6700000000000002E-2</v>
      </c>
      <c r="C236" s="36">
        <v>2.18E-2</v>
      </c>
      <c r="D236" s="36">
        <v>2.41E-2</v>
      </c>
      <c r="E236" s="5"/>
      <c r="F236" s="36">
        <v>7.9500000000000005E-3</v>
      </c>
      <c r="G236" s="36">
        <v>5.4899999999999997E-2</v>
      </c>
      <c r="H236" s="36">
        <v>4.4999999999999998E-2</v>
      </c>
      <c r="I236" s="36">
        <v>4.4400000000000002E-2</v>
      </c>
      <c r="J236" s="36">
        <v>4.1500000000000002E-2</v>
      </c>
      <c r="K236" s="5"/>
      <c r="L236" s="36">
        <v>6.8300000000000001E-3</v>
      </c>
      <c r="M236" s="5"/>
      <c r="N236" s="5"/>
      <c r="O236" s="36">
        <v>6.4599999999999996E-3</v>
      </c>
      <c r="P236" s="36">
        <v>3.47E-3</v>
      </c>
      <c r="Q236" s="36">
        <v>5.28E-2</v>
      </c>
      <c r="R236" s="36">
        <v>3.5499999999999997E-2</v>
      </c>
      <c r="S236" s="36">
        <v>4.7E-2</v>
      </c>
      <c r="T236" s="36">
        <v>3.0599999999999999E-2</v>
      </c>
      <c r="U236" s="36">
        <v>4.3200000000000002E-2</v>
      </c>
      <c r="V236" s="36">
        <v>1.49E-2</v>
      </c>
      <c r="W236" s="36">
        <v>3.78E-2</v>
      </c>
      <c r="X236" s="200">
        <v>1.0500000000000001E-2</v>
      </c>
      <c r="Y236" s="139">
        <v>1.5100000000000001E-2</v>
      </c>
      <c r="Z236" s="36">
        <v>8.0099999999999998E-3</v>
      </c>
      <c r="AA236" s="36">
        <v>1.09E-2</v>
      </c>
      <c r="AB236" s="140">
        <v>3.6900000000000002E-2</v>
      </c>
      <c r="AC236" s="36">
        <v>2.6700000000000002E-2</v>
      </c>
    </row>
    <row r="237" spans="1:29">
      <c r="A237" s="95" t="s">
        <v>791</v>
      </c>
      <c r="B237" s="3"/>
      <c r="C237" s="3"/>
      <c r="D237" s="3"/>
      <c r="E237" s="3"/>
      <c r="F237" s="3"/>
      <c r="G237" s="3"/>
      <c r="H237" s="35">
        <v>3.3599999999999998E-2</v>
      </c>
      <c r="I237" s="3"/>
      <c r="J237" s="3"/>
      <c r="K237" s="3"/>
      <c r="L237" s="3"/>
      <c r="M237" s="3"/>
      <c r="N237" s="3"/>
      <c r="O237" s="3"/>
      <c r="P237" s="35">
        <v>7.6699999999999997E-3</v>
      </c>
      <c r="Q237" s="3"/>
      <c r="R237" s="3"/>
      <c r="S237" s="3"/>
      <c r="T237" s="3"/>
      <c r="U237" s="3"/>
      <c r="V237" s="3"/>
      <c r="W237" s="3"/>
      <c r="X237" s="203"/>
      <c r="Y237" s="141"/>
      <c r="Z237" s="35">
        <v>1.89E-2</v>
      </c>
      <c r="AA237" s="35">
        <v>0.02</v>
      </c>
      <c r="AB237" s="138">
        <v>8.8999999999999996E-2</v>
      </c>
      <c r="AC237" s="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69"/>
  <sheetViews>
    <sheetView topLeftCell="A15" workbookViewId="0">
      <selection activeCell="J33" sqref="J33"/>
    </sheetView>
  </sheetViews>
  <sheetFormatPr defaultColWidth="8.85546875" defaultRowHeight="15"/>
  <cols>
    <col min="1" max="1" width="9.7109375" bestFit="1" customWidth="1"/>
    <col min="2" max="2" width="9.28515625" bestFit="1" customWidth="1"/>
    <col min="24" max="24" width="9" bestFit="1" customWidth="1"/>
    <col min="25" max="28" width="10.140625" bestFit="1" customWidth="1"/>
  </cols>
  <sheetData>
    <row r="1" spans="1:28">
      <c r="A1" s="243" t="s">
        <v>72</v>
      </c>
      <c r="B1" s="243" t="s">
        <v>1140</v>
      </c>
      <c r="C1" s="102" t="s">
        <v>74</v>
      </c>
      <c r="D1" s="103" t="s">
        <v>75</v>
      </c>
      <c r="E1" s="103" t="s">
        <v>76</v>
      </c>
      <c r="F1" s="103" t="s">
        <v>78</v>
      </c>
      <c r="G1" s="103" t="s">
        <v>79</v>
      </c>
      <c r="H1" s="103" t="s">
        <v>80</v>
      </c>
      <c r="I1" s="103" t="s">
        <v>81</v>
      </c>
      <c r="J1" s="103" t="s">
        <v>83</v>
      </c>
      <c r="K1" s="103" t="s">
        <v>84</v>
      </c>
      <c r="L1" s="103" t="s">
        <v>85</v>
      </c>
      <c r="M1" s="103" t="s">
        <v>86</v>
      </c>
      <c r="N1" s="103" t="s">
        <v>87</v>
      </c>
      <c r="O1" s="103" t="s">
        <v>88</v>
      </c>
      <c r="P1" s="103" t="s">
        <v>89</v>
      </c>
      <c r="Q1" s="103" t="s">
        <v>90</v>
      </c>
      <c r="R1" s="103" t="s">
        <v>91</v>
      </c>
      <c r="S1" s="103" t="s">
        <v>92</v>
      </c>
      <c r="T1" s="103" t="s">
        <v>93</v>
      </c>
      <c r="U1" s="103" t="s">
        <v>94</v>
      </c>
      <c r="V1" s="103" t="s">
        <v>95</v>
      </c>
      <c r="W1" s="103" t="s">
        <v>96</v>
      </c>
      <c r="X1" s="104" t="s">
        <v>97</v>
      </c>
      <c r="Y1" s="102" t="s">
        <v>98</v>
      </c>
      <c r="Z1" s="103" t="s">
        <v>99</v>
      </c>
      <c r="AA1" s="103" t="s">
        <v>100</v>
      </c>
      <c r="AB1" s="104" t="s">
        <v>101</v>
      </c>
    </row>
    <row r="2" spans="1:28">
      <c r="A2" s="244"/>
      <c r="B2" s="244"/>
      <c r="C2" s="105" t="s">
        <v>112</v>
      </c>
      <c r="D2" s="79" t="s">
        <v>113</v>
      </c>
      <c r="E2" s="79" t="s">
        <v>114</v>
      </c>
      <c r="F2" s="79" t="s">
        <v>116</v>
      </c>
      <c r="G2" s="79" t="s">
        <v>117</v>
      </c>
      <c r="H2" s="79" t="s">
        <v>118</v>
      </c>
      <c r="I2" s="79" t="s">
        <v>119</v>
      </c>
      <c r="J2" s="79" t="s">
        <v>121</v>
      </c>
      <c r="K2" s="79" t="s">
        <v>122</v>
      </c>
      <c r="L2" s="79" t="s">
        <v>123</v>
      </c>
      <c r="M2" s="79" t="s">
        <v>124</v>
      </c>
      <c r="N2" s="79" t="s">
        <v>125</v>
      </c>
      <c r="O2" s="79" t="s">
        <v>126</v>
      </c>
      <c r="P2" s="79" t="s">
        <v>127</v>
      </c>
      <c r="Q2" s="79" t="s">
        <v>128</v>
      </c>
      <c r="R2" s="79" t="s">
        <v>129</v>
      </c>
      <c r="S2" s="79" t="s">
        <v>130</v>
      </c>
      <c r="T2" s="79" t="s">
        <v>131</v>
      </c>
      <c r="U2" s="79" t="s">
        <v>132</v>
      </c>
      <c r="V2" s="79" t="s">
        <v>133</v>
      </c>
      <c r="W2" s="79" t="s">
        <v>134</v>
      </c>
      <c r="X2" s="106" t="s">
        <v>135</v>
      </c>
      <c r="Y2" s="105" t="s">
        <v>136</v>
      </c>
      <c r="Z2" s="79" t="s">
        <v>137</v>
      </c>
      <c r="AA2" s="79" t="s">
        <v>138</v>
      </c>
      <c r="AB2" s="106" t="s">
        <v>139</v>
      </c>
    </row>
    <row r="3" spans="1:28">
      <c r="A3" s="136" t="s">
        <v>1141</v>
      </c>
      <c r="B3" s="137" t="s">
        <v>3</v>
      </c>
      <c r="C3" s="136" t="s">
        <v>1</v>
      </c>
      <c r="D3" s="1" t="s">
        <v>1</v>
      </c>
      <c r="E3" s="1" t="s">
        <v>1</v>
      </c>
      <c r="F3" s="1" t="s">
        <v>1</v>
      </c>
      <c r="G3" s="1" t="s">
        <v>1</v>
      </c>
      <c r="H3" s="1" t="s">
        <v>1</v>
      </c>
      <c r="I3" s="1" t="s">
        <v>1</v>
      </c>
      <c r="J3" s="1" t="s">
        <v>1</v>
      </c>
      <c r="K3" s="1" t="s">
        <v>1</v>
      </c>
      <c r="L3" s="1" t="s">
        <v>1</v>
      </c>
      <c r="M3" s="1" t="s">
        <v>1</v>
      </c>
      <c r="N3" s="1" t="s">
        <v>1</v>
      </c>
      <c r="O3" s="1" t="s">
        <v>1</v>
      </c>
      <c r="P3" s="1" t="s">
        <v>1</v>
      </c>
      <c r="Q3" s="1" t="s">
        <v>1</v>
      </c>
      <c r="R3" s="1" t="s">
        <v>1</v>
      </c>
      <c r="S3" s="1" t="s">
        <v>1</v>
      </c>
      <c r="T3" s="1" t="s">
        <v>1</v>
      </c>
      <c r="U3" s="1" t="s">
        <v>1</v>
      </c>
      <c r="V3" s="1" t="s">
        <v>1</v>
      </c>
      <c r="W3" s="1" t="s">
        <v>1</v>
      </c>
      <c r="X3" s="137" t="s">
        <v>1</v>
      </c>
      <c r="Y3" s="136" t="s">
        <v>1</v>
      </c>
      <c r="Z3" s="1" t="s">
        <v>1</v>
      </c>
      <c r="AA3" s="1" t="s">
        <v>1</v>
      </c>
      <c r="AB3" s="137" t="s">
        <v>1</v>
      </c>
    </row>
    <row r="4" spans="1:28">
      <c r="A4" s="136" t="s">
        <v>112</v>
      </c>
      <c r="B4" s="114"/>
      <c r="C4" s="113"/>
      <c r="D4" s="5"/>
      <c r="E4" s="5"/>
      <c r="F4" s="5"/>
      <c r="G4" s="5"/>
      <c r="H4" s="5"/>
      <c r="I4" s="5"/>
      <c r="J4" s="5"/>
      <c r="K4" s="5"/>
      <c r="L4" s="5"/>
      <c r="M4" s="5"/>
      <c r="N4" s="5"/>
      <c r="O4" s="5"/>
      <c r="P4" s="5"/>
      <c r="Q4" s="5"/>
      <c r="R4" s="5"/>
      <c r="S4" s="5"/>
      <c r="T4" s="5"/>
      <c r="U4" s="5"/>
      <c r="V4" s="5"/>
      <c r="W4" s="5"/>
      <c r="X4" s="114"/>
      <c r="Y4" s="113"/>
      <c r="Z4" s="5"/>
      <c r="AA4" s="5"/>
      <c r="AB4" s="114"/>
    </row>
    <row r="5" spans="1:28">
      <c r="A5" s="136" t="s">
        <v>113</v>
      </c>
      <c r="B5" s="148">
        <v>1</v>
      </c>
      <c r="C5" s="147">
        <v>1.8699186991869918</v>
      </c>
      <c r="D5" s="147">
        <v>0</v>
      </c>
      <c r="E5" s="147">
        <v>1.1991869918699185</v>
      </c>
      <c r="F5" s="147">
        <v>1.4634146341463414</v>
      </c>
      <c r="G5" s="147">
        <v>2.3712737127371271</v>
      </c>
      <c r="H5" s="147">
        <v>1.1260162601626014</v>
      </c>
      <c r="I5" s="147">
        <v>1.5447154471544715</v>
      </c>
      <c r="J5" s="147">
        <v>0.64363143631436315</v>
      </c>
      <c r="K5" s="147">
        <v>0.57994579945799452</v>
      </c>
      <c r="L5" s="147">
        <v>0.34688346883468835</v>
      </c>
      <c r="M5" s="147">
        <v>0.42547425474254735</v>
      </c>
      <c r="N5" s="147">
        <v>0.27777777777777779</v>
      </c>
      <c r="O5" s="147">
        <v>1.084010840108401</v>
      </c>
      <c r="P5" s="147">
        <v>1.7073170731707317</v>
      </c>
      <c r="Q5" s="147">
        <v>0.62195121951219512</v>
      </c>
      <c r="R5" s="147">
        <v>1.2344173441734416</v>
      </c>
      <c r="S5" s="147">
        <v>1.1043360433604337</v>
      </c>
      <c r="T5" s="147">
        <v>1.1558265582655827</v>
      </c>
      <c r="U5" s="147">
        <v>1.2357723577235773</v>
      </c>
      <c r="V5" s="147">
        <v>0.61653116531165308</v>
      </c>
      <c r="W5" s="147">
        <v>0.84010840108401075</v>
      </c>
      <c r="X5" s="147">
        <v>0.66531165311653107</v>
      </c>
      <c r="Y5" s="147">
        <v>0.41869918699186992</v>
      </c>
      <c r="Z5" s="147">
        <v>0.25474254742547425</v>
      </c>
      <c r="AA5" s="147">
        <v>0.70054200542005418</v>
      </c>
      <c r="AB5" s="147">
        <v>0.38482384823848237</v>
      </c>
    </row>
    <row r="6" spans="1:28">
      <c r="A6" s="136" t="s">
        <v>114</v>
      </c>
      <c r="B6" s="148">
        <v>1</v>
      </c>
      <c r="C6" s="147">
        <v>2.5092250922509227</v>
      </c>
      <c r="D6" s="147">
        <v>1.7158671586715868</v>
      </c>
      <c r="E6" s="147">
        <v>6.1254612546125457E-2</v>
      </c>
      <c r="F6" s="147">
        <v>1.1365313653136531</v>
      </c>
      <c r="G6" s="147">
        <v>2.1143911439114387</v>
      </c>
      <c r="H6" s="147">
        <v>0.8302583025830258</v>
      </c>
      <c r="I6" s="147">
        <v>1.1660516605166051</v>
      </c>
      <c r="J6" s="147">
        <v>1.7343173431734316</v>
      </c>
      <c r="K6" s="147">
        <v>1.6162361623616235</v>
      </c>
      <c r="L6" s="147">
        <v>0.4870848708487085</v>
      </c>
      <c r="M6" s="147">
        <v>0.5793357933579335</v>
      </c>
      <c r="N6" s="147">
        <v>0.46494464944649444</v>
      </c>
      <c r="O6" s="147">
        <v>1.6309963099630995</v>
      </c>
      <c r="P6" s="147">
        <v>0.77490774907749072</v>
      </c>
      <c r="Q6" s="147">
        <v>1.6051660516605164</v>
      </c>
      <c r="R6" s="147">
        <v>1.8302583025830257</v>
      </c>
      <c r="S6" s="147">
        <v>0.70110701107011064</v>
      </c>
      <c r="T6" s="147">
        <v>0.8745387453874538</v>
      </c>
      <c r="U6" s="147">
        <v>1.191881918819188</v>
      </c>
      <c r="V6" s="147">
        <v>1.6752767527675276</v>
      </c>
      <c r="W6" s="147">
        <v>1.8892988929889298</v>
      </c>
      <c r="X6" s="147">
        <v>1.5571955719557193</v>
      </c>
      <c r="Y6" s="147">
        <v>0.64575645756457556</v>
      </c>
      <c r="Z6" s="147">
        <v>0.41697416974169738</v>
      </c>
      <c r="AA6" s="147">
        <v>0.5793357933579335</v>
      </c>
      <c r="AB6" s="147">
        <v>1.140221402214022</v>
      </c>
    </row>
    <row r="7" spans="1:28">
      <c r="A7" s="136" t="s">
        <v>148</v>
      </c>
      <c r="B7" s="138">
        <v>1.6899999999999998E-2</v>
      </c>
      <c r="C7" s="141"/>
      <c r="D7" s="3"/>
      <c r="E7" s="3"/>
      <c r="F7" s="3"/>
      <c r="G7" s="3"/>
      <c r="H7" s="3"/>
      <c r="I7" s="3"/>
      <c r="J7" s="3"/>
      <c r="K7" s="3"/>
      <c r="L7" s="3"/>
      <c r="M7" s="3"/>
      <c r="N7" s="3"/>
      <c r="O7" s="3"/>
      <c r="P7" s="3"/>
      <c r="Q7" s="3"/>
      <c r="R7" s="3"/>
      <c r="S7" s="3"/>
      <c r="T7" s="3"/>
      <c r="U7" s="3"/>
      <c r="V7" s="3"/>
      <c r="W7" s="3"/>
      <c r="X7" s="142"/>
      <c r="Y7" s="141"/>
      <c r="Z7" s="3"/>
      <c r="AA7" s="3"/>
      <c r="AB7" s="142"/>
    </row>
    <row r="8" spans="1:28">
      <c r="A8" s="136" t="s">
        <v>117</v>
      </c>
      <c r="B8" s="148">
        <v>1</v>
      </c>
      <c r="C8" s="147">
        <v>0.31092436974789917</v>
      </c>
      <c r="D8" s="147">
        <v>1.0756302521008405</v>
      </c>
      <c r="E8" s="147">
        <v>1.6722689075630253</v>
      </c>
      <c r="F8" s="147">
        <v>18.235294117647058</v>
      </c>
      <c r="G8" s="147">
        <v>0</v>
      </c>
      <c r="H8" s="147">
        <v>1.1260504201680674</v>
      </c>
      <c r="I8" s="147">
        <v>1.4957983193277311</v>
      </c>
      <c r="J8" s="147">
        <v>0.15882352941176472</v>
      </c>
      <c r="K8" s="147">
        <v>0.24369747899159666</v>
      </c>
      <c r="L8" s="147">
        <v>0.30000000000000004</v>
      </c>
      <c r="M8" s="147">
        <v>0.33193277310924374</v>
      </c>
      <c r="N8" s="147">
        <v>0.24453781512605044</v>
      </c>
      <c r="O8" s="147">
        <v>0.21512605042016808</v>
      </c>
      <c r="P8" s="147">
        <v>0.50504201680672267</v>
      </c>
      <c r="Q8" s="147">
        <v>0.89075630252100846</v>
      </c>
      <c r="R8" s="147">
        <v>1.1596638655462186</v>
      </c>
      <c r="S8" s="147">
        <v>0.48151260504201682</v>
      </c>
      <c r="T8" s="147">
        <v>0.59327731092436975</v>
      </c>
      <c r="U8" s="147">
        <v>0.84873949579831942</v>
      </c>
      <c r="V8" s="147">
        <v>0.74453781512605044</v>
      </c>
      <c r="W8" s="147">
        <v>0.58151260504201685</v>
      </c>
      <c r="X8" s="147">
        <v>0.60504201680672265</v>
      </c>
      <c r="Y8" s="147">
        <v>6.9831932773109243E-2</v>
      </c>
      <c r="Z8" s="147">
        <v>0.16638655462184876</v>
      </c>
      <c r="AA8" s="147">
        <v>7.9495798319327737E-2</v>
      </c>
      <c r="AB8" s="147">
        <v>0.38739495798319329</v>
      </c>
    </row>
    <row r="9" spans="1:28">
      <c r="A9" s="136" t="s">
        <v>118</v>
      </c>
      <c r="B9" s="148">
        <v>1</v>
      </c>
      <c r="C9" s="147">
        <v>1.9005524861878451</v>
      </c>
      <c r="D9" s="147">
        <v>1.8950276243093924</v>
      </c>
      <c r="E9" s="147">
        <v>1.7679558011049725</v>
      </c>
      <c r="F9" s="147">
        <v>1.3812154696132597</v>
      </c>
      <c r="G9" s="147">
        <v>1.6629834254143647</v>
      </c>
      <c r="H9" s="147">
        <v>0</v>
      </c>
      <c r="I9" s="147">
        <v>0.62983425414364647</v>
      </c>
      <c r="J9" s="147">
        <v>0.86187845303867405</v>
      </c>
      <c r="K9" s="147">
        <v>1.1988950276243093</v>
      </c>
      <c r="L9" s="147">
        <v>0.75690607734806636</v>
      </c>
      <c r="M9" s="147">
        <v>0.80662983425414359</v>
      </c>
      <c r="N9" s="147">
        <v>0.71823204419889508</v>
      </c>
      <c r="O9" s="147">
        <v>1.0386740331491713</v>
      </c>
      <c r="P9" s="147">
        <v>1.1712707182320441</v>
      </c>
      <c r="Q9" s="147">
        <v>0.97790055248618779</v>
      </c>
      <c r="R9" s="147">
        <v>1.0441988950276244</v>
      </c>
      <c r="S9" s="147">
        <v>1.4364640883977902</v>
      </c>
      <c r="T9" s="147">
        <v>1.1546961325966851</v>
      </c>
      <c r="U9" s="147">
        <v>1.1767955801104972</v>
      </c>
      <c r="V9" s="147">
        <v>0.850828729281768</v>
      </c>
      <c r="W9" s="147">
        <v>1.1712707182320441</v>
      </c>
      <c r="X9" s="147">
        <v>1.0883977900552486</v>
      </c>
      <c r="Y9" s="147">
        <v>0.54751381215469608</v>
      </c>
      <c r="Z9" s="147">
        <v>0.59668508287292821</v>
      </c>
      <c r="AA9" s="147">
        <v>0.8729281767955801</v>
      </c>
      <c r="AB9" s="147">
        <v>1.1160220994475138</v>
      </c>
    </row>
    <row r="10" spans="1:28">
      <c r="A10" s="136" t="s">
        <v>149</v>
      </c>
      <c r="B10" s="148">
        <v>1</v>
      </c>
      <c r="C10" s="147">
        <v>1.0245901639344261</v>
      </c>
      <c r="D10" s="147">
        <v>1.9098360655737705</v>
      </c>
      <c r="E10" s="147">
        <v>1.4426229508196722</v>
      </c>
      <c r="F10" s="147">
        <v>1.5081967213114755</v>
      </c>
      <c r="G10" s="147">
        <v>1.3442622950819672</v>
      </c>
      <c r="H10" s="147">
        <v>0.73934426229508199</v>
      </c>
      <c r="I10" s="147">
        <v>1.040983606557377</v>
      </c>
      <c r="J10" s="147">
        <v>0.6262295081967213</v>
      </c>
      <c r="K10" s="147">
        <v>0.73770491803278693</v>
      </c>
      <c r="L10" s="147">
        <v>1.4672131147540983</v>
      </c>
      <c r="M10" s="147">
        <v>1.5491803278688525</v>
      </c>
      <c r="N10" s="147">
        <v>1.360655737704918</v>
      </c>
      <c r="O10" s="147">
        <v>0.71639344262295079</v>
      </c>
      <c r="P10" s="147">
        <v>0.86885245901639352</v>
      </c>
      <c r="Q10" s="147">
        <v>0.95901639344262291</v>
      </c>
      <c r="R10" s="147">
        <v>1.0245901639344261</v>
      </c>
      <c r="S10" s="147">
        <v>0.81147540983606559</v>
      </c>
      <c r="T10" s="147">
        <v>0.77131147540983602</v>
      </c>
      <c r="U10" s="147">
        <v>1.040983606557377</v>
      </c>
      <c r="V10" s="147">
        <v>1.0655737704918034</v>
      </c>
      <c r="W10" s="147">
        <v>1.139344262295082</v>
      </c>
      <c r="X10" s="147">
        <v>0.99180327868852458</v>
      </c>
      <c r="Y10" s="147">
        <v>0.71639344262295079</v>
      </c>
      <c r="Z10" s="147">
        <v>0.77540983606557379</v>
      </c>
      <c r="AA10" s="147">
        <v>0.87704918032786894</v>
      </c>
      <c r="AB10" s="147">
        <v>1.6147540983606556</v>
      </c>
    </row>
    <row r="11" spans="1:28">
      <c r="A11" s="136" t="s">
        <v>150</v>
      </c>
      <c r="B11" s="148">
        <v>1</v>
      </c>
      <c r="C11" s="147">
        <v>0.92156862745098034</v>
      </c>
      <c r="D11" s="147">
        <v>2.5272331154684093</v>
      </c>
      <c r="E11" s="147">
        <v>1.9019607843137254</v>
      </c>
      <c r="F11" s="147">
        <v>1.6579520697167756</v>
      </c>
      <c r="G11" s="147">
        <v>1.0610021786492374</v>
      </c>
      <c r="H11" s="147">
        <v>0.93028322440087141</v>
      </c>
      <c r="I11" s="147">
        <v>1.6078431372549018</v>
      </c>
      <c r="J11" s="147">
        <v>2.2222222222222223</v>
      </c>
      <c r="K11" s="147">
        <v>2.5925925925925926</v>
      </c>
      <c r="L11" s="147">
        <v>0.94989106753812635</v>
      </c>
      <c r="M11" s="147">
        <v>1.0239651416122004</v>
      </c>
      <c r="N11" s="147">
        <v>0.81263616557734197</v>
      </c>
      <c r="O11" s="147">
        <v>1.7233115468409586</v>
      </c>
      <c r="P11" s="147">
        <v>1.4008714596949892</v>
      </c>
      <c r="Q11" s="147">
        <v>0.94553376906318076</v>
      </c>
      <c r="R11" s="147">
        <v>0.88888888888888884</v>
      </c>
      <c r="S11" s="147">
        <v>0.72984749455337694</v>
      </c>
      <c r="T11" s="147">
        <v>0.82570806100217864</v>
      </c>
      <c r="U11" s="147">
        <v>1.0871459694989107</v>
      </c>
      <c r="V11" s="147">
        <v>0.83006535947712412</v>
      </c>
      <c r="W11" s="147">
        <v>0.93681917211328969</v>
      </c>
      <c r="X11" s="147">
        <v>0.90631808278867099</v>
      </c>
      <c r="Y11" s="147">
        <v>7.2549019607843143E-2</v>
      </c>
      <c r="Z11" s="147">
        <v>5.9694989106753811E-2</v>
      </c>
      <c r="AA11" s="147">
        <v>8.8888888888888892E-2</v>
      </c>
      <c r="AB11" s="147">
        <v>0.13747276688453158</v>
      </c>
    </row>
    <row r="12" spans="1:28">
      <c r="A12" s="136" t="s">
        <v>151</v>
      </c>
      <c r="B12" s="148">
        <v>1</v>
      </c>
      <c r="C12" s="147">
        <v>1.047945205479452</v>
      </c>
      <c r="D12" s="147">
        <v>1.9132420091324203</v>
      </c>
      <c r="E12" s="147">
        <v>1.2009132420091324</v>
      </c>
      <c r="F12" s="147">
        <v>1.3059360730593608</v>
      </c>
      <c r="G12" s="147">
        <v>1.0684931506849316</v>
      </c>
      <c r="H12" s="147">
        <v>0.73059360730593614</v>
      </c>
      <c r="I12" s="147">
        <v>0.99315068493150682</v>
      </c>
      <c r="J12" s="147">
        <v>1.1210045662100456</v>
      </c>
      <c r="K12" s="147">
        <v>1.0091324200913243</v>
      </c>
      <c r="L12" s="147">
        <v>0.73744292237442921</v>
      </c>
      <c r="M12" s="147">
        <v>0.76940639269406397</v>
      </c>
      <c r="N12" s="147">
        <v>0.65525114155251141</v>
      </c>
      <c r="O12" s="147">
        <v>1.1552511415525113</v>
      </c>
      <c r="P12" s="147">
        <v>0.81506849315068497</v>
      </c>
      <c r="Q12" s="147">
        <v>0.76484018264840181</v>
      </c>
      <c r="R12" s="147">
        <v>1.1392694063926943</v>
      </c>
      <c r="S12" s="147">
        <v>0.68264840182648412</v>
      </c>
      <c r="T12" s="147">
        <v>0.79452054794520555</v>
      </c>
      <c r="U12" s="147">
        <v>0.91324200913242015</v>
      </c>
      <c r="V12" s="147">
        <v>0.74885844748858443</v>
      </c>
      <c r="W12" s="147">
        <v>0.94748858447488593</v>
      </c>
      <c r="X12" s="147">
        <v>0.79680365296803657</v>
      </c>
      <c r="Y12" s="147">
        <v>0.39269406392694062</v>
      </c>
      <c r="Z12" s="147">
        <v>0.72146118721461194</v>
      </c>
      <c r="AA12" s="147">
        <v>1.1986301369863015</v>
      </c>
      <c r="AB12" s="147">
        <v>1.6917808219178083</v>
      </c>
    </row>
    <row r="13" spans="1:28">
      <c r="A13" s="136" t="s">
        <v>154</v>
      </c>
      <c r="B13" s="148">
        <v>1</v>
      </c>
      <c r="C13" s="147">
        <v>1.434153400868307</v>
      </c>
      <c r="D13" s="147">
        <v>1.5629522431259046</v>
      </c>
      <c r="E13" s="147">
        <v>2.0405209840810419</v>
      </c>
      <c r="F13" s="147">
        <v>1.4153400868306802</v>
      </c>
      <c r="G13" s="147">
        <v>1.4761215629522433</v>
      </c>
      <c r="H13" s="147">
        <v>0.98986975397973964</v>
      </c>
      <c r="I13" s="147">
        <v>1.4905933429811868</v>
      </c>
      <c r="J13" s="147">
        <v>0.43994211287988427</v>
      </c>
      <c r="K13" s="147">
        <v>0.36324167872648339</v>
      </c>
      <c r="L13" s="147">
        <v>0.65123010130246028</v>
      </c>
      <c r="M13" s="147">
        <v>0.74819102749638211</v>
      </c>
      <c r="N13" s="147">
        <v>0.66714905933429824</v>
      </c>
      <c r="O13" s="147">
        <v>0.48480463096960935</v>
      </c>
      <c r="P13" s="147">
        <v>0.91751085383502173</v>
      </c>
      <c r="Q13" s="147">
        <v>0.60202604920405212</v>
      </c>
      <c r="R13" s="147">
        <v>1.0781476121562954</v>
      </c>
      <c r="S13" s="147">
        <v>0.50217076700434149</v>
      </c>
      <c r="T13" s="147">
        <v>0.50940665701881327</v>
      </c>
      <c r="U13" s="147">
        <v>0.61939218523878437</v>
      </c>
      <c r="V13" s="147">
        <v>0.7149059334298119</v>
      </c>
      <c r="W13" s="147">
        <v>0.78437047756874112</v>
      </c>
      <c r="X13" s="147">
        <v>0.69175108538350216</v>
      </c>
      <c r="Y13" s="147">
        <v>0.47322720694645448</v>
      </c>
      <c r="Z13" s="147">
        <v>0.36613603473227208</v>
      </c>
      <c r="AA13" s="147">
        <v>0.59768451519536903</v>
      </c>
      <c r="AB13" s="147">
        <v>0.81186685962373384</v>
      </c>
    </row>
    <row r="14" spans="1:28">
      <c r="A14" s="136" t="s">
        <v>121</v>
      </c>
      <c r="B14" s="148">
        <v>1</v>
      </c>
      <c r="C14" s="147">
        <v>0.89473684210526327</v>
      </c>
      <c r="D14" s="147">
        <v>0.69298245614035092</v>
      </c>
      <c r="E14" s="147">
        <v>0.64561403508771931</v>
      </c>
      <c r="F14" s="147">
        <v>0.56228070175438605</v>
      </c>
      <c r="G14" s="147">
        <v>0.65350877192982459</v>
      </c>
      <c r="H14" s="147">
        <v>1.5964912280701757</v>
      </c>
      <c r="I14" s="147">
        <v>1.6228070175438598</v>
      </c>
      <c r="J14" s="147">
        <v>2.4561403508771933E-2</v>
      </c>
      <c r="K14" s="147">
        <v>1.2982456140350878</v>
      </c>
      <c r="L14" s="147">
        <v>0.4578947368421053</v>
      </c>
      <c r="M14" s="147">
        <v>0.50877192982456143</v>
      </c>
      <c r="N14" s="147">
        <v>0.518421052631579</v>
      </c>
      <c r="O14" s="147">
        <v>1.3771929824561404</v>
      </c>
      <c r="P14" s="147">
        <v>1.2719298245614037</v>
      </c>
      <c r="Q14" s="147">
        <v>1.1140350877192984</v>
      </c>
      <c r="R14" s="147">
        <v>1.2807017543859649</v>
      </c>
      <c r="S14" s="147">
        <v>1.2982456140350878</v>
      </c>
      <c r="T14" s="147">
        <v>1.5789473684210529</v>
      </c>
      <c r="U14" s="147">
        <v>1.5087719298245614</v>
      </c>
      <c r="V14" s="147">
        <v>1.2719298245614037</v>
      </c>
      <c r="W14" s="147">
        <v>1.3157894736842106</v>
      </c>
      <c r="X14" s="147">
        <v>0.94736842105263175</v>
      </c>
      <c r="Y14" s="147">
        <v>1.1228070175438598</v>
      </c>
      <c r="Z14" s="147">
        <v>1.0877192982456141</v>
      </c>
      <c r="AA14" s="147">
        <v>1.192982456140351</v>
      </c>
      <c r="AB14" s="147">
        <v>1.2017543859649125</v>
      </c>
    </row>
    <row r="15" spans="1:28">
      <c r="A15" s="136" t="s">
        <v>122</v>
      </c>
      <c r="B15" s="142"/>
      <c r="C15" s="141"/>
      <c r="D15" s="3"/>
      <c r="E15" s="3"/>
      <c r="F15" s="3"/>
      <c r="G15" s="3"/>
      <c r="H15" s="3"/>
      <c r="I15" s="3"/>
      <c r="J15" s="3"/>
      <c r="K15" s="3"/>
      <c r="L15" s="3"/>
      <c r="M15" s="3"/>
      <c r="N15" s="3"/>
      <c r="O15" s="3"/>
      <c r="P15" s="3"/>
      <c r="Q15" s="3"/>
      <c r="R15" s="3"/>
      <c r="S15" s="3"/>
      <c r="T15" s="3"/>
      <c r="U15" s="3"/>
      <c r="V15" s="3"/>
      <c r="W15" s="3"/>
      <c r="X15" s="142"/>
      <c r="Y15" s="141"/>
      <c r="Z15" s="3"/>
      <c r="AA15" s="3"/>
      <c r="AB15" s="142"/>
    </row>
    <row r="16" spans="1:28">
      <c r="A16" s="136" t="s">
        <v>155</v>
      </c>
      <c r="B16" s="148">
        <v>1</v>
      </c>
      <c r="C16" s="147">
        <v>1.646766169154229</v>
      </c>
      <c r="D16" s="147">
        <v>2.4328358208955225</v>
      </c>
      <c r="E16" s="147">
        <v>2.0796019900497513</v>
      </c>
      <c r="F16" s="147">
        <v>2.4179104477611943</v>
      </c>
      <c r="G16" s="147">
        <v>2.2636815920398012</v>
      </c>
      <c r="H16" s="147">
        <v>1.218905472636816</v>
      </c>
      <c r="I16" s="147">
        <v>2.1641791044776122</v>
      </c>
      <c r="J16" s="147">
        <v>0.845771144278607</v>
      </c>
      <c r="K16" s="147">
        <v>0.79601990049751259</v>
      </c>
      <c r="L16" s="147">
        <v>0.62189054726368165</v>
      </c>
      <c r="M16" s="147">
        <v>0.66169154228855731</v>
      </c>
      <c r="N16" s="147">
        <v>0.59701492537313439</v>
      </c>
      <c r="O16" s="147">
        <v>0.84079601990049757</v>
      </c>
      <c r="P16" s="147">
        <v>1.1741293532338308</v>
      </c>
      <c r="Q16" s="147">
        <v>1.0348258706467663</v>
      </c>
      <c r="R16" s="147">
        <v>1.9004975124378112</v>
      </c>
      <c r="S16" s="147">
        <v>0.78606965174129362</v>
      </c>
      <c r="T16" s="147">
        <v>0.85074626865671654</v>
      </c>
      <c r="U16" s="147">
        <v>1.0497512437810945</v>
      </c>
      <c r="V16" s="147">
        <v>1.0447761194029852</v>
      </c>
      <c r="W16" s="147">
        <v>1.0597014925373134</v>
      </c>
      <c r="X16" s="147">
        <v>0.94527363184079605</v>
      </c>
      <c r="Y16" s="147">
        <v>0.66169154228855731</v>
      </c>
      <c r="Z16" s="147">
        <v>0.55721393034825883</v>
      </c>
      <c r="AA16" s="147">
        <v>0.93532338308457719</v>
      </c>
      <c r="AB16" s="147">
        <v>1.7114427860696519</v>
      </c>
    </row>
    <row r="17" spans="1:28">
      <c r="A17" s="136" t="s">
        <v>123</v>
      </c>
      <c r="B17" s="148">
        <v>1</v>
      </c>
      <c r="C17" s="147">
        <v>2.3661417322834644</v>
      </c>
      <c r="D17" s="147">
        <v>1.8188976377952757</v>
      </c>
      <c r="E17" s="147">
        <v>1.0118110236220472</v>
      </c>
      <c r="F17" s="147">
        <v>1.3740157480314958</v>
      </c>
      <c r="G17" s="147">
        <v>1.6771653543307086</v>
      </c>
      <c r="H17" s="147">
        <v>1.3937007874015748</v>
      </c>
      <c r="I17" s="147">
        <v>1.4645669291338583</v>
      </c>
      <c r="J17" s="147">
        <v>0.61417322834645671</v>
      </c>
      <c r="K17" s="147">
        <v>0.64566929133858264</v>
      </c>
      <c r="L17" s="147">
        <v>0</v>
      </c>
      <c r="M17" s="147">
        <v>0.60236220472440938</v>
      </c>
      <c r="N17" s="147">
        <v>0.44881889763779531</v>
      </c>
      <c r="O17" s="147">
        <v>0.66535433070866146</v>
      </c>
      <c r="P17" s="147">
        <v>1.1614173228346456</v>
      </c>
      <c r="Q17" s="147">
        <v>0.99606299212598426</v>
      </c>
      <c r="R17" s="147">
        <v>0.73622047244094491</v>
      </c>
      <c r="S17" s="147">
        <v>0.59055118110236215</v>
      </c>
      <c r="T17" s="147">
        <v>0.8031496062992125</v>
      </c>
      <c r="U17" s="147">
        <v>0.90944881889763785</v>
      </c>
      <c r="V17" s="147">
        <v>1.0905511811023623</v>
      </c>
      <c r="W17" s="147">
        <v>1.1496062992125984</v>
      </c>
      <c r="X17" s="147">
        <v>0.98425196850393704</v>
      </c>
      <c r="Y17" s="147">
        <v>0.41732283464566927</v>
      </c>
      <c r="Z17" s="147">
        <v>0.58661417322834641</v>
      </c>
      <c r="AA17" s="147">
        <v>0.85433070866141736</v>
      </c>
      <c r="AB17" s="147">
        <v>0.5275590551181103</v>
      </c>
    </row>
    <row r="18" spans="1:28">
      <c r="A18" s="136" t="s">
        <v>124</v>
      </c>
      <c r="B18" s="148">
        <v>1</v>
      </c>
      <c r="C18" s="147">
        <v>1.9230769230769229</v>
      </c>
      <c r="D18" s="147">
        <v>1.3979289940828401</v>
      </c>
      <c r="E18" s="147">
        <v>1.1198224852071006</v>
      </c>
      <c r="F18" s="147">
        <v>1.4792899408284024</v>
      </c>
      <c r="G18" s="147">
        <v>0.92751479289940819</v>
      </c>
      <c r="H18" s="147">
        <v>0.51331360946745552</v>
      </c>
      <c r="I18" s="147">
        <v>0.82396449704142016</v>
      </c>
      <c r="J18" s="147">
        <v>0.18343195266272189</v>
      </c>
      <c r="K18" s="147">
        <v>0.2100591715976331</v>
      </c>
      <c r="L18" s="147">
        <v>0.47337278106508873</v>
      </c>
      <c r="M18" s="147">
        <v>8.8609467455621291E-3</v>
      </c>
      <c r="N18" s="147">
        <v>0.35798816568047331</v>
      </c>
      <c r="O18" s="147">
        <v>0.32396449704142011</v>
      </c>
      <c r="P18" s="147">
        <v>0.22485207100591714</v>
      </c>
      <c r="Q18" s="147">
        <v>0.38461538461538458</v>
      </c>
      <c r="R18" s="147">
        <v>1.3816568047337279</v>
      </c>
      <c r="S18" s="147">
        <v>0.65532544378698221</v>
      </c>
      <c r="T18" s="147">
        <v>0.80473372781065089</v>
      </c>
      <c r="U18" s="147">
        <v>0.74260355029585789</v>
      </c>
      <c r="V18" s="147">
        <v>0.68934911242603547</v>
      </c>
      <c r="W18" s="147">
        <v>0.57544378698224852</v>
      </c>
      <c r="X18" s="147">
        <v>0.32396449704142011</v>
      </c>
      <c r="Y18" s="147">
        <v>0.93934911242603547</v>
      </c>
      <c r="Z18" s="147">
        <v>0.50443786982248517</v>
      </c>
      <c r="AA18" s="147">
        <v>1.1893491124260356</v>
      </c>
      <c r="AB18" s="147">
        <v>1.7455621301775146</v>
      </c>
    </row>
    <row r="19" spans="1:28">
      <c r="A19" s="136" t="s">
        <v>125</v>
      </c>
      <c r="B19" s="148">
        <v>1</v>
      </c>
      <c r="C19" s="147">
        <v>1.5217391304347825</v>
      </c>
      <c r="D19" s="147">
        <v>1.8944099378881987</v>
      </c>
      <c r="E19" s="147">
        <v>1.6459627329192548</v>
      </c>
      <c r="F19" s="147">
        <v>1.18944099378882</v>
      </c>
      <c r="G19" s="147">
        <v>2.0714285714285716</v>
      </c>
      <c r="H19" s="147">
        <v>0.75155279503105588</v>
      </c>
      <c r="I19" s="147">
        <v>1.0527950310559007</v>
      </c>
      <c r="J19" s="147">
        <v>0.81366459627329191</v>
      </c>
      <c r="K19" s="147">
        <v>1.0496894409937889</v>
      </c>
      <c r="L19" s="147">
        <v>0.50310559006211175</v>
      </c>
      <c r="M19" s="147">
        <v>0.53416149068322971</v>
      </c>
      <c r="N19" s="147">
        <v>1.3819875776397515E-2</v>
      </c>
      <c r="O19" s="147">
        <v>1.0652173913043479</v>
      </c>
      <c r="P19" s="147">
        <v>0.85714285714285721</v>
      </c>
      <c r="Q19" s="147">
        <v>1.0652173913043479</v>
      </c>
      <c r="R19" s="147">
        <v>0.47826086956521735</v>
      </c>
      <c r="S19" s="147">
        <v>0.69254658385093171</v>
      </c>
      <c r="T19" s="147">
        <v>0.73602484472049678</v>
      </c>
      <c r="U19" s="147">
        <v>1.170807453416149</v>
      </c>
      <c r="V19" s="147">
        <v>0.69565217391304346</v>
      </c>
      <c r="W19" s="147">
        <v>1.2329192546583851</v>
      </c>
      <c r="X19" s="147">
        <v>1.0031055900621118</v>
      </c>
      <c r="Y19" s="147">
        <v>0.43167701863354041</v>
      </c>
      <c r="Z19" s="147">
        <v>0.34782608695652173</v>
      </c>
      <c r="AA19" s="147">
        <v>0.19316770186335402</v>
      </c>
      <c r="AB19" s="147">
        <v>0.31366459627329196</v>
      </c>
    </row>
    <row r="20" spans="1:28">
      <c r="A20" s="136" t="s">
        <v>126</v>
      </c>
      <c r="B20" s="148">
        <v>1</v>
      </c>
      <c r="C20" s="147">
        <v>1.8741808650065528</v>
      </c>
      <c r="D20" s="147">
        <v>2.1625163826998688</v>
      </c>
      <c r="E20" s="147">
        <v>1.4547837483617299</v>
      </c>
      <c r="F20" s="147">
        <v>1.3892529488859762</v>
      </c>
      <c r="G20" s="147">
        <v>1.349934469200524</v>
      </c>
      <c r="H20" s="147">
        <v>1.9921363040629094</v>
      </c>
      <c r="I20" s="147">
        <v>2.3328964613368282</v>
      </c>
      <c r="J20" s="147">
        <v>1.0144167758846656</v>
      </c>
      <c r="K20" s="147">
        <v>0.8741808650065529</v>
      </c>
      <c r="L20" s="147">
        <v>0.54259501965923984</v>
      </c>
      <c r="M20" s="147">
        <v>0.50196592398427253</v>
      </c>
      <c r="N20" s="147">
        <v>0.5307994757536042</v>
      </c>
      <c r="O20" s="147">
        <v>0</v>
      </c>
      <c r="P20" s="147">
        <v>2.5950196592398425</v>
      </c>
      <c r="Q20" s="147">
        <v>0.94888597640891215</v>
      </c>
      <c r="R20" s="147">
        <v>1.2162516382699866</v>
      </c>
      <c r="S20" s="147">
        <v>0.80865006553079932</v>
      </c>
      <c r="T20" s="147">
        <v>1.3368283093053732</v>
      </c>
      <c r="U20" s="147">
        <v>0.98951507208387934</v>
      </c>
      <c r="V20" s="147">
        <v>0.84927916120576663</v>
      </c>
      <c r="W20" s="147">
        <v>1.0104849279161205</v>
      </c>
      <c r="X20" s="147">
        <v>0.70511140235910874</v>
      </c>
      <c r="Y20" s="147">
        <v>0</v>
      </c>
      <c r="Z20" s="147">
        <v>0</v>
      </c>
      <c r="AA20" s="147">
        <v>0</v>
      </c>
      <c r="AB20" s="147">
        <v>0</v>
      </c>
    </row>
    <row r="21" spans="1:28">
      <c r="A21" s="136" t="s">
        <v>127</v>
      </c>
      <c r="B21" s="148">
        <v>1</v>
      </c>
      <c r="C21" s="147">
        <v>0.84868421052631582</v>
      </c>
      <c r="D21" s="147">
        <v>0.96710526315789469</v>
      </c>
      <c r="E21" s="147">
        <v>1.0657894736842106</v>
      </c>
      <c r="F21" s="147">
        <v>2.2500000000000004</v>
      </c>
      <c r="G21" s="147">
        <v>1.4539473684210527</v>
      </c>
      <c r="H21" s="147">
        <v>1.013157894736842</v>
      </c>
      <c r="I21" s="147">
        <v>1.25</v>
      </c>
      <c r="J21" s="147">
        <v>0.52368421052631586</v>
      </c>
      <c r="K21" s="147">
        <v>0.45592105263157895</v>
      </c>
      <c r="L21" s="147">
        <v>0.57631578947368423</v>
      </c>
      <c r="M21" s="147">
        <v>0.63223684210526321</v>
      </c>
      <c r="N21" s="147">
        <v>0.57894736842105265</v>
      </c>
      <c r="O21" s="147">
        <v>0.57565789473684204</v>
      </c>
      <c r="P21" s="147">
        <v>0.11118421052631579</v>
      </c>
      <c r="Q21" s="147">
        <v>0.70394736842105265</v>
      </c>
      <c r="R21" s="147">
        <v>0.62763157894736843</v>
      </c>
      <c r="S21" s="147">
        <v>0.67105263157894735</v>
      </c>
      <c r="T21" s="147">
        <v>0.65526315789473677</v>
      </c>
      <c r="U21" s="147">
        <v>0.87500000000000011</v>
      </c>
      <c r="V21" s="147">
        <v>0.80921052631578949</v>
      </c>
      <c r="W21" s="147">
        <v>0.86184210526315796</v>
      </c>
      <c r="X21" s="147">
        <v>0.82236842105263164</v>
      </c>
      <c r="Y21" s="147">
        <v>0.69078947368421051</v>
      </c>
      <c r="Z21" s="147">
        <v>0.23355263157894735</v>
      </c>
      <c r="AA21" s="147">
        <v>0.22500000000000001</v>
      </c>
      <c r="AB21" s="147">
        <v>0.21644736842105264</v>
      </c>
    </row>
    <row r="22" spans="1:28">
      <c r="A22" s="136" t="s">
        <v>128</v>
      </c>
      <c r="B22" s="148">
        <v>1</v>
      </c>
      <c r="C22" s="147">
        <v>1.3106508875739644</v>
      </c>
      <c r="D22" s="147">
        <v>2.6094674556213016</v>
      </c>
      <c r="E22" s="147">
        <v>2.4142011834319526</v>
      </c>
      <c r="F22" s="147">
        <v>2.6153846153846154</v>
      </c>
      <c r="G22" s="147">
        <v>2.0443786982248517</v>
      </c>
      <c r="H22" s="147">
        <v>0.94082840236686383</v>
      </c>
      <c r="I22" s="147">
        <v>1.4201183431952662</v>
      </c>
      <c r="J22" s="147">
        <v>1.2455621301775146</v>
      </c>
      <c r="K22" s="147">
        <v>1.1923076923076923</v>
      </c>
      <c r="L22" s="147">
        <v>0.29585798816568049</v>
      </c>
      <c r="M22" s="147">
        <v>0.26390532544378698</v>
      </c>
      <c r="N22" s="147">
        <v>0.22307692307692303</v>
      </c>
      <c r="O22" s="147">
        <v>0.97041420118343191</v>
      </c>
      <c r="P22" s="147">
        <v>0.96153846153846145</v>
      </c>
      <c r="Q22" s="147">
        <v>0</v>
      </c>
      <c r="R22" s="147">
        <v>0.77810650887573962</v>
      </c>
      <c r="S22" s="147">
        <v>0.23431952662721894</v>
      </c>
      <c r="T22" s="147">
        <v>0.32544378698224852</v>
      </c>
      <c r="U22" s="147">
        <v>0.34023668639053256</v>
      </c>
      <c r="V22" s="147">
        <v>0.39349112426035504</v>
      </c>
      <c r="W22" s="147">
        <v>0.37278106508875736</v>
      </c>
      <c r="X22" s="147">
        <v>0.31065088757396447</v>
      </c>
      <c r="Y22" s="147">
        <v>0.57988165680473369</v>
      </c>
      <c r="Z22" s="147">
        <v>0</v>
      </c>
      <c r="AA22" s="147">
        <v>1.7189349112426033</v>
      </c>
      <c r="AB22" s="147">
        <v>1.9970414201183433</v>
      </c>
    </row>
    <row r="23" spans="1:28">
      <c r="A23" s="136" t="s">
        <v>129</v>
      </c>
      <c r="B23" s="148">
        <v>1</v>
      </c>
      <c r="C23" s="147">
        <v>1.1345381526104419</v>
      </c>
      <c r="D23" s="147">
        <v>1.4558232931726907</v>
      </c>
      <c r="E23" s="147">
        <v>0.91164658634538165</v>
      </c>
      <c r="F23" s="147">
        <v>1.8674698795180724</v>
      </c>
      <c r="G23" s="147">
        <v>1.0140562248995986</v>
      </c>
      <c r="H23" s="147">
        <v>0.4668674698795181</v>
      </c>
      <c r="I23" s="147">
        <v>1.2951807228915664</v>
      </c>
      <c r="J23" s="147">
        <v>1.2349397590361446</v>
      </c>
      <c r="K23" s="147">
        <v>0.86546184738955823</v>
      </c>
      <c r="L23" s="147">
        <v>0.50100401606425704</v>
      </c>
      <c r="M23" s="147">
        <v>0.45883534136546184</v>
      </c>
      <c r="N23" s="147">
        <v>0.43072289156626509</v>
      </c>
      <c r="O23" s="147">
        <v>1.214859437751004</v>
      </c>
      <c r="P23" s="147">
        <v>0.38554216867469876</v>
      </c>
      <c r="Q23" s="147">
        <v>0.72489959839357432</v>
      </c>
      <c r="R23" s="147">
        <v>5.4016064257028117E-2</v>
      </c>
      <c r="S23" s="147">
        <v>0.55823293172690758</v>
      </c>
      <c r="T23" s="147">
        <v>0.72891566265060248</v>
      </c>
      <c r="U23" s="147">
        <v>0.64457831325301207</v>
      </c>
      <c r="V23" s="147">
        <v>0.88855421686746994</v>
      </c>
      <c r="W23" s="147">
        <v>0.85642570281124508</v>
      </c>
      <c r="X23" s="147">
        <v>0.70883534136546189</v>
      </c>
      <c r="Y23" s="147">
        <v>0.31827309236947793</v>
      </c>
      <c r="Z23" s="147">
        <v>0.11947791164658636</v>
      </c>
      <c r="AA23" s="147">
        <v>0.42269076305220887</v>
      </c>
      <c r="AB23" s="147">
        <v>0.3875502008032129</v>
      </c>
    </row>
    <row r="24" spans="1:28">
      <c r="A24" s="136" t="s">
        <v>130</v>
      </c>
      <c r="B24" s="148">
        <v>1</v>
      </c>
      <c r="C24" s="147">
        <v>2</v>
      </c>
      <c r="D24" s="147">
        <v>1.0033057851239668</v>
      </c>
      <c r="E24" s="147">
        <v>0.75206611570247939</v>
      </c>
      <c r="F24" s="147">
        <v>1.2710743801652893</v>
      </c>
      <c r="G24" s="147">
        <v>1.8181818181818183</v>
      </c>
      <c r="H24" s="147">
        <v>1.7851239669421488</v>
      </c>
      <c r="I24" s="147">
        <v>1.0314049586776859</v>
      </c>
      <c r="J24" s="147">
        <v>0.10743801652892562</v>
      </c>
      <c r="K24" s="147">
        <v>0.14545454545454548</v>
      </c>
      <c r="L24" s="147">
        <v>0.39669421487603307</v>
      </c>
      <c r="M24" s="147">
        <v>0.28429752066115704</v>
      </c>
      <c r="N24" s="147">
        <v>0.32066115702479342</v>
      </c>
      <c r="O24" s="147">
        <v>0.3322314049586777</v>
      </c>
      <c r="P24" s="147">
        <v>2.1983471074380168</v>
      </c>
      <c r="Q24" s="147">
        <v>0.38016528925619836</v>
      </c>
      <c r="R24" s="147">
        <v>1.0148760330578512</v>
      </c>
      <c r="S24" s="147">
        <v>0</v>
      </c>
      <c r="T24" s="147">
        <v>0.60991735537190084</v>
      </c>
      <c r="U24" s="147">
        <v>0.64132231404958684</v>
      </c>
      <c r="V24" s="147">
        <v>0.40661157024793393</v>
      </c>
      <c r="W24" s="147">
        <v>0.44297520661157025</v>
      </c>
      <c r="X24" s="147">
        <v>0.29917355371900828</v>
      </c>
      <c r="Y24" s="147">
        <v>0.61487603305785121</v>
      </c>
      <c r="Z24" s="147">
        <v>0.3570247933884298</v>
      </c>
      <c r="AA24" s="147">
        <v>0.84297520661157022</v>
      </c>
      <c r="AB24" s="147">
        <v>0.62479338842975207</v>
      </c>
    </row>
    <row r="25" spans="1:28">
      <c r="A25" s="136" t="s">
        <v>131</v>
      </c>
      <c r="B25" s="142"/>
      <c r="C25" s="141"/>
      <c r="D25" s="3"/>
      <c r="E25" s="3"/>
      <c r="F25" s="3"/>
      <c r="G25" s="3"/>
      <c r="H25" s="3"/>
      <c r="I25" s="3"/>
      <c r="J25" s="3"/>
      <c r="K25" s="3"/>
      <c r="L25" s="3"/>
      <c r="M25" s="3"/>
      <c r="N25" s="3"/>
      <c r="O25" s="3"/>
      <c r="P25" s="3"/>
      <c r="Q25" s="3"/>
      <c r="R25" s="3"/>
      <c r="S25" s="35">
        <v>3.0099999999999998E-2</v>
      </c>
      <c r="T25" s="3"/>
      <c r="U25" s="3"/>
      <c r="V25" s="3"/>
      <c r="W25" s="3"/>
      <c r="X25" s="142"/>
      <c r="Y25" s="141"/>
      <c r="Z25" s="3"/>
      <c r="AA25" s="3"/>
      <c r="AB25" s="142"/>
    </row>
    <row r="26" spans="1:28">
      <c r="A26" s="136" t="s">
        <v>132</v>
      </c>
      <c r="B26" s="148">
        <v>1</v>
      </c>
      <c r="C26" s="147">
        <v>2.2984693877551021</v>
      </c>
      <c r="D26" s="147">
        <v>0.83418367346938771</v>
      </c>
      <c r="E26" s="147">
        <v>1.2346938775510203</v>
      </c>
      <c r="F26" s="147">
        <v>1.5994897959183674</v>
      </c>
      <c r="G26" s="147">
        <v>1.5918367346938775</v>
      </c>
      <c r="H26" s="147">
        <v>0.34183673469387754</v>
      </c>
      <c r="I26" s="147">
        <v>1.2091836734693877</v>
      </c>
      <c r="J26" s="147">
        <v>0.40306122448979592</v>
      </c>
      <c r="K26" s="147">
        <v>0.7270408163265305</v>
      </c>
      <c r="L26" s="147">
        <v>0.4285714285714286</v>
      </c>
      <c r="M26" s="147">
        <v>0.53316326530612246</v>
      </c>
      <c r="N26" s="147">
        <v>0.3724489795918367</v>
      </c>
      <c r="O26" s="147">
        <v>0.45663265306122447</v>
      </c>
      <c r="P26" s="147">
        <v>0.81632653061224492</v>
      </c>
      <c r="Q26" s="147">
        <v>0.76530612244897955</v>
      </c>
      <c r="R26" s="147">
        <v>1.0153061224489797</v>
      </c>
      <c r="S26" s="147">
        <v>0.69897959183673475</v>
      </c>
      <c r="T26" s="147">
        <v>0.92091836734693866</v>
      </c>
      <c r="U26" s="147">
        <v>0</v>
      </c>
      <c r="V26" s="147">
        <v>0.61224489795918358</v>
      </c>
      <c r="W26" s="147">
        <v>0.79591836734693877</v>
      </c>
      <c r="X26" s="147">
        <v>0.67346938775510201</v>
      </c>
      <c r="Y26" s="147">
        <v>1.5612244897959182</v>
      </c>
      <c r="Z26" s="147">
        <v>0.30612244897959179</v>
      </c>
      <c r="AA26" s="147">
        <v>0.85714285714285721</v>
      </c>
      <c r="AB26" s="147">
        <v>1.4948979591836733</v>
      </c>
    </row>
    <row r="27" spans="1:28">
      <c r="A27" s="136" t="s">
        <v>133</v>
      </c>
      <c r="B27" s="148">
        <v>1</v>
      </c>
      <c r="C27" s="147">
        <v>1.83206106870229</v>
      </c>
      <c r="D27" s="147">
        <v>7.1908396946564883</v>
      </c>
      <c r="E27" s="147">
        <v>6</v>
      </c>
      <c r="F27" s="147">
        <v>4.9312977099236637</v>
      </c>
      <c r="G27" s="147">
        <v>2.7786259541984735</v>
      </c>
      <c r="H27" s="147">
        <v>1.1801526717557251</v>
      </c>
      <c r="I27" s="147">
        <v>1.6641221374045803</v>
      </c>
      <c r="J27" s="147">
        <v>1.4351145038167938</v>
      </c>
      <c r="K27" s="147">
        <v>1.1557251908396946</v>
      </c>
      <c r="L27" s="147">
        <v>0.83206106870229013</v>
      </c>
      <c r="M27" s="147">
        <v>0.98015267175572518</v>
      </c>
      <c r="N27" s="147">
        <v>0.75877862595419843</v>
      </c>
      <c r="O27" s="147">
        <v>1.4122137404580153</v>
      </c>
      <c r="P27" s="147">
        <v>0.60458015267175569</v>
      </c>
      <c r="Q27" s="147">
        <v>1.0351145038167939</v>
      </c>
      <c r="R27" s="147">
        <v>0.96793893129770991</v>
      </c>
      <c r="S27" s="147">
        <v>0.99541984732824429</v>
      </c>
      <c r="T27" s="147">
        <v>1.0320610687022902</v>
      </c>
      <c r="U27" s="147">
        <v>1.5022900763358777</v>
      </c>
      <c r="V27" s="147">
        <v>0</v>
      </c>
      <c r="W27" s="147">
        <v>2.3816793893129771</v>
      </c>
      <c r="X27" s="147">
        <v>1.0137404580152671</v>
      </c>
      <c r="Y27" s="147">
        <v>0.59236641221374042</v>
      </c>
      <c r="Z27" s="147">
        <v>0.416793893129771</v>
      </c>
      <c r="AA27" s="147">
        <v>0.50229007633587786</v>
      </c>
      <c r="AB27" s="147">
        <v>0.6977099236641221</v>
      </c>
    </row>
    <row r="28" spans="1:28">
      <c r="A28" s="136" t="s">
        <v>134</v>
      </c>
      <c r="B28" s="148">
        <v>1</v>
      </c>
      <c r="C28" s="147">
        <v>1.1742424242424241</v>
      </c>
      <c r="D28" s="147">
        <v>1.3712121212121211</v>
      </c>
      <c r="E28" s="147">
        <v>1.4242424242424241</v>
      </c>
      <c r="F28" s="147">
        <v>1.1590909090909089</v>
      </c>
      <c r="G28" s="147">
        <v>1.0757575757575757</v>
      </c>
      <c r="H28" s="147">
        <v>2.1969696969696968</v>
      </c>
      <c r="I28" s="147">
        <v>2.2613636363636362</v>
      </c>
      <c r="J28" s="147">
        <v>0.94696969696969691</v>
      </c>
      <c r="K28" s="147">
        <v>0.57575757575757569</v>
      </c>
      <c r="L28" s="147">
        <v>0.56439393939393934</v>
      </c>
      <c r="M28" s="147">
        <v>0.56439393939393934</v>
      </c>
      <c r="N28" s="147">
        <v>0.59090909090909083</v>
      </c>
      <c r="O28" s="147">
        <v>0.86742424242424243</v>
      </c>
      <c r="P28" s="147">
        <v>1.9962121212121211</v>
      </c>
      <c r="Q28" s="147">
        <v>1.1439393939393938</v>
      </c>
      <c r="R28" s="147">
        <v>1.9431818181818181</v>
      </c>
      <c r="S28" s="147">
        <v>1.3030303030303028</v>
      </c>
      <c r="T28" s="147">
        <v>1.1401515151515151</v>
      </c>
      <c r="U28" s="147">
        <v>1.2007575757575757</v>
      </c>
      <c r="V28" s="147">
        <v>0.83333333333333326</v>
      </c>
      <c r="W28" s="147">
        <v>0</v>
      </c>
      <c r="X28" s="147">
        <v>0.88636363636363635</v>
      </c>
      <c r="Y28" s="147">
        <v>0.37803030303030299</v>
      </c>
      <c r="Z28" s="147">
        <v>0.55681818181818177</v>
      </c>
      <c r="AA28" s="147">
        <v>0.73106060606060608</v>
      </c>
      <c r="AB28" s="147">
        <v>1.3143939393939392</v>
      </c>
    </row>
    <row r="29" spans="1:28">
      <c r="A29" s="136" t="s">
        <v>135</v>
      </c>
      <c r="B29" s="148">
        <v>1</v>
      </c>
      <c r="C29" s="147">
        <v>1.3857566765578635</v>
      </c>
      <c r="D29" s="147">
        <v>1.6884272997032639</v>
      </c>
      <c r="E29" s="147">
        <v>1.2195845697329375</v>
      </c>
      <c r="F29" s="147">
        <v>1.1364985163204748</v>
      </c>
      <c r="G29" s="147">
        <v>1.433234421364985</v>
      </c>
      <c r="H29" s="147">
        <v>1.5875370919881306</v>
      </c>
      <c r="I29" s="147">
        <v>2.0356083086053411</v>
      </c>
      <c r="J29" s="147">
        <v>0.63204747774480707</v>
      </c>
      <c r="K29" s="147">
        <v>0.65875370919881304</v>
      </c>
      <c r="L29" s="147">
        <v>0.40949554896142432</v>
      </c>
      <c r="M29" s="147">
        <v>0.4213649851632047</v>
      </c>
      <c r="N29" s="147">
        <v>0.41543026706231456</v>
      </c>
      <c r="O29" s="147">
        <v>0.7596439169139465</v>
      </c>
      <c r="P29" s="147">
        <v>1.5548961424332344</v>
      </c>
      <c r="Q29" s="147">
        <v>0.63501483679525217</v>
      </c>
      <c r="R29" s="147">
        <v>1.4540059347181007</v>
      </c>
      <c r="S29" s="147">
        <v>0.6083086053412462</v>
      </c>
      <c r="T29" s="147">
        <v>0.89317507418397613</v>
      </c>
      <c r="U29" s="147">
        <v>0.66765578635014833</v>
      </c>
      <c r="V29" s="147">
        <v>0.5341246290801186</v>
      </c>
      <c r="W29" s="147">
        <v>0.59050445103857563</v>
      </c>
      <c r="X29" s="147">
        <v>2.0682492581602371E-2</v>
      </c>
      <c r="Y29" s="147">
        <v>0.72700296735905034</v>
      </c>
      <c r="Z29" s="147">
        <v>1.0830860534124629</v>
      </c>
      <c r="AA29" s="147">
        <v>1.8516320474777448</v>
      </c>
      <c r="AB29" s="147">
        <v>1.9406528189910979</v>
      </c>
    </row>
    <row r="30" spans="1:28">
      <c r="A30" s="136" t="s">
        <v>157</v>
      </c>
      <c r="B30" s="114"/>
      <c r="C30" s="113"/>
      <c r="D30" s="5"/>
      <c r="E30" s="5"/>
      <c r="F30" s="5"/>
      <c r="G30" s="5"/>
      <c r="H30" s="5"/>
      <c r="I30" s="5"/>
      <c r="J30" s="5"/>
      <c r="K30" s="5"/>
      <c r="L30" s="5"/>
      <c r="M30" s="5"/>
      <c r="N30" s="5"/>
      <c r="O30" s="5"/>
      <c r="P30" s="5"/>
      <c r="Q30" s="5"/>
      <c r="R30" s="5"/>
      <c r="S30" s="5"/>
      <c r="T30" s="5"/>
      <c r="U30" s="5"/>
      <c r="V30" s="5"/>
      <c r="W30" s="5"/>
      <c r="X30" s="114"/>
      <c r="Y30" s="113"/>
      <c r="Z30" s="5"/>
      <c r="AA30" s="5"/>
      <c r="AB30" s="114"/>
    </row>
    <row r="31" spans="1:28">
      <c r="A31" s="136" t="s">
        <v>156</v>
      </c>
      <c r="B31" s="148">
        <v>1</v>
      </c>
      <c r="C31" s="147">
        <v>1.8123076923076922</v>
      </c>
      <c r="D31" s="147">
        <v>2.36</v>
      </c>
      <c r="E31" s="147">
        <v>2.0615384615384618</v>
      </c>
      <c r="F31" s="147">
        <v>1.7076923076923078</v>
      </c>
      <c r="G31" s="147">
        <v>1.9261538461538461</v>
      </c>
      <c r="H31" s="147">
        <v>1.3815384615384616</v>
      </c>
      <c r="I31" s="147">
        <v>1.5476923076923077</v>
      </c>
      <c r="J31" s="147">
        <v>1.1415384615384614</v>
      </c>
      <c r="K31" s="147">
        <v>1.0615384615384613</v>
      </c>
      <c r="L31" s="147">
        <v>0.33538461538461539</v>
      </c>
      <c r="M31" s="147">
        <v>0.44615384615384612</v>
      </c>
      <c r="N31" s="147">
        <v>0.36307692307692302</v>
      </c>
      <c r="O31" s="147">
        <v>1.1138461538461537</v>
      </c>
      <c r="P31" s="147">
        <v>1.3661538461538461</v>
      </c>
      <c r="Q31" s="147">
        <v>1.7353846153846151</v>
      </c>
      <c r="R31" s="147">
        <v>4.5846153846153843</v>
      </c>
      <c r="S31" s="147">
        <v>0.55999999999999994</v>
      </c>
      <c r="T31" s="147">
        <v>0.79384615384615387</v>
      </c>
      <c r="U31" s="147">
        <v>0.86461538461538467</v>
      </c>
      <c r="V31" s="147">
        <v>1.3630769230769231</v>
      </c>
      <c r="W31" s="147">
        <v>1.3076923076923077</v>
      </c>
      <c r="X31" s="147">
        <v>1.3138461538461537</v>
      </c>
      <c r="Y31" s="147">
        <v>0.77230769230769225</v>
      </c>
      <c r="Z31" s="147">
        <v>0.39076923076923076</v>
      </c>
      <c r="AA31" s="147">
        <v>0.89538461538461533</v>
      </c>
      <c r="AB31" s="147">
        <v>0.75076923076923074</v>
      </c>
    </row>
    <row r="32" spans="1:28">
      <c r="A32" s="136" t="s">
        <v>159</v>
      </c>
      <c r="B32" s="148">
        <v>1</v>
      </c>
      <c r="C32" s="147">
        <v>1.1037735849056602</v>
      </c>
      <c r="D32" s="147">
        <v>1.5235849056603772</v>
      </c>
      <c r="E32" s="147">
        <v>1.2075471698113207</v>
      </c>
      <c r="F32" s="147">
        <v>1.3301886792452828</v>
      </c>
      <c r="G32" s="147">
        <v>1.1556603773584906</v>
      </c>
      <c r="H32" s="147">
        <v>0.47641509433962265</v>
      </c>
      <c r="I32" s="147">
        <v>0.61792452830188682</v>
      </c>
      <c r="J32" s="147">
        <v>0.80188679245283012</v>
      </c>
      <c r="K32" s="147">
        <v>0.79716981132075471</v>
      </c>
      <c r="L32" s="147">
        <v>0.64150943396226412</v>
      </c>
      <c r="M32" s="147">
        <v>0.78301886792452824</v>
      </c>
      <c r="N32" s="147">
        <v>0.80660377358490565</v>
      </c>
      <c r="O32" s="147">
        <v>0.66981132075471694</v>
      </c>
      <c r="P32" s="147">
        <v>0.43679245283018869</v>
      </c>
      <c r="Q32" s="147">
        <v>1.1367924528301887</v>
      </c>
      <c r="R32" s="147">
        <v>0.76886792452830177</v>
      </c>
      <c r="S32" s="147">
        <v>0.86792452830188682</v>
      </c>
      <c r="T32" s="147">
        <v>1.1792452830188678</v>
      </c>
      <c r="U32" s="147">
        <v>1.3490566037735847</v>
      </c>
      <c r="V32" s="147">
        <v>1.1509433962264151</v>
      </c>
      <c r="W32" s="147">
        <v>1.2075471698113207</v>
      </c>
      <c r="X32" s="147">
        <v>1.0283018867924529</v>
      </c>
      <c r="Y32" s="147">
        <v>1.1981132075471699</v>
      </c>
      <c r="Z32" s="147">
        <v>0.63207547169811318</v>
      </c>
      <c r="AA32" s="147">
        <v>1.5990566037735849</v>
      </c>
      <c r="AB32" s="147">
        <v>1.2405660377358489</v>
      </c>
    </row>
    <row r="33" spans="1:28">
      <c r="A33" s="136" t="s">
        <v>160</v>
      </c>
      <c r="B33" s="148">
        <v>1</v>
      </c>
      <c r="C33" s="147">
        <v>1.3125904486251809</v>
      </c>
      <c r="D33" s="147">
        <v>1.5629522431259046</v>
      </c>
      <c r="E33" s="147">
        <v>1.2865412445730826</v>
      </c>
      <c r="F33" s="147">
        <v>1.6931982633863965</v>
      </c>
      <c r="G33" s="147">
        <v>1.7076700434153402</v>
      </c>
      <c r="H33" s="147">
        <v>0.7525325615050652</v>
      </c>
      <c r="I33" s="147">
        <v>0.94934876989869765</v>
      </c>
      <c r="J33" s="147">
        <v>1.2054992764109986</v>
      </c>
      <c r="K33" s="147">
        <v>1.0824891461649784</v>
      </c>
      <c r="L33" s="147">
        <v>0.85383502170767012</v>
      </c>
      <c r="M33" s="147">
        <v>0.91027496382054995</v>
      </c>
      <c r="N33" s="147">
        <v>0.91895803183791613</v>
      </c>
      <c r="O33" s="147">
        <v>1.0839363241678728</v>
      </c>
      <c r="P33" s="147">
        <v>0.72648335745296677</v>
      </c>
      <c r="Q33" s="147">
        <v>1.092619392185239</v>
      </c>
      <c r="R33" s="147">
        <v>0.87554269175108546</v>
      </c>
      <c r="S33" s="147">
        <v>0.85238784370477572</v>
      </c>
      <c r="T33" s="147">
        <v>0.8986975397973952</v>
      </c>
      <c r="U33" s="147">
        <v>1.1345875542691752</v>
      </c>
      <c r="V33" s="147">
        <v>1.076700434153401</v>
      </c>
      <c r="W33" s="147">
        <v>1.1736613603473229</v>
      </c>
      <c r="X33" s="147">
        <v>1.0636758321273516</v>
      </c>
      <c r="Y33" s="147">
        <v>0.65123010130246028</v>
      </c>
      <c r="Z33" s="147">
        <v>0.76266280752532567</v>
      </c>
      <c r="AA33" s="147">
        <v>0.8914616497829233</v>
      </c>
      <c r="AB33" s="147">
        <v>1.0477568740955139</v>
      </c>
    </row>
    <row r="34" spans="1:28">
      <c r="A34" s="136" t="s">
        <v>161</v>
      </c>
      <c r="B34" s="148">
        <v>1</v>
      </c>
      <c r="C34" s="147">
        <v>1.4026845637583891</v>
      </c>
      <c r="D34" s="147">
        <v>1.1543624161073824</v>
      </c>
      <c r="E34" s="147">
        <v>1.1711409395973156</v>
      </c>
      <c r="F34" s="147">
        <v>1.2248322147651007</v>
      </c>
      <c r="G34" s="147">
        <v>1.1677852348993289</v>
      </c>
      <c r="H34" s="147">
        <v>0.56375838926174493</v>
      </c>
      <c r="I34" s="147">
        <v>0.72483221476510074</v>
      </c>
      <c r="J34" s="147">
        <v>0.48322147651006708</v>
      </c>
      <c r="K34" s="147">
        <v>1</v>
      </c>
      <c r="L34" s="147">
        <v>0.75167785234899331</v>
      </c>
      <c r="M34" s="147">
        <v>0.78523489932885904</v>
      </c>
      <c r="N34" s="147">
        <v>0.71140939597315445</v>
      </c>
      <c r="O34" s="147">
        <v>0.83557046979865779</v>
      </c>
      <c r="P34" s="147">
        <v>1.063758389261745</v>
      </c>
      <c r="Q34" s="147">
        <v>1.0402684563758389</v>
      </c>
      <c r="R34" s="147">
        <v>0.81879194630872487</v>
      </c>
      <c r="S34" s="147">
        <v>1.0033557046979866</v>
      </c>
      <c r="T34" s="147">
        <v>1.1476510067114094</v>
      </c>
      <c r="U34" s="147">
        <v>1.1208053691275168</v>
      </c>
      <c r="V34" s="147">
        <v>1.0268456375838926</v>
      </c>
      <c r="W34" s="147">
        <v>1.2785234899328859</v>
      </c>
      <c r="X34" s="147">
        <v>1.2449664429530201</v>
      </c>
      <c r="Y34" s="147">
        <v>0.83557046979865779</v>
      </c>
      <c r="Z34" s="147">
        <v>0.95302013422818788</v>
      </c>
      <c r="AA34" s="147">
        <v>0.74161073825503354</v>
      </c>
      <c r="AB34" s="147">
        <v>0.89597315436241609</v>
      </c>
    </row>
    <row r="35" spans="1:28">
      <c r="A35" s="136" t="s">
        <v>162</v>
      </c>
      <c r="B35" s="148">
        <v>1</v>
      </c>
      <c r="C35" s="147">
        <v>1.5078125</v>
      </c>
      <c r="D35" s="147">
        <v>0.7734375</v>
      </c>
      <c r="E35" s="147">
        <v>0.28046874999999999</v>
      </c>
      <c r="F35" s="147">
        <v>0.66562500000000002</v>
      </c>
      <c r="G35" s="147">
        <v>1.28125</v>
      </c>
      <c r="H35" s="147">
        <v>1.703125</v>
      </c>
      <c r="I35" s="147">
        <v>2.21875</v>
      </c>
      <c r="J35" s="147">
        <v>0.38671875</v>
      </c>
      <c r="K35" s="147">
        <v>0.43671875000000004</v>
      </c>
      <c r="L35" s="147">
        <v>0.59296875000000004</v>
      </c>
      <c r="M35" s="147">
        <v>0.58046874999999998</v>
      </c>
      <c r="N35" s="147">
        <v>0.57890624999999996</v>
      </c>
      <c r="O35" s="147">
        <v>0.54921874999999998</v>
      </c>
      <c r="P35" s="147">
        <v>1.5625</v>
      </c>
      <c r="Q35" s="147">
        <v>0.52812500000000007</v>
      </c>
      <c r="R35" s="147">
        <v>0.78125</v>
      </c>
      <c r="S35" s="147">
        <v>0.72499999999999998</v>
      </c>
      <c r="T35" s="147">
        <v>0.87500000000000011</v>
      </c>
      <c r="U35" s="147">
        <v>0.91406249999999989</v>
      </c>
      <c r="V35" s="147">
        <v>0.53125</v>
      </c>
      <c r="W35" s="147">
        <v>0.62656250000000002</v>
      </c>
      <c r="X35" s="147">
        <v>0.51406249999999998</v>
      </c>
      <c r="Y35" s="147">
        <v>0.41093750000000001</v>
      </c>
      <c r="Z35" s="147">
        <v>0.31796874999999997</v>
      </c>
      <c r="AA35" s="147">
        <v>0.16484374999999998</v>
      </c>
      <c r="AB35" s="147">
        <v>5.3281249999999995E-2</v>
      </c>
    </row>
    <row r="36" spans="1:28">
      <c r="A36" s="136" t="s">
        <v>163</v>
      </c>
      <c r="B36" s="148">
        <v>1</v>
      </c>
      <c r="C36" s="147">
        <v>1.4246323529411764</v>
      </c>
      <c r="D36" s="147">
        <v>2.5919117647058818</v>
      </c>
      <c r="E36" s="147">
        <v>3.1249999999999996</v>
      </c>
      <c r="F36" s="147">
        <v>2.7205882352941173</v>
      </c>
      <c r="G36" s="147">
        <v>1.6525735294117647</v>
      </c>
      <c r="H36" s="147">
        <v>1.21875</v>
      </c>
      <c r="I36" s="147">
        <v>1.7610294117647056</v>
      </c>
      <c r="J36" s="147">
        <v>1.2702205882352939</v>
      </c>
      <c r="K36" s="147">
        <v>1.46875</v>
      </c>
      <c r="L36" s="147">
        <v>0.67279411764705876</v>
      </c>
      <c r="M36" s="147">
        <v>0.55514705882352933</v>
      </c>
      <c r="N36" s="147">
        <v>0.63970588235294112</v>
      </c>
      <c r="O36" s="147">
        <v>1.6636029411764706</v>
      </c>
      <c r="P36" s="147">
        <v>1.1875</v>
      </c>
      <c r="Q36" s="147">
        <v>1.5735294117647058</v>
      </c>
      <c r="R36" s="147">
        <v>1.8566176470588234</v>
      </c>
      <c r="S36" s="147">
        <v>1.0698529411764703</v>
      </c>
      <c r="T36" s="147">
        <v>1.1378676470588234</v>
      </c>
      <c r="U36" s="147">
        <v>1.3143382352941175</v>
      </c>
      <c r="V36" s="147">
        <v>1.1636029411764706</v>
      </c>
      <c r="W36" s="147">
        <v>1.338235294117647</v>
      </c>
      <c r="X36" s="147">
        <v>1.3253676470588234</v>
      </c>
      <c r="Y36" s="147">
        <v>0.7279411764705882</v>
      </c>
      <c r="Z36" s="147">
        <v>0.58088235294117641</v>
      </c>
      <c r="AA36" s="147">
        <v>0.95220588235294112</v>
      </c>
      <c r="AB36" s="147">
        <v>2.9779411764705883</v>
      </c>
    </row>
    <row r="37" spans="1:28">
      <c r="A37" s="136" t="s">
        <v>165</v>
      </c>
      <c r="B37" s="142"/>
      <c r="C37" s="141"/>
      <c r="D37" s="3"/>
      <c r="E37" s="3"/>
      <c r="F37" s="3"/>
      <c r="G37" s="3"/>
      <c r="H37" s="3"/>
      <c r="I37" s="3"/>
      <c r="J37" s="3"/>
      <c r="K37" s="3"/>
      <c r="L37" s="3"/>
      <c r="M37" s="3"/>
      <c r="N37" s="3"/>
      <c r="O37" s="3"/>
      <c r="P37" s="3"/>
      <c r="Q37" s="3"/>
      <c r="R37" s="3"/>
      <c r="S37" s="3"/>
      <c r="T37" s="3"/>
      <c r="U37" s="3"/>
      <c r="V37" s="3"/>
      <c r="W37" s="3"/>
      <c r="X37" s="142"/>
      <c r="Y37" s="141"/>
      <c r="Z37" s="3"/>
      <c r="AA37" s="3"/>
      <c r="AB37" s="142"/>
    </row>
    <row r="38" spans="1:28">
      <c r="A38" s="136" t="s">
        <v>166</v>
      </c>
      <c r="B38" s="148">
        <v>1</v>
      </c>
      <c r="C38" s="147">
        <v>0.76771653543307083</v>
      </c>
      <c r="D38" s="147">
        <v>0.41338582677165353</v>
      </c>
      <c r="E38" s="147">
        <v>0.46850393700787396</v>
      </c>
      <c r="F38" s="147">
        <v>0.41338582677165353</v>
      </c>
      <c r="G38" s="147">
        <v>0.53149606299212604</v>
      </c>
      <c r="H38" s="147">
        <v>0.74015748031496054</v>
      </c>
      <c r="I38" s="147">
        <v>0.77559055118110232</v>
      </c>
      <c r="J38" s="147">
        <v>0.952755905511811</v>
      </c>
      <c r="K38" s="147">
        <v>1.1220472440944882</v>
      </c>
      <c r="L38" s="147">
        <v>0.77165354330708658</v>
      </c>
      <c r="M38" s="147">
        <v>0.77165354330708658</v>
      </c>
      <c r="N38" s="147">
        <v>0.66535433070866135</v>
      </c>
      <c r="O38" s="147">
        <v>1.3346456692913387</v>
      </c>
      <c r="P38" s="147">
        <v>1.2559055118110236</v>
      </c>
      <c r="Q38" s="147">
        <v>1.0314960629921259</v>
      </c>
      <c r="R38" s="147">
        <v>1.3543307086614174</v>
      </c>
      <c r="S38" s="147">
        <v>1.0826771653543308</v>
      </c>
      <c r="T38" s="147">
        <v>1.3700787401574803</v>
      </c>
      <c r="U38" s="147">
        <v>1.4488188976377954</v>
      </c>
      <c r="V38" s="147">
        <v>1.0708661417322836</v>
      </c>
      <c r="W38" s="147">
        <v>1.421259842519685</v>
      </c>
      <c r="X38" s="147">
        <v>1.2716535433070866</v>
      </c>
      <c r="Y38" s="147">
        <v>1.110236220472441</v>
      </c>
      <c r="Z38" s="147">
        <v>0.8307086614173228</v>
      </c>
      <c r="AA38" s="147">
        <v>0.70866141732283461</v>
      </c>
      <c r="AB38" s="147">
        <v>0.45669291338582674</v>
      </c>
    </row>
    <row r="39" spans="1:28">
      <c r="A39" s="136" t="s">
        <v>167</v>
      </c>
      <c r="B39" s="138">
        <v>0.105</v>
      </c>
      <c r="C39" s="141"/>
      <c r="D39" s="3"/>
      <c r="E39" s="3"/>
      <c r="F39" s="3"/>
      <c r="G39" s="3"/>
      <c r="H39" s="3"/>
      <c r="I39" s="3"/>
      <c r="J39" s="35">
        <v>0.14299999999999999</v>
      </c>
      <c r="K39" s="35">
        <v>0.11</v>
      </c>
      <c r="L39" s="3"/>
      <c r="M39" s="3"/>
      <c r="N39" s="3"/>
      <c r="O39" s="35">
        <v>0.16300000000000001</v>
      </c>
      <c r="P39" s="3"/>
      <c r="Q39" s="3"/>
      <c r="R39" s="3"/>
      <c r="S39" s="3"/>
      <c r="T39" s="3"/>
      <c r="U39" s="3"/>
      <c r="V39" s="3"/>
      <c r="W39" s="3"/>
      <c r="X39" s="142"/>
      <c r="Y39" s="141"/>
      <c r="Z39" s="3"/>
      <c r="AA39" s="3"/>
      <c r="AB39" s="142"/>
    </row>
    <row r="40" spans="1:28">
      <c r="A40" s="136" t="s">
        <v>168</v>
      </c>
      <c r="B40" s="148">
        <v>1</v>
      </c>
      <c r="C40" s="147">
        <v>1.1582213029989661</v>
      </c>
      <c r="D40" s="147">
        <v>0.64115822130299893</v>
      </c>
      <c r="E40" s="147">
        <v>0.48086866597724925</v>
      </c>
      <c r="F40" s="147">
        <v>0.53567735263702176</v>
      </c>
      <c r="G40" s="147">
        <v>0.70941054808686665</v>
      </c>
      <c r="H40" s="147">
        <v>0.70113753877973117</v>
      </c>
      <c r="I40" s="147">
        <v>0.5191313340227508</v>
      </c>
      <c r="J40" s="147">
        <v>1.4270941054808686</v>
      </c>
      <c r="K40" s="147">
        <v>2.2750775594622548</v>
      </c>
      <c r="L40" s="147">
        <v>0.82523267838676329</v>
      </c>
      <c r="M40" s="147">
        <v>0.86142709410548091</v>
      </c>
      <c r="N40" s="147">
        <v>0.85935884177869704</v>
      </c>
      <c r="O40" s="147">
        <v>1.6649431230610137</v>
      </c>
      <c r="P40" s="147">
        <v>0.65046535677352635</v>
      </c>
      <c r="Q40" s="147">
        <v>0.43123061013443642</v>
      </c>
      <c r="R40" s="147">
        <v>0.89245087900723885</v>
      </c>
      <c r="S40" s="147">
        <v>0.74870734229576008</v>
      </c>
      <c r="T40" s="147">
        <v>1.0858324715615306</v>
      </c>
      <c r="U40" s="147">
        <v>0.75698035160289556</v>
      </c>
      <c r="V40" s="147">
        <v>0.26473629782833508</v>
      </c>
      <c r="W40" s="147">
        <v>0.37435367114788004</v>
      </c>
      <c r="X40" s="147">
        <v>0.32885211995863495</v>
      </c>
      <c r="Y40" s="147">
        <v>0.88004136504653563</v>
      </c>
      <c r="Z40" s="147">
        <v>0.75904860392967943</v>
      </c>
      <c r="AA40" s="147">
        <v>0.52430196483971048</v>
      </c>
      <c r="AB40" s="147">
        <v>0.58945191313340228</v>
      </c>
    </row>
    <row r="41" spans="1:28">
      <c r="A41" s="136" t="s">
        <v>169</v>
      </c>
      <c r="B41" s="148">
        <v>1</v>
      </c>
      <c r="C41" s="147">
        <v>2.0107816711590298</v>
      </c>
      <c r="D41" s="147">
        <v>1.0754716981132075</v>
      </c>
      <c r="E41" s="147">
        <v>2.2425876010781671</v>
      </c>
      <c r="F41" s="147">
        <v>1.3153638814016173</v>
      </c>
      <c r="G41" s="147">
        <v>1.3342318059299192</v>
      </c>
      <c r="H41" s="147">
        <v>0.94339622641509435</v>
      </c>
      <c r="I41" s="147">
        <v>1.0323450134770891</v>
      </c>
      <c r="J41" s="147">
        <v>0.8328840970350404</v>
      </c>
      <c r="K41" s="147">
        <v>0.91105121293800539</v>
      </c>
      <c r="L41" s="147">
        <v>0.93261455525606474</v>
      </c>
      <c r="M41" s="147">
        <v>0.94878706199460916</v>
      </c>
      <c r="N41" s="147">
        <v>0.94339622641509435</v>
      </c>
      <c r="O41" s="147">
        <v>0.8328840970350404</v>
      </c>
      <c r="P41" s="147">
        <v>1</v>
      </c>
      <c r="Q41" s="147">
        <v>1.142857142857143</v>
      </c>
      <c r="R41" s="147">
        <v>0.91913746630727766</v>
      </c>
      <c r="S41" s="147">
        <v>1.0080862533692723</v>
      </c>
      <c r="T41" s="147">
        <v>1.1671159029649596</v>
      </c>
      <c r="U41" s="147">
        <v>1.0781671159029649</v>
      </c>
      <c r="V41" s="147">
        <v>1.2102425876010783</v>
      </c>
      <c r="W41" s="147">
        <v>1.4150943396226414</v>
      </c>
      <c r="X41" s="147">
        <v>1.2884097035040432</v>
      </c>
      <c r="Y41" s="147">
        <v>0.63611859838274931</v>
      </c>
      <c r="Z41" s="147">
        <v>0.71967654986522911</v>
      </c>
      <c r="AA41" s="147">
        <v>0.57142857142857151</v>
      </c>
      <c r="AB41" s="147">
        <v>0.83827493261455521</v>
      </c>
    </row>
    <row r="42" spans="1:28">
      <c r="A42" s="136" t="s">
        <v>170</v>
      </c>
      <c r="B42" s="140">
        <v>0.51100000000000001</v>
      </c>
      <c r="C42" s="113"/>
      <c r="D42" s="5"/>
      <c r="E42" s="5"/>
      <c r="F42" s="5"/>
      <c r="G42" s="5"/>
      <c r="H42" s="5"/>
      <c r="I42" s="5"/>
      <c r="J42" s="5"/>
      <c r="K42" s="5"/>
      <c r="L42" s="5"/>
      <c r="M42" s="5"/>
      <c r="N42" s="5"/>
      <c r="O42" s="5"/>
      <c r="P42" s="5"/>
      <c r="Q42" s="5"/>
      <c r="R42" s="5"/>
      <c r="S42" s="5"/>
      <c r="T42" s="5"/>
      <c r="U42" s="5"/>
      <c r="V42" s="5"/>
      <c r="W42" s="5"/>
      <c r="X42" s="114"/>
      <c r="Y42" s="139">
        <v>0.41</v>
      </c>
      <c r="Z42" s="36">
        <v>0.48699999999999999</v>
      </c>
      <c r="AA42" s="36">
        <v>0.69599999999999995</v>
      </c>
      <c r="AB42" s="140">
        <v>0.56499999999999995</v>
      </c>
    </row>
    <row r="43" spans="1:28">
      <c r="A43" s="136" t="s">
        <v>171</v>
      </c>
      <c r="B43" s="148">
        <v>1</v>
      </c>
      <c r="C43" s="147">
        <v>1.3773584905660377</v>
      </c>
      <c r="D43" s="147">
        <v>1.2358490566037736</v>
      </c>
      <c r="E43" s="147">
        <v>1.0188679245283019</v>
      </c>
      <c r="F43" s="147">
        <v>0.96226415094339623</v>
      </c>
      <c r="G43" s="147">
        <v>1.0283018867924529</v>
      </c>
      <c r="H43" s="147">
        <v>0.66603773584905657</v>
      </c>
      <c r="I43" s="147">
        <v>0.56509433962264144</v>
      </c>
      <c r="J43" s="147">
        <v>0.66132075471698104</v>
      </c>
      <c r="K43" s="147">
        <v>1.1792452830188678</v>
      </c>
      <c r="L43" s="147">
        <v>0.59905660377358494</v>
      </c>
      <c r="M43" s="147">
        <v>0.61981132075471701</v>
      </c>
      <c r="N43" s="147">
        <v>0.55283018867924527</v>
      </c>
      <c r="O43" s="147">
        <v>0.98113207547169812</v>
      </c>
      <c r="P43" s="147">
        <v>0.93679245283018864</v>
      </c>
      <c r="Q43" s="147">
        <v>0.84056603773584904</v>
      </c>
      <c r="R43" s="147">
        <v>0.87452830188679243</v>
      </c>
      <c r="S43" s="147">
        <v>0.52169811320754722</v>
      </c>
      <c r="T43" s="147">
        <v>0.75660377358490571</v>
      </c>
      <c r="U43" s="147">
        <v>0.73207547169811316</v>
      </c>
      <c r="V43" s="147">
        <v>0.80754716981132069</v>
      </c>
      <c r="W43" s="147">
        <v>1.1792452830188678</v>
      </c>
      <c r="X43" s="147">
        <v>0.91226415094339619</v>
      </c>
      <c r="Y43" s="147">
        <v>1.7547169811320755</v>
      </c>
      <c r="Z43" s="147">
        <v>1.4150943396226414</v>
      </c>
      <c r="AA43" s="147">
        <v>1.2547169811320755</v>
      </c>
      <c r="AB43" s="147">
        <v>1.3490566037735847</v>
      </c>
    </row>
    <row r="44" spans="1:28">
      <c r="A44" s="136" t="s">
        <v>172</v>
      </c>
      <c r="B44" s="148">
        <v>1</v>
      </c>
      <c r="C44" s="147">
        <v>3.7142857142857149</v>
      </c>
      <c r="D44" s="147">
        <v>2.3785714285714286</v>
      </c>
      <c r="E44" s="147">
        <v>2.1285714285714286</v>
      </c>
      <c r="F44" s="147">
        <v>1.6000000000000003</v>
      </c>
      <c r="G44" s="147">
        <v>3.2642857142857147</v>
      </c>
      <c r="H44" s="147">
        <v>1.5857142857142859</v>
      </c>
      <c r="I44" s="147">
        <v>1.2071428571428571</v>
      </c>
      <c r="J44" s="147">
        <v>0.41857142857142859</v>
      </c>
      <c r="K44" s="147">
        <v>0.52642857142857147</v>
      </c>
      <c r="L44" s="147">
        <v>0.28000000000000003</v>
      </c>
      <c r="M44" s="147">
        <v>0.32642857142857146</v>
      </c>
      <c r="N44" s="147">
        <v>0.25285714285714284</v>
      </c>
      <c r="O44" s="147">
        <v>0.62071428571428577</v>
      </c>
      <c r="P44" s="147">
        <v>1.2357142857142858</v>
      </c>
      <c r="Q44" s="147">
        <v>0.3928571428571429</v>
      </c>
      <c r="R44" s="147">
        <v>0.57642857142857151</v>
      </c>
      <c r="S44" s="147">
        <v>0.3928571428571429</v>
      </c>
      <c r="T44" s="147">
        <v>0.49928571428571428</v>
      </c>
      <c r="U44" s="147">
        <v>0.45428571428571435</v>
      </c>
      <c r="V44" s="147">
        <v>0.33142857142857146</v>
      </c>
      <c r="W44" s="147">
        <v>0.46357142857142863</v>
      </c>
      <c r="X44" s="147">
        <v>0.37642857142857145</v>
      </c>
      <c r="Y44" s="147">
        <v>0.44142857142857145</v>
      </c>
      <c r="Z44" s="147">
        <v>0.24785714285714286</v>
      </c>
      <c r="AA44" s="147">
        <v>0.29428571428571426</v>
      </c>
      <c r="AB44" s="147">
        <v>0.34428571428571431</v>
      </c>
    </row>
    <row r="45" spans="1:28">
      <c r="A45" s="136" t="s">
        <v>173</v>
      </c>
      <c r="B45" s="148">
        <v>1</v>
      </c>
      <c r="C45" s="147">
        <v>2.6086956521739131</v>
      </c>
      <c r="D45" s="147">
        <v>1.4809782608695654</v>
      </c>
      <c r="E45" s="147">
        <v>1.9130434782608694</v>
      </c>
      <c r="F45" s="147">
        <v>1.4809782608695654</v>
      </c>
      <c r="G45" s="147">
        <v>2.6956521739130435</v>
      </c>
      <c r="H45" s="147">
        <v>1.6141304347826086</v>
      </c>
      <c r="I45" s="147">
        <v>1.2282608695652175</v>
      </c>
      <c r="J45" s="147">
        <v>0.59510869565217395</v>
      </c>
      <c r="K45" s="147">
        <v>0.72282608695652184</v>
      </c>
      <c r="L45" s="147">
        <v>0.44565217391304351</v>
      </c>
      <c r="M45" s="147">
        <v>0.38315217391304346</v>
      </c>
      <c r="N45" s="147">
        <v>0.34239130434782611</v>
      </c>
      <c r="O45" s="147">
        <v>0.66304347826086951</v>
      </c>
      <c r="P45" s="147">
        <v>1.3505434782608696</v>
      </c>
      <c r="Q45" s="147">
        <v>0.77717391304347816</v>
      </c>
      <c r="R45" s="147">
        <v>1.7418478260869565</v>
      </c>
      <c r="S45" s="147">
        <v>1.0597826086956523</v>
      </c>
      <c r="T45" s="147">
        <v>1.4157608695652175</v>
      </c>
      <c r="U45" s="147">
        <v>1.0271739130434783</v>
      </c>
      <c r="V45" s="147">
        <v>0.70923913043478259</v>
      </c>
      <c r="W45" s="147">
        <v>0.87228260869565222</v>
      </c>
      <c r="X45" s="147">
        <v>0.74184782608695654</v>
      </c>
      <c r="Y45" s="147">
        <v>0.48369565217391303</v>
      </c>
      <c r="Z45" s="147">
        <v>0.46195652173913049</v>
      </c>
      <c r="AA45" s="147">
        <v>0.59782608695652173</v>
      </c>
      <c r="AB45" s="147">
        <v>0.85054347826086962</v>
      </c>
    </row>
    <row r="46" spans="1:28">
      <c r="A46" s="136" t="s">
        <v>175</v>
      </c>
      <c r="B46" s="148">
        <v>1</v>
      </c>
      <c r="C46" s="147">
        <v>1.0192592592592591</v>
      </c>
      <c r="D46" s="147">
        <v>1.3318518518518518</v>
      </c>
      <c r="E46" s="147">
        <v>1.2118518518518517</v>
      </c>
      <c r="F46" s="147">
        <v>1.0192592592592591</v>
      </c>
      <c r="G46" s="147">
        <v>1.0874074074074074</v>
      </c>
      <c r="H46" s="147">
        <v>0.93629629629629629</v>
      </c>
      <c r="I46" s="147">
        <v>1.1762962962962962</v>
      </c>
      <c r="J46" s="147">
        <v>1.8962962962962961</v>
      </c>
      <c r="K46" s="147">
        <v>2.4888888888888885</v>
      </c>
      <c r="L46" s="147">
        <v>0.42370370370370364</v>
      </c>
      <c r="M46" s="147">
        <v>0.4148148148148148</v>
      </c>
      <c r="N46" s="147">
        <v>0.50370370370370365</v>
      </c>
      <c r="O46" s="147">
        <v>2</v>
      </c>
      <c r="P46" s="147">
        <v>1.0533333333333332</v>
      </c>
      <c r="Q46" s="147">
        <v>1.077037037037037</v>
      </c>
      <c r="R46" s="147">
        <v>1.7037037037037035</v>
      </c>
      <c r="S46" s="147">
        <v>1.0355555555555553</v>
      </c>
      <c r="T46" s="147">
        <v>1.0992592592592592</v>
      </c>
      <c r="U46" s="147">
        <v>1.0977777777777777</v>
      </c>
      <c r="V46" s="147">
        <v>1.1111111111111109</v>
      </c>
      <c r="W46" s="147">
        <v>1.2385185185185184</v>
      </c>
      <c r="X46" s="147">
        <v>1.1940740740740741</v>
      </c>
      <c r="Y46" s="147">
        <v>0.84444444444444433</v>
      </c>
      <c r="Z46" s="147">
        <v>0.58962962962962961</v>
      </c>
      <c r="AA46" s="147">
        <v>0.72</v>
      </c>
      <c r="AB46" s="147">
        <v>1.2874074074074073</v>
      </c>
    </row>
    <row r="47" spans="1:28">
      <c r="A47" s="136" t="s">
        <v>176</v>
      </c>
      <c r="B47" s="148">
        <v>1</v>
      </c>
      <c r="C47" s="147">
        <v>1.5086206896551726</v>
      </c>
      <c r="D47" s="147">
        <v>0.99137931034482762</v>
      </c>
      <c r="E47" s="147">
        <v>0.9655172413793105</v>
      </c>
      <c r="F47" s="147">
        <v>0.5525862068965518</v>
      </c>
      <c r="G47" s="147">
        <v>1.4655172413793105</v>
      </c>
      <c r="H47" s="147">
        <v>0.68017241379310356</v>
      </c>
      <c r="I47" s="147">
        <v>1.2155172413793103</v>
      </c>
      <c r="J47" s="147">
        <v>0.73448275862068968</v>
      </c>
      <c r="K47" s="147">
        <v>0.65603448275862075</v>
      </c>
      <c r="L47" s="147">
        <v>0.31982758620689655</v>
      </c>
      <c r="M47" s="147">
        <v>0.30172413793103448</v>
      </c>
      <c r="N47" s="147">
        <v>0.26551724137931038</v>
      </c>
      <c r="O47" s="147">
        <v>0.55517241379310345</v>
      </c>
      <c r="P47" s="147">
        <v>1.2586206896551724</v>
      </c>
      <c r="Q47" s="147">
        <v>0.8172413793103448</v>
      </c>
      <c r="R47" s="147">
        <v>0.36724137931034484</v>
      </c>
      <c r="S47" s="147">
        <v>0.49051724137931035</v>
      </c>
      <c r="T47" s="147">
        <v>0.42586206896551726</v>
      </c>
      <c r="U47" s="147">
        <v>0.31120689655172412</v>
      </c>
      <c r="V47" s="147">
        <v>0.83189655172413801</v>
      </c>
      <c r="W47" s="147">
        <v>1.2327586206896552</v>
      </c>
      <c r="X47" s="147">
        <v>0.93965517241379326</v>
      </c>
      <c r="Y47" s="147">
        <v>0.39655172413793111</v>
      </c>
      <c r="Z47" s="147">
        <v>0.4327586206896552</v>
      </c>
      <c r="AA47" s="147">
        <v>0.36465517241379314</v>
      </c>
      <c r="AB47" s="147">
        <v>0.14913793103448275</v>
      </c>
    </row>
    <row r="48" spans="1:28">
      <c r="A48" s="136" t="s">
        <v>179</v>
      </c>
      <c r="B48" s="148">
        <v>1</v>
      </c>
      <c r="C48" s="147">
        <v>2.2758620689655173</v>
      </c>
      <c r="D48" s="147">
        <v>3.0043103448275859</v>
      </c>
      <c r="E48" s="147">
        <v>0.5862068965517242</v>
      </c>
      <c r="F48" s="147">
        <v>1.4655172413793103</v>
      </c>
      <c r="G48" s="147">
        <v>1.5991379310344827</v>
      </c>
      <c r="H48" s="147">
        <v>1.5215517241379308</v>
      </c>
      <c r="I48" s="147">
        <v>1.5818965517241379</v>
      </c>
      <c r="J48" s="147">
        <v>1.1163793103448276</v>
      </c>
      <c r="K48" s="147">
        <v>0.85775862068965514</v>
      </c>
      <c r="L48" s="147">
        <v>0.51293103448275856</v>
      </c>
      <c r="M48" s="147">
        <v>0.51293103448275856</v>
      </c>
      <c r="N48" s="147">
        <v>0.4280172413793103</v>
      </c>
      <c r="O48" s="147">
        <v>1.0043103448275863</v>
      </c>
      <c r="P48" s="147">
        <v>1.8275862068965516</v>
      </c>
      <c r="Q48" s="147">
        <v>0.82758620689655171</v>
      </c>
      <c r="R48" s="147">
        <v>0.59913793103448276</v>
      </c>
      <c r="S48" s="147">
        <v>0.98275862068965514</v>
      </c>
      <c r="T48" s="147">
        <v>0.93103448275862066</v>
      </c>
      <c r="U48" s="147">
        <v>1.4482758620689655</v>
      </c>
      <c r="V48" s="147">
        <v>0.95258620689655171</v>
      </c>
      <c r="W48" s="147">
        <v>0.95258620689655171</v>
      </c>
      <c r="X48" s="147">
        <v>1.0431034482758619</v>
      </c>
      <c r="Y48" s="147">
        <v>0.74137931034482751</v>
      </c>
      <c r="Z48" s="147">
        <v>0.60775862068965514</v>
      </c>
      <c r="AA48" s="147">
        <v>0.71120689655172409</v>
      </c>
      <c r="AB48" s="147">
        <v>0.17413793103448275</v>
      </c>
    </row>
    <row r="49" spans="1:28">
      <c r="A49" s="136" t="s">
        <v>183</v>
      </c>
      <c r="B49" s="148">
        <v>1</v>
      </c>
      <c r="C49" s="147">
        <v>2.7777777777777777</v>
      </c>
      <c r="D49" s="147">
        <v>0.81481481481481477</v>
      </c>
      <c r="E49" s="147">
        <v>1.2222222222222223</v>
      </c>
      <c r="F49" s="147">
        <v>1.324074074074074</v>
      </c>
      <c r="G49" s="147">
        <v>1.7824074074074074</v>
      </c>
      <c r="H49" s="147">
        <v>1.7777777777777779</v>
      </c>
      <c r="I49" s="147">
        <v>0.8842592592592593</v>
      </c>
      <c r="J49" s="147">
        <v>0.71296296296296291</v>
      </c>
      <c r="K49" s="147">
        <v>1.0601851851851853</v>
      </c>
      <c r="L49" s="147">
        <v>0.63888888888888895</v>
      </c>
      <c r="M49" s="147">
        <v>0.56481481481481477</v>
      </c>
      <c r="N49" s="147">
        <v>0.53240740740740744</v>
      </c>
      <c r="O49" s="147">
        <v>1.2731481481481484</v>
      </c>
      <c r="P49" s="147">
        <v>1.6712962962962963</v>
      </c>
      <c r="Q49" s="147">
        <v>0.80555555555555547</v>
      </c>
      <c r="R49" s="147">
        <v>1.0648148148148149</v>
      </c>
      <c r="S49" s="147">
        <v>0.60648148148148151</v>
      </c>
      <c r="T49" s="147">
        <v>1.0046296296296295</v>
      </c>
      <c r="U49" s="147">
        <v>0.71759259259259256</v>
      </c>
      <c r="V49" s="147">
        <v>0.437962962962963</v>
      </c>
      <c r="W49" s="147">
        <v>0.75462962962962965</v>
      </c>
      <c r="X49" s="147">
        <v>0.55555555555555558</v>
      </c>
      <c r="Y49" s="147">
        <v>0.7685185185185186</v>
      </c>
      <c r="Z49" s="147">
        <v>1.1157407407407407</v>
      </c>
      <c r="AA49" s="147">
        <v>0.96296296296296291</v>
      </c>
      <c r="AB49" s="147">
        <v>0.75</v>
      </c>
    </row>
    <row r="50" spans="1:28">
      <c r="A50" s="136" t="s">
        <v>184</v>
      </c>
      <c r="B50" s="148">
        <v>1</v>
      </c>
      <c r="C50" s="147">
        <v>1.0305676855895196</v>
      </c>
      <c r="D50" s="147">
        <v>0.45851528384279477</v>
      </c>
      <c r="E50" s="147">
        <v>0.5240174672489083</v>
      </c>
      <c r="F50" s="147">
        <v>0.38646288209606988</v>
      </c>
      <c r="G50" s="147">
        <v>0.27685589519650655</v>
      </c>
      <c r="H50" s="147">
        <v>1.2183406113537119</v>
      </c>
      <c r="I50" s="147">
        <v>0.89956331877729256</v>
      </c>
      <c r="J50" s="147">
        <v>0.20917030567685591</v>
      </c>
      <c r="K50" s="147">
        <v>0.225764192139738</v>
      </c>
      <c r="L50" s="147">
        <v>1.3755458515283843</v>
      </c>
      <c r="M50" s="147">
        <v>2.0698689956331875</v>
      </c>
      <c r="N50" s="147">
        <v>1.9781659388646289</v>
      </c>
      <c r="O50" s="147">
        <v>0.25458515283842797</v>
      </c>
      <c r="P50" s="147">
        <v>2.2445414847161573</v>
      </c>
      <c r="Q50" s="147">
        <v>0.40829694323144106</v>
      </c>
      <c r="R50" s="147">
        <v>3.6681222707423582</v>
      </c>
      <c r="S50" s="147">
        <v>3.3886462882096069</v>
      </c>
      <c r="T50" s="147">
        <v>3.8646288209606983</v>
      </c>
      <c r="U50" s="147">
        <v>4.3275109170305672</v>
      </c>
      <c r="V50" s="147">
        <v>0.44541484716157209</v>
      </c>
      <c r="W50" s="147">
        <v>0.37030567685589516</v>
      </c>
      <c r="X50" s="147">
        <v>0.19344978165938864</v>
      </c>
      <c r="Y50" s="147">
        <v>8.5589519650655019E-2</v>
      </c>
      <c r="Z50" s="147">
        <v>0.12794759825327509</v>
      </c>
      <c r="AA50" s="147">
        <v>5.3711790393013097E-2</v>
      </c>
      <c r="AB50" s="147">
        <v>0.41004366812227078</v>
      </c>
    </row>
    <row r="51" spans="1:28">
      <c r="A51" s="136" t="s">
        <v>185</v>
      </c>
      <c r="B51" s="148">
        <v>1</v>
      </c>
      <c r="C51" s="147">
        <v>1.4457013574660633</v>
      </c>
      <c r="D51" s="147">
        <v>1.5226244343891404</v>
      </c>
      <c r="E51" s="147">
        <v>1.0678733031674208</v>
      </c>
      <c r="F51" s="147">
        <v>1.0384615384615385</v>
      </c>
      <c r="G51" s="147">
        <v>1.6380090497737556</v>
      </c>
      <c r="H51" s="147">
        <v>1.497737556561086</v>
      </c>
      <c r="I51" s="147">
        <v>0.83710407239819007</v>
      </c>
      <c r="J51" s="147">
        <v>0.7601809954751132</v>
      </c>
      <c r="K51" s="147">
        <v>0.66968325791855199</v>
      </c>
      <c r="L51" s="147">
        <v>0.65610859728506787</v>
      </c>
      <c r="M51" s="147">
        <v>0.70361990950226239</v>
      </c>
      <c r="N51" s="147">
        <v>0.78959276018099545</v>
      </c>
      <c r="O51" s="147">
        <v>0.86199095022624439</v>
      </c>
      <c r="P51" s="147">
        <v>1.246606334841629</v>
      </c>
      <c r="Q51" s="147">
        <v>0.72624434389140269</v>
      </c>
      <c r="R51" s="147">
        <v>0.35294117647058826</v>
      </c>
      <c r="S51" s="147">
        <v>0.87782805429864252</v>
      </c>
      <c r="T51" s="147">
        <v>1.1244343891402715</v>
      </c>
      <c r="U51" s="147">
        <v>1.2149321266968327</v>
      </c>
      <c r="V51" s="147">
        <v>0.64253393665158365</v>
      </c>
      <c r="W51" s="147">
        <v>0.69683257918552033</v>
      </c>
      <c r="X51" s="147">
        <v>0.82126696832579182</v>
      </c>
      <c r="Y51" s="147">
        <v>0.88914027149321273</v>
      </c>
      <c r="Z51" s="147">
        <v>0.35294117647058826</v>
      </c>
      <c r="AA51" s="147">
        <v>0.12850678733031676</v>
      </c>
      <c r="AB51" s="147">
        <v>0.22307692307692306</v>
      </c>
    </row>
    <row r="52" spans="1:28">
      <c r="A52" s="136" t="s">
        <v>186</v>
      </c>
      <c r="B52" s="140">
        <v>0.38600000000000001</v>
      </c>
      <c r="C52" s="113"/>
      <c r="D52" s="5"/>
      <c r="E52" s="5"/>
      <c r="F52" s="5"/>
      <c r="G52" s="5"/>
      <c r="H52" s="5"/>
      <c r="I52" s="5"/>
      <c r="J52" s="36">
        <v>0.45600000000000002</v>
      </c>
      <c r="K52" s="36">
        <v>0.14799999999999999</v>
      </c>
      <c r="L52" s="36">
        <v>0.317</v>
      </c>
      <c r="M52" s="36">
        <v>0.29099999999999998</v>
      </c>
      <c r="N52" s="36">
        <v>0.315</v>
      </c>
      <c r="O52" s="36">
        <v>0.23799999999999999</v>
      </c>
      <c r="P52" s="5"/>
      <c r="Q52" s="36">
        <v>0.42099999999999999</v>
      </c>
      <c r="R52" s="36">
        <v>0.54200000000000004</v>
      </c>
      <c r="S52" s="36">
        <v>0.28799999999999998</v>
      </c>
      <c r="T52" s="36">
        <v>0.33600000000000002</v>
      </c>
      <c r="U52" s="36">
        <v>0.253</v>
      </c>
      <c r="V52" s="36">
        <v>0.49099999999999999</v>
      </c>
      <c r="W52" s="36">
        <v>0.49</v>
      </c>
      <c r="X52" s="140">
        <v>0.373</v>
      </c>
      <c r="Y52" s="113"/>
      <c r="Z52" s="5"/>
      <c r="AA52" s="5"/>
      <c r="AB52" s="114"/>
    </row>
    <row r="53" spans="1:28">
      <c r="A53" s="136" t="s">
        <v>187</v>
      </c>
      <c r="B53" s="148">
        <v>1</v>
      </c>
      <c r="C53" s="147">
        <v>0.58232931726907633</v>
      </c>
      <c r="D53" s="147">
        <v>0.48995983935742971</v>
      </c>
      <c r="E53" s="147">
        <v>0.77108433734939763</v>
      </c>
      <c r="F53" s="147">
        <v>0.45381526104417674</v>
      </c>
      <c r="G53" s="147">
        <v>0.90763052208835349</v>
      </c>
      <c r="H53" s="147">
        <v>0.86345381526104426</v>
      </c>
      <c r="I53" s="147">
        <v>1.2650602409638554</v>
      </c>
      <c r="J53" s="147">
        <v>0.87148594377510047</v>
      </c>
      <c r="K53" s="147">
        <v>0.99598393574297195</v>
      </c>
      <c r="L53" s="147">
        <v>0.87148594377510047</v>
      </c>
      <c r="M53" s="147">
        <v>0.97590361445783136</v>
      </c>
      <c r="N53" s="147">
        <v>0.97991967871485941</v>
      </c>
      <c r="O53" s="147">
        <v>0.89156626506024095</v>
      </c>
      <c r="P53" s="147">
        <v>0.80321285140562249</v>
      </c>
      <c r="Q53" s="147">
        <v>0.99196787148594379</v>
      </c>
      <c r="R53" s="147">
        <v>0.45381526104417674</v>
      </c>
      <c r="S53" s="147">
        <v>1.1405622489959839</v>
      </c>
      <c r="T53" s="147">
        <v>1.321285140562249</v>
      </c>
      <c r="U53" s="147">
        <v>1.5180722891566265</v>
      </c>
      <c r="V53" s="147">
        <v>1.0843373493975905</v>
      </c>
      <c r="W53" s="147">
        <v>1.2008032128514057</v>
      </c>
      <c r="X53" s="147">
        <v>1.1646586345381527</v>
      </c>
      <c r="Y53" s="147">
        <v>0.96787148594377526</v>
      </c>
      <c r="Z53" s="147">
        <v>0.57028112449799195</v>
      </c>
      <c r="AA53" s="147">
        <v>0.29678714859437749</v>
      </c>
      <c r="AB53" s="147">
        <v>0.13935742971887552</v>
      </c>
    </row>
    <row r="54" spans="1:28">
      <c r="A54" s="136" t="s">
        <v>188</v>
      </c>
      <c r="B54" s="148">
        <v>1</v>
      </c>
      <c r="C54" s="147">
        <v>1.1035353535353536</v>
      </c>
      <c r="D54" s="147">
        <v>0.81691919191919193</v>
      </c>
      <c r="E54" s="147">
        <v>1.6792929292929295</v>
      </c>
      <c r="F54" s="147">
        <v>1.0214646464646464</v>
      </c>
      <c r="G54" s="147">
        <v>1.3888888888888888</v>
      </c>
      <c r="H54" s="147">
        <v>1.1527777777777779</v>
      </c>
      <c r="I54" s="147">
        <v>1.6414141414141414</v>
      </c>
      <c r="J54" s="147">
        <v>0.74242424242424243</v>
      </c>
      <c r="K54" s="147">
        <v>0.86237373737373735</v>
      </c>
      <c r="L54" s="147">
        <v>0.70580808080808077</v>
      </c>
      <c r="M54" s="147">
        <v>0.78156565656565657</v>
      </c>
      <c r="N54" s="147">
        <v>0.80176767676767668</v>
      </c>
      <c r="O54" s="147">
        <v>0.84343434343434343</v>
      </c>
      <c r="P54" s="147">
        <v>0.89520202020202022</v>
      </c>
      <c r="Q54" s="147">
        <v>1.0340909090909089</v>
      </c>
      <c r="R54" s="147">
        <v>0.59722222222222232</v>
      </c>
      <c r="S54" s="147">
        <v>1.0126262626262625</v>
      </c>
      <c r="T54" s="147">
        <v>1.1717171717171717</v>
      </c>
      <c r="U54" s="147">
        <v>1.351010101010101</v>
      </c>
      <c r="V54" s="147">
        <v>0.97222222222222221</v>
      </c>
      <c r="W54" s="147">
        <v>1.2878787878787878</v>
      </c>
      <c r="X54" s="147">
        <v>1.2260101010101012</v>
      </c>
      <c r="Y54" s="147">
        <v>0.96338383838383834</v>
      </c>
      <c r="Z54" s="147">
        <v>0.61489898989898994</v>
      </c>
      <c r="AA54" s="147">
        <v>0.43813131313131315</v>
      </c>
      <c r="AB54" s="147">
        <v>0.39267676767676768</v>
      </c>
    </row>
    <row r="55" spans="1:28">
      <c r="A55" s="136" t="s">
        <v>189</v>
      </c>
      <c r="B55" s="148">
        <v>1</v>
      </c>
      <c r="C55" s="147">
        <v>2.4894514767932487</v>
      </c>
      <c r="D55" s="147">
        <v>1.647679324894515</v>
      </c>
      <c r="E55" s="147">
        <v>0.81645569620253167</v>
      </c>
      <c r="F55" s="147">
        <v>1.6033755274261605</v>
      </c>
      <c r="G55" s="147">
        <v>1.8375527426160339</v>
      </c>
      <c r="H55" s="147">
        <v>0.46413502109704646</v>
      </c>
      <c r="I55" s="147">
        <v>0.68143459915611815</v>
      </c>
      <c r="J55" s="147">
        <v>0.7067510548523207</v>
      </c>
      <c r="K55" s="147">
        <v>1.0527426160337554</v>
      </c>
      <c r="L55" s="147">
        <v>0.65400843881856541</v>
      </c>
      <c r="M55" s="147">
        <v>0.6371308016877637</v>
      </c>
      <c r="N55" s="147">
        <v>0.53586497890295359</v>
      </c>
      <c r="O55" s="147">
        <v>1.0253164556962024</v>
      </c>
      <c r="P55" s="147">
        <v>0.6371308016877637</v>
      </c>
      <c r="Q55" s="147">
        <v>0.829113924050633</v>
      </c>
      <c r="R55" s="147">
        <v>0.93670886075949378</v>
      </c>
      <c r="S55" s="147">
        <v>1.1729957805907174</v>
      </c>
      <c r="T55" s="147">
        <v>1.1772151898734178</v>
      </c>
      <c r="U55" s="147">
        <v>1.2805907172995781</v>
      </c>
      <c r="V55" s="147">
        <v>0.90717299578059074</v>
      </c>
      <c r="W55" s="147">
        <v>1.1434599156118144</v>
      </c>
      <c r="X55" s="147">
        <v>1.0379746835443038</v>
      </c>
      <c r="Y55" s="147">
        <v>0.66033755274261607</v>
      </c>
      <c r="Z55" s="147">
        <v>0.69831223628691985</v>
      </c>
      <c r="AA55" s="147">
        <v>0.33544303797468356</v>
      </c>
      <c r="AB55" s="147">
        <v>0.15379746835443039</v>
      </c>
    </row>
    <row r="56" spans="1:28">
      <c r="A56" s="136" t="s">
        <v>190</v>
      </c>
      <c r="B56" s="148">
        <v>1</v>
      </c>
      <c r="C56" s="147">
        <v>1.6035353535353536</v>
      </c>
      <c r="D56" s="147">
        <v>1.553030303030303</v>
      </c>
      <c r="E56" s="147">
        <v>0.61489898989898983</v>
      </c>
      <c r="F56" s="147">
        <v>1.0517676767676767</v>
      </c>
      <c r="G56" s="147">
        <v>1.4898989898989898</v>
      </c>
      <c r="H56" s="147">
        <v>0.4621212121212121</v>
      </c>
      <c r="I56" s="147">
        <v>0.48358585858585856</v>
      </c>
      <c r="J56" s="147">
        <v>0.63888888888888884</v>
      </c>
      <c r="K56" s="147">
        <v>0.98737373737373735</v>
      </c>
      <c r="L56" s="147">
        <v>0.47474747474747475</v>
      </c>
      <c r="M56" s="147">
        <v>0.46969696969696967</v>
      </c>
      <c r="N56" s="147">
        <v>0.45959595959595956</v>
      </c>
      <c r="O56" s="147">
        <v>1.2108585858585859</v>
      </c>
      <c r="P56" s="147">
        <v>0.57828282828282829</v>
      </c>
      <c r="Q56" s="147">
        <v>0.98611111111111105</v>
      </c>
      <c r="R56" s="147">
        <v>0.5732323232323232</v>
      </c>
      <c r="S56" s="147">
        <v>0.63636363636363635</v>
      </c>
      <c r="T56" s="147">
        <v>0.93686868686868685</v>
      </c>
      <c r="U56" s="147">
        <v>1.0416666666666665</v>
      </c>
      <c r="V56" s="147">
        <v>0.88762626262626254</v>
      </c>
      <c r="W56" s="147">
        <v>0.96590909090909083</v>
      </c>
      <c r="X56" s="147">
        <v>0.88888888888888884</v>
      </c>
      <c r="Y56" s="147">
        <v>0.49873737373737376</v>
      </c>
      <c r="Z56" s="147">
        <v>0.26136363636363635</v>
      </c>
      <c r="AA56" s="147">
        <v>2.6515151515151516E-2</v>
      </c>
      <c r="AB56" s="149"/>
    </row>
    <row r="57" spans="1:28">
      <c r="A57" s="136" t="s">
        <v>191</v>
      </c>
      <c r="B57" s="148">
        <v>1</v>
      </c>
      <c r="C57" s="147">
        <v>3.3665835411471328</v>
      </c>
      <c r="D57" s="147">
        <v>2.5810473815461346</v>
      </c>
      <c r="E57" s="147">
        <v>0.76932668329177056</v>
      </c>
      <c r="F57" s="147">
        <v>3.117206982543641</v>
      </c>
      <c r="G57" s="147">
        <v>2.007481296758105</v>
      </c>
      <c r="H57" s="147">
        <v>0.89276807980049877</v>
      </c>
      <c r="I57" s="147">
        <v>1.2219451371571073</v>
      </c>
      <c r="J57" s="147">
        <v>0.91645885286783046</v>
      </c>
      <c r="K57" s="147">
        <v>0.84788029925187047</v>
      </c>
      <c r="L57" s="147">
        <v>0.23316708229426439</v>
      </c>
      <c r="M57" s="147">
        <v>0.30798004987531175</v>
      </c>
      <c r="N57" s="147">
        <v>0.36034912718204493</v>
      </c>
      <c r="O57" s="147">
        <v>0.70448877805486287</v>
      </c>
      <c r="P57" s="147">
        <v>1.1047381546134665</v>
      </c>
      <c r="Q57" s="147">
        <v>1.1197007481296759</v>
      </c>
      <c r="R57" s="147">
        <v>0</v>
      </c>
      <c r="S57" s="147">
        <v>0.8728179551122196</v>
      </c>
      <c r="T57" s="147">
        <v>0.89526184538653375</v>
      </c>
      <c r="U57" s="147">
        <v>0.87905236907730677</v>
      </c>
      <c r="V57" s="147">
        <v>1.1134663341645887</v>
      </c>
      <c r="W57" s="147">
        <v>1.2468827930174566</v>
      </c>
      <c r="X57" s="147">
        <v>1.3092269326683292</v>
      </c>
      <c r="Y57" s="147">
        <v>0.10997506234413966</v>
      </c>
      <c r="Z57" s="147">
        <v>0.20698254364089777</v>
      </c>
      <c r="AA57" s="147">
        <v>0.43391521197007482</v>
      </c>
      <c r="AB57" s="147">
        <v>0.32543640897755616</v>
      </c>
    </row>
    <row r="58" spans="1:28">
      <c r="A58" s="136" t="s">
        <v>192</v>
      </c>
      <c r="B58" s="148">
        <v>1</v>
      </c>
      <c r="C58" s="147">
        <v>1.8942731277533038</v>
      </c>
      <c r="D58" s="147">
        <v>2.0616740088105727</v>
      </c>
      <c r="E58" s="147">
        <v>1.5374449339207048</v>
      </c>
      <c r="F58" s="147">
        <v>1.8942731277533038</v>
      </c>
      <c r="G58" s="147">
        <v>1.9647577092511013</v>
      </c>
      <c r="H58" s="147">
        <v>0.74008810572687223</v>
      </c>
      <c r="I58" s="147">
        <v>1.8237885462555063</v>
      </c>
      <c r="J58" s="147">
        <v>1.1850220264317182</v>
      </c>
      <c r="K58" s="147">
        <v>0.9603524229074889</v>
      </c>
      <c r="L58" s="147">
        <v>1.1453744493392071</v>
      </c>
      <c r="M58" s="147">
        <v>1.1145374449339207</v>
      </c>
      <c r="N58" s="147">
        <v>1.1674008810572687</v>
      </c>
      <c r="O58" s="147">
        <v>1.0396475770925109</v>
      </c>
      <c r="P58" s="147">
        <v>1.4493392070484581</v>
      </c>
      <c r="Q58" s="147">
        <v>0.93392070484581491</v>
      </c>
      <c r="R58" s="147">
        <v>0.88105726872246704</v>
      </c>
      <c r="S58" s="147">
        <v>0.64317180616740077</v>
      </c>
      <c r="T58" s="147">
        <v>0.98237885462555063</v>
      </c>
      <c r="U58" s="147">
        <v>1.277533039647577</v>
      </c>
      <c r="V58" s="147">
        <v>1.2643171806167399</v>
      </c>
      <c r="W58" s="147">
        <v>1.6299559471365639</v>
      </c>
      <c r="X58" s="147">
        <v>1.2202643171806169</v>
      </c>
      <c r="Y58" s="147">
        <v>0.50660792951541855</v>
      </c>
      <c r="Z58" s="147">
        <v>0.53303964757709243</v>
      </c>
      <c r="AA58" s="147">
        <v>0.30837004405286345</v>
      </c>
      <c r="AB58" s="147">
        <v>0.50220264317180618</v>
      </c>
    </row>
    <row r="59" spans="1:28">
      <c r="A59" s="136" t="s">
        <v>194</v>
      </c>
      <c r="B59" s="148">
        <v>1</v>
      </c>
      <c r="C59" s="147">
        <v>2.5400457665903891</v>
      </c>
      <c r="D59" s="147">
        <v>2.3913043478260869</v>
      </c>
      <c r="E59" s="147">
        <v>2.0938215102974826</v>
      </c>
      <c r="F59" s="147">
        <v>1.5217391304347827</v>
      </c>
      <c r="G59" s="147">
        <v>1.4416475972540046</v>
      </c>
      <c r="H59" s="147">
        <v>1.8192219679633865</v>
      </c>
      <c r="I59" s="147">
        <v>2.2997711670480547</v>
      </c>
      <c r="J59" s="147">
        <v>1.0274599542334095</v>
      </c>
      <c r="K59" s="147">
        <v>1.3157894736842104</v>
      </c>
      <c r="L59" s="147">
        <v>0.55377574370709381</v>
      </c>
      <c r="M59" s="147">
        <v>0.59610983981693366</v>
      </c>
      <c r="N59" s="147">
        <v>0.56292906178489699</v>
      </c>
      <c r="O59" s="147">
        <v>1.4530892448512585</v>
      </c>
      <c r="P59" s="147">
        <v>2.791762013729977</v>
      </c>
      <c r="Q59" s="147">
        <v>0</v>
      </c>
      <c r="R59" s="147">
        <v>0.74256292906178489</v>
      </c>
      <c r="S59" s="147">
        <v>0.58924485125858117</v>
      </c>
      <c r="T59" s="147">
        <v>0.75171624713958796</v>
      </c>
      <c r="U59" s="147">
        <v>0.61441647597254001</v>
      </c>
      <c r="V59" s="147">
        <v>0.78146453089244849</v>
      </c>
      <c r="W59" s="147">
        <v>1.1121281464530892</v>
      </c>
      <c r="X59" s="147">
        <v>0.85469107551487411</v>
      </c>
      <c r="Y59" s="147">
        <v>0.36727688787185347</v>
      </c>
      <c r="Z59" s="147">
        <v>0.28832951945080088</v>
      </c>
      <c r="AA59" s="147">
        <v>0.50686498855835238</v>
      </c>
      <c r="AB59" s="147">
        <v>0.99313501144164751</v>
      </c>
    </row>
    <row r="60" spans="1:28">
      <c r="A60" s="136" t="s">
        <v>195</v>
      </c>
      <c r="B60" s="114"/>
      <c r="C60" s="113"/>
      <c r="D60" s="5"/>
      <c r="E60" s="5"/>
      <c r="F60" s="5"/>
      <c r="G60" s="5"/>
      <c r="H60" s="5"/>
      <c r="I60" s="5"/>
      <c r="J60" s="5"/>
      <c r="K60" s="5"/>
      <c r="L60" s="5"/>
      <c r="M60" s="5"/>
      <c r="N60" s="5"/>
      <c r="O60" s="5"/>
      <c r="P60" s="5"/>
      <c r="Q60" s="5"/>
      <c r="R60" s="5"/>
      <c r="S60" s="5"/>
      <c r="T60" s="5"/>
      <c r="U60" s="5"/>
      <c r="V60" s="5"/>
      <c r="W60" s="5"/>
      <c r="X60" s="114"/>
      <c r="Y60" s="113"/>
      <c r="Z60" s="5"/>
      <c r="AA60" s="5"/>
      <c r="AB60" s="114"/>
    </row>
    <row r="61" spans="1:28">
      <c r="A61" s="136" t="s">
        <v>196</v>
      </c>
      <c r="B61" s="148">
        <v>1</v>
      </c>
      <c r="C61" s="147">
        <v>2.1319148936170214</v>
      </c>
      <c r="D61" s="147">
        <v>1.6851063829787236</v>
      </c>
      <c r="E61" s="147">
        <v>3.1659574468085103</v>
      </c>
      <c r="F61" s="147">
        <v>1.0808510638297872</v>
      </c>
      <c r="G61" s="147">
        <v>2.3702127659574468</v>
      </c>
      <c r="H61" s="147">
        <v>3.0765957446808514</v>
      </c>
      <c r="I61" s="147">
        <v>0.97021276595744688</v>
      </c>
      <c r="J61" s="147">
        <v>0.97021276595744688</v>
      </c>
      <c r="K61" s="147">
        <v>0.48510638297872344</v>
      </c>
      <c r="L61" s="147">
        <v>0.39021276595744681</v>
      </c>
      <c r="M61" s="147">
        <v>0.36042553191489363</v>
      </c>
      <c r="N61" s="147">
        <v>0.32978723404255317</v>
      </c>
      <c r="O61" s="147">
        <v>1.1872340425531915</v>
      </c>
      <c r="P61" s="147">
        <v>0.90638297872340423</v>
      </c>
      <c r="Q61" s="147">
        <v>0.83404255319148934</v>
      </c>
      <c r="R61" s="147">
        <v>2.1702127659574466</v>
      </c>
      <c r="S61" s="147">
        <v>1.0936170212765957</v>
      </c>
      <c r="T61" s="147">
        <v>1.3914893617021276</v>
      </c>
      <c r="U61" s="147">
        <v>1</v>
      </c>
      <c r="V61" s="147">
        <v>0.87659574468085111</v>
      </c>
      <c r="W61" s="147">
        <v>1.2765957446808509</v>
      </c>
      <c r="X61" s="147">
        <v>0.55319148936170215</v>
      </c>
      <c r="Y61" s="147">
        <v>0.57021276595744685</v>
      </c>
      <c r="Z61" s="147">
        <v>0.23957446808510635</v>
      </c>
      <c r="AA61" s="147">
        <v>0.68936170212765957</v>
      </c>
      <c r="AB61" s="147">
        <v>1.6</v>
      </c>
    </row>
    <row r="62" spans="1:28">
      <c r="A62" s="136" t="s">
        <v>197</v>
      </c>
      <c r="B62" s="148">
        <v>1</v>
      </c>
      <c r="C62" s="147">
        <v>0.90889370932754876</v>
      </c>
      <c r="D62" s="147">
        <v>1.3015184381778742</v>
      </c>
      <c r="E62" s="147">
        <v>0.63774403470715824</v>
      </c>
      <c r="F62" s="147">
        <v>0.93058568329717994</v>
      </c>
      <c r="G62" s="147">
        <v>0.91214750542299339</v>
      </c>
      <c r="H62" s="147">
        <v>0.68438177874186545</v>
      </c>
      <c r="I62" s="147">
        <v>0.9316702819956616</v>
      </c>
      <c r="J62" s="147">
        <v>0.70715835140997829</v>
      </c>
      <c r="K62" s="147">
        <v>0.75596529284164848</v>
      </c>
      <c r="L62" s="147">
        <v>1.2472885032537959</v>
      </c>
      <c r="M62" s="147">
        <v>1.2364425162689803</v>
      </c>
      <c r="N62" s="147">
        <v>1.1822125813449025</v>
      </c>
      <c r="O62" s="147">
        <v>0.77440347071583504</v>
      </c>
      <c r="P62" s="147">
        <v>0.76464208242950105</v>
      </c>
      <c r="Q62" s="147">
        <v>0.85683297180043383</v>
      </c>
      <c r="R62" s="147">
        <v>0.94577006507592187</v>
      </c>
      <c r="S62" s="147">
        <v>0.58676789587852496</v>
      </c>
      <c r="T62" s="147">
        <v>0.83514099783080253</v>
      </c>
      <c r="U62" s="147">
        <v>1.1496746203904555</v>
      </c>
      <c r="V62" s="147">
        <v>0.56073752711496749</v>
      </c>
      <c r="W62" s="147">
        <v>0.8904555314533622</v>
      </c>
      <c r="X62" s="147">
        <v>0.94685466377440342</v>
      </c>
      <c r="Y62" s="147">
        <v>1.5943600867678958</v>
      </c>
      <c r="Z62" s="147">
        <v>1.1388286334056399</v>
      </c>
      <c r="AA62" s="147">
        <v>1.8763557483731019</v>
      </c>
      <c r="AB62" s="147">
        <v>1.4750542299349241</v>
      </c>
    </row>
    <row r="63" spans="1:28">
      <c r="A63" s="136" t="s">
        <v>198</v>
      </c>
      <c r="B63" s="142"/>
      <c r="C63" s="141"/>
      <c r="D63" s="3"/>
      <c r="E63" s="3"/>
      <c r="F63" s="3"/>
      <c r="G63" s="3"/>
      <c r="H63" s="3"/>
      <c r="I63" s="3"/>
      <c r="J63" s="3"/>
      <c r="K63" s="3"/>
      <c r="L63" s="3"/>
      <c r="M63" s="3"/>
      <c r="N63" s="3"/>
      <c r="O63" s="3"/>
      <c r="P63" s="3"/>
      <c r="Q63" s="3"/>
      <c r="R63" s="3"/>
      <c r="S63" s="3"/>
      <c r="T63" s="3"/>
      <c r="U63" s="3"/>
      <c r="V63" s="3"/>
      <c r="W63" s="3"/>
      <c r="X63" s="142"/>
      <c r="Y63" s="141"/>
      <c r="Z63" s="3"/>
      <c r="AA63" s="3"/>
      <c r="AB63" s="142"/>
    </row>
    <row r="64" spans="1:28">
      <c r="A64" s="136" t="s">
        <v>200</v>
      </c>
      <c r="B64" s="148">
        <v>1</v>
      </c>
      <c r="C64" s="147">
        <v>1.2173913043478262</v>
      </c>
      <c r="D64" s="147">
        <v>1.9927536231884058</v>
      </c>
      <c r="E64" s="147">
        <v>0.57753623188405789</v>
      </c>
      <c r="F64" s="147">
        <v>0.73913043478260854</v>
      </c>
      <c r="G64" s="147">
        <v>0.93478260869565211</v>
      </c>
      <c r="H64" s="147">
        <v>1.1231884057971013</v>
      </c>
      <c r="I64" s="147">
        <v>1.507246376811594</v>
      </c>
      <c r="J64" s="147">
        <v>0.60507246376811596</v>
      </c>
      <c r="K64" s="147">
        <v>0.58913043478260863</v>
      </c>
      <c r="L64" s="147">
        <v>2.2028985507246372</v>
      </c>
      <c r="M64" s="147">
        <v>1.7898550724637678</v>
      </c>
      <c r="N64" s="147">
        <v>1.6666666666666665</v>
      </c>
      <c r="O64" s="147">
        <v>0.76811594202898548</v>
      </c>
      <c r="P64" s="147">
        <v>0.94202898550724634</v>
      </c>
      <c r="Q64" s="147">
        <v>0.87681159420289845</v>
      </c>
      <c r="R64" s="147">
        <v>3.7826086956521738</v>
      </c>
      <c r="S64" s="147">
        <v>0.71014492753623182</v>
      </c>
      <c r="T64" s="147">
        <v>0.39057971014492754</v>
      </c>
      <c r="U64" s="147">
        <v>0.31811594202898547</v>
      </c>
      <c r="V64" s="147">
        <v>0.51666666666666661</v>
      </c>
      <c r="W64" s="147">
        <v>0.49637681159420288</v>
      </c>
      <c r="X64" s="147">
        <v>0.41231884057971008</v>
      </c>
      <c r="Y64" s="147">
        <v>0.80434782608695643</v>
      </c>
      <c r="Z64" s="147">
        <v>0.87681159420289845</v>
      </c>
      <c r="AA64" s="147">
        <v>1.1666666666666665</v>
      </c>
      <c r="AB64" s="147">
        <v>4.2826086956521729</v>
      </c>
    </row>
    <row r="65" spans="1:28">
      <c r="A65" s="136" t="s">
        <v>201</v>
      </c>
      <c r="B65" s="148">
        <v>1</v>
      </c>
      <c r="C65" s="147">
        <v>1.6583333333333334</v>
      </c>
      <c r="D65" s="147">
        <v>2.166666666666667</v>
      </c>
      <c r="E65" s="147">
        <v>1.2333333333333334</v>
      </c>
      <c r="F65" s="147">
        <v>1.05</v>
      </c>
      <c r="G65" s="147">
        <v>1.1333333333333335</v>
      </c>
      <c r="H65" s="147">
        <v>1.3083333333333333</v>
      </c>
      <c r="I65" s="147">
        <v>1.7750000000000001</v>
      </c>
      <c r="J65" s="147">
        <v>1.4000000000000001</v>
      </c>
      <c r="K65" s="147">
        <v>1.5166666666666666</v>
      </c>
      <c r="L65" s="147">
        <v>0.255</v>
      </c>
      <c r="M65" s="147">
        <v>0.20583333333333334</v>
      </c>
      <c r="N65" s="147">
        <v>0.27833333333333332</v>
      </c>
      <c r="O65" s="147">
        <v>1.2249999999999999</v>
      </c>
      <c r="P65" s="147">
        <v>1.4916666666666667</v>
      </c>
      <c r="Q65" s="147">
        <v>0.76666666666666672</v>
      </c>
      <c r="R65" s="147">
        <v>1.0333333333333334</v>
      </c>
      <c r="S65" s="147">
        <v>0.6</v>
      </c>
      <c r="T65" s="147">
        <v>0.76</v>
      </c>
      <c r="U65" s="147">
        <v>0.97500000000000009</v>
      </c>
      <c r="V65" s="147">
        <v>0.81416666666666671</v>
      </c>
      <c r="W65" s="147">
        <v>0.83333333333333337</v>
      </c>
      <c r="X65" s="147">
        <v>0.9916666666666667</v>
      </c>
      <c r="Y65" s="147">
        <v>0.37916666666666665</v>
      </c>
      <c r="Z65" s="147">
        <v>0.14083333333333334</v>
      </c>
      <c r="AA65" s="147">
        <v>0.20333333333333337</v>
      </c>
      <c r="AB65" s="147">
        <v>0.39333333333333331</v>
      </c>
    </row>
    <row r="66" spans="1:28">
      <c r="A66" s="136" t="s">
        <v>202</v>
      </c>
      <c r="B66" s="148">
        <v>1</v>
      </c>
      <c r="C66" s="147">
        <v>1.675284384694933</v>
      </c>
      <c r="D66" s="147">
        <v>1.8821096173733196</v>
      </c>
      <c r="E66" s="147">
        <v>2.264736297828335</v>
      </c>
      <c r="F66" s="147">
        <v>2.2440537745604963</v>
      </c>
      <c r="G66" s="147">
        <v>1.5718717683557395</v>
      </c>
      <c r="H66" s="147">
        <v>0.70010341261633924</v>
      </c>
      <c r="I66" s="147">
        <v>1.0072388831437435</v>
      </c>
      <c r="J66" s="147">
        <v>0.27921406411582217</v>
      </c>
      <c r="K66" s="147">
        <v>0.25853154084798347</v>
      </c>
      <c r="L66" s="147">
        <v>1.2719751809720785</v>
      </c>
      <c r="M66" s="147">
        <v>1.2409513960703207</v>
      </c>
      <c r="N66" s="147">
        <v>1.220268872802482</v>
      </c>
      <c r="O66" s="147">
        <v>0.27094105480868669</v>
      </c>
      <c r="P66" s="147">
        <v>0.84901758014477768</v>
      </c>
      <c r="Q66" s="147">
        <v>1.1065149948293693</v>
      </c>
      <c r="R66" s="147">
        <v>1.6959669079627715</v>
      </c>
      <c r="S66" s="147">
        <v>1.5098241985522234</v>
      </c>
      <c r="T66" s="147">
        <v>1.1789038262668046</v>
      </c>
      <c r="U66" s="147">
        <v>1.5098241985522234</v>
      </c>
      <c r="V66" s="147">
        <v>1.2099276111685626</v>
      </c>
      <c r="W66" s="147">
        <v>1.1789038262668046</v>
      </c>
      <c r="X66" s="147">
        <v>1.2099276111685626</v>
      </c>
      <c r="Y66" s="147">
        <v>0.5987590486039297</v>
      </c>
      <c r="Z66" s="147">
        <v>0.92450879007238884</v>
      </c>
      <c r="AA66" s="147">
        <v>1.0248190279214064</v>
      </c>
      <c r="AB66" s="147">
        <v>1.127197518097208</v>
      </c>
    </row>
    <row r="67" spans="1:28">
      <c r="A67" s="136" t="s">
        <v>203</v>
      </c>
      <c r="B67" s="148">
        <v>1</v>
      </c>
      <c r="C67" s="147">
        <v>0.53540587219343694</v>
      </c>
      <c r="D67" s="147">
        <v>0.36096718480138168</v>
      </c>
      <c r="E67" s="147">
        <v>0.60967184801381691</v>
      </c>
      <c r="F67" s="147">
        <v>0.41968911917098445</v>
      </c>
      <c r="G67" s="147">
        <v>0.43005181347150256</v>
      </c>
      <c r="H67" s="147">
        <v>0.83246977547495682</v>
      </c>
      <c r="I67" s="147">
        <v>1.2797927461139895</v>
      </c>
      <c r="J67" s="147">
        <v>0.37651122625215888</v>
      </c>
      <c r="K67" s="147">
        <v>0.69084628670120896</v>
      </c>
      <c r="L67" s="147">
        <v>2.6252158894645943</v>
      </c>
      <c r="M67" s="147">
        <v>2.6252158894645943</v>
      </c>
      <c r="N67" s="147">
        <v>2.2970639032815199</v>
      </c>
      <c r="O67" s="147">
        <v>0.60967184801381691</v>
      </c>
      <c r="P67" s="147">
        <v>0.77029360967184801</v>
      </c>
      <c r="Q67" s="147">
        <v>0.56994818652849744</v>
      </c>
      <c r="R67" s="147">
        <v>0.95509499136442144</v>
      </c>
      <c r="S67" s="147">
        <v>0.65630397236614857</v>
      </c>
      <c r="T67" s="147">
        <v>0.8376511226252159</v>
      </c>
      <c r="U67" s="147">
        <v>0.68221070811744389</v>
      </c>
      <c r="V67" s="147">
        <v>0.47668393782383417</v>
      </c>
      <c r="W67" s="147">
        <v>0.38860103626943004</v>
      </c>
      <c r="X67" s="147">
        <v>0.52331606217616577</v>
      </c>
      <c r="Y67" s="147">
        <v>0.26252158894645944</v>
      </c>
      <c r="Z67" s="147">
        <v>0.73747841105354062</v>
      </c>
      <c r="AA67" s="147">
        <v>1.2901554404145079</v>
      </c>
      <c r="AB67" s="147">
        <v>2.4006908462867016</v>
      </c>
    </row>
    <row r="68" spans="1:28">
      <c r="A68" s="136" t="s">
        <v>207</v>
      </c>
      <c r="B68" s="148">
        <v>1</v>
      </c>
      <c r="C68" s="147">
        <v>1.4066666666666665</v>
      </c>
      <c r="D68" s="147">
        <v>1.5199999999999998</v>
      </c>
      <c r="E68" s="147">
        <v>1.8866666666666667</v>
      </c>
      <c r="F68" s="147">
        <v>1.7300000000000002</v>
      </c>
      <c r="G68" s="147">
        <v>1.4466666666666665</v>
      </c>
      <c r="H68" s="147">
        <v>0.75</v>
      </c>
      <c r="I68" s="147">
        <v>0.85666666666666658</v>
      </c>
      <c r="J68" s="147">
        <v>1.3</v>
      </c>
      <c r="K68" s="147">
        <v>1.47</v>
      </c>
      <c r="L68" s="147">
        <v>0.84</v>
      </c>
      <c r="M68" s="147">
        <v>0.70000000000000007</v>
      </c>
      <c r="N68" s="147">
        <v>0.6333333333333333</v>
      </c>
      <c r="O68" s="147">
        <v>1.2566666666666666</v>
      </c>
      <c r="P68" s="147">
        <v>0.78333333333333333</v>
      </c>
      <c r="Q68" s="147">
        <v>1.0533333333333335</v>
      </c>
      <c r="R68" s="147">
        <v>0.94666666666666666</v>
      </c>
      <c r="S68" s="147">
        <v>0.76666666666666661</v>
      </c>
      <c r="T68" s="147">
        <v>0.84</v>
      </c>
      <c r="U68" s="147">
        <v>0.8833333333333333</v>
      </c>
      <c r="V68" s="147">
        <v>1.1500000000000001</v>
      </c>
      <c r="W68" s="147">
        <v>1.1500000000000001</v>
      </c>
      <c r="X68" s="147">
        <v>1.28</v>
      </c>
      <c r="Y68" s="147">
        <v>0.45999999999999996</v>
      </c>
      <c r="Z68" s="147">
        <v>0.6333333333333333</v>
      </c>
      <c r="AA68" s="147">
        <v>0.81</v>
      </c>
      <c r="AB68" s="147">
        <v>1.06</v>
      </c>
    </row>
    <row r="69" spans="1:28" ht="15.95" thickBot="1">
      <c r="A69" s="146" t="s">
        <v>208</v>
      </c>
      <c r="B69" s="150">
        <v>1</v>
      </c>
      <c r="C69" s="151">
        <v>0.72222222222222221</v>
      </c>
      <c r="D69" s="151">
        <v>0.57341269841269837</v>
      </c>
      <c r="E69" s="151">
        <v>0.93849206349206349</v>
      </c>
      <c r="F69" s="151">
        <v>0.7142857142857143</v>
      </c>
      <c r="G69" s="151">
        <v>0.65674603174603174</v>
      </c>
      <c r="H69" s="151">
        <v>1.0436507936507937</v>
      </c>
      <c r="I69" s="151">
        <v>1.8829365079365079</v>
      </c>
      <c r="J69" s="151">
        <v>1.0376984126984128</v>
      </c>
      <c r="K69" s="151">
        <v>0.98611111111111105</v>
      </c>
      <c r="L69" s="151">
        <v>1.1825396825396826</v>
      </c>
      <c r="M69" s="151">
        <v>1.1150793650793651</v>
      </c>
      <c r="N69" s="151">
        <v>1.0833333333333335</v>
      </c>
      <c r="O69" s="151">
        <v>1.125</v>
      </c>
      <c r="P69" s="151">
        <v>0.90277777777777779</v>
      </c>
      <c r="Q69" s="151">
        <v>1.2440476190476191</v>
      </c>
      <c r="R69" s="151">
        <v>2.3809523809523809</v>
      </c>
      <c r="S69" s="151">
        <v>1.253968253968254</v>
      </c>
      <c r="T69" s="151">
        <v>1.5436507936507937</v>
      </c>
      <c r="U69" s="151">
        <v>1.3313492063492065</v>
      </c>
      <c r="V69" s="151">
        <v>1.5773809523809526</v>
      </c>
      <c r="W69" s="151">
        <v>1.3650793650793649</v>
      </c>
      <c r="X69" s="151">
        <v>1.5297619047619049</v>
      </c>
      <c r="Y69" s="151">
        <v>0.42857142857142855</v>
      </c>
      <c r="Z69" s="151">
        <v>0.60515873015873012</v>
      </c>
      <c r="AA69" s="151">
        <v>0.57341269841269837</v>
      </c>
      <c r="AB69" s="151">
        <v>1.0158730158730158</v>
      </c>
    </row>
  </sheetData>
  <mergeCells count="2">
    <mergeCell ref="B1:B2"/>
    <mergeCell ref="A1:A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87"/>
  <sheetViews>
    <sheetView topLeftCell="A58" workbookViewId="0">
      <selection activeCell="A86" sqref="A86:AB87"/>
    </sheetView>
  </sheetViews>
  <sheetFormatPr defaultColWidth="8.85546875" defaultRowHeight="15"/>
  <cols>
    <col min="1" max="1" width="9.7109375" bestFit="1" customWidth="1"/>
    <col min="2" max="3" width="9.7109375" customWidth="1"/>
    <col min="25" max="28" width="10.140625" bestFit="1" customWidth="1"/>
  </cols>
  <sheetData>
    <row r="1" spans="1:28">
      <c r="A1" s="243" t="s">
        <v>72</v>
      </c>
      <c r="B1" s="245" t="s">
        <v>1140</v>
      </c>
      <c r="C1" s="145" t="s">
        <v>1144</v>
      </c>
      <c r="D1" s="38" t="s">
        <v>75</v>
      </c>
      <c r="E1" s="38" t="s">
        <v>76</v>
      </c>
      <c r="F1" s="38" t="s">
        <v>78</v>
      </c>
      <c r="G1" s="38" t="s">
        <v>79</v>
      </c>
      <c r="H1" s="38" t="s">
        <v>80</v>
      </c>
      <c r="I1" s="38" t="s">
        <v>81</v>
      </c>
      <c r="J1" s="38" t="s">
        <v>83</v>
      </c>
      <c r="K1" s="38" t="s">
        <v>84</v>
      </c>
      <c r="L1" s="38" t="s">
        <v>85</v>
      </c>
      <c r="M1" s="38" t="s">
        <v>86</v>
      </c>
      <c r="N1" s="38" t="s">
        <v>87</v>
      </c>
      <c r="O1" s="38" t="s">
        <v>88</v>
      </c>
      <c r="P1" s="38" t="s">
        <v>89</v>
      </c>
      <c r="Q1" s="38" t="s">
        <v>90</v>
      </c>
      <c r="R1" s="38" t="s">
        <v>91</v>
      </c>
      <c r="S1" s="38" t="s">
        <v>92</v>
      </c>
      <c r="T1" s="38" t="s">
        <v>93</v>
      </c>
      <c r="U1" s="38" t="s">
        <v>94</v>
      </c>
      <c r="V1" s="38" t="s">
        <v>95</v>
      </c>
      <c r="W1" s="38" t="s">
        <v>96</v>
      </c>
      <c r="X1" s="107" t="s">
        <v>97</v>
      </c>
      <c r="Y1" s="102" t="s">
        <v>98</v>
      </c>
      <c r="Z1" s="103" t="s">
        <v>99</v>
      </c>
      <c r="AA1" s="103" t="s">
        <v>100</v>
      </c>
      <c r="AB1" s="104" t="s">
        <v>101</v>
      </c>
    </row>
    <row r="2" spans="1:28">
      <c r="A2" s="244"/>
      <c r="B2" s="246"/>
      <c r="C2" s="101" t="s">
        <v>112</v>
      </c>
      <c r="D2" s="79" t="s">
        <v>113</v>
      </c>
      <c r="E2" s="79" t="s">
        <v>114</v>
      </c>
      <c r="F2" s="79" t="s">
        <v>116</v>
      </c>
      <c r="G2" s="79" t="s">
        <v>117</v>
      </c>
      <c r="H2" s="79" t="s">
        <v>118</v>
      </c>
      <c r="I2" s="79" t="s">
        <v>119</v>
      </c>
      <c r="J2" s="79" t="s">
        <v>121</v>
      </c>
      <c r="K2" s="79" t="s">
        <v>122</v>
      </c>
      <c r="L2" s="79" t="s">
        <v>123</v>
      </c>
      <c r="M2" s="79" t="s">
        <v>124</v>
      </c>
      <c r="N2" s="79" t="s">
        <v>125</v>
      </c>
      <c r="O2" s="79" t="s">
        <v>126</v>
      </c>
      <c r="P2" s="79" t="s">
        <v>127</v>
      </c>
      <c r="Q2" s="79" t="s">
        <v>128</v>
      </c>
      <c r="R2" s="79" t="s">
        <v>129</v>
      </c>
      <c r="S2" s="79" t="s">
        <v>130</v>
      </c>
      <c r="T2" s="79" t="s">
        <v>131</v>
      </c>
      <c r="U2" s="79" t="s">
        <v>132</v>
      </c>
      <c r="V2" s="79" t="s">
        <v>133</v>
      </c>
      <c r="W2" s="79" t="s">
        <v>134</v>
      </c>
      <c r="X2" s="108" t="s">
        <v>135</v>
      </c>
      <c r="Y2" s="105" t="s">
        <v>136</v>
      </c>
      <c r="Z2" s="79" t="s">
        <v>137</v>
      </c>
      <c r="AA2" s="79" t="s">
        <v>138</v>
      </c>
      <c r="AB2" s="106" t="s">
        <v>139</v>
      </c>
    </row>
    <row r="3" spans="1:28">
      <c r="A3" s="136" t="s">
        <v>1145</v>
      </c>
      <c r="B3" s="137" t="s">
        <v>3</v>
      </c>
      <c r="C3" s="135" t="s">
        <v>1</v>
      </c>
      <c r="D3" s="1" t="s">
        <v>1</v>
      </c>
      <c r="E3" s="1" t="s">
        <v>1</v>
      </c>
      <c r="F3" s="1" t="s">
        <v>1</v>
      </c>
      <c r="G3" s="1" t="s">
        <v>1</v>
      </c>
      <c r="H3" s="1" t="s">
        <v>1</v>
      </c>
      <c r="I3" s="1" t="s">
        <v>1</v>
      </c>
      <c r="J3" s="1" t="s">
        <v>1</v>
      </c>
      <c r="K3" s="1" t="s">
        <v>1</v>
      </c>
      <c r="L3" s="1" t="s">
        <v>1</v>
      </c>
      <c r="M3" s="1" t="s">
        <v>1</v>
      </c>
      <c r="N3" s="1" t="s">
        <v>1</v>
      </c>
      <c r="O3" s="1" t="s">
        <v>1</v>
      </c>
      <c r="P3" s="1" t="s">
        <v>1</v>
      </c>
      <c r="Q3" s="1" t="s">
        <v>1</v>
      </c>
      <c r="R3" s="1" t="s">
        <v>1</v>
      </c>
      <c r="S3" s="1" t="s">
        <v>1</v>
      </c>
      <c r="T3" s="1" t="s">
        <v>1</v>
      </c>
      <c r="U3" s="1" t="s">
        <v>1</v>
      </c>
      <c r="V3" s="1" t="s">
        <v>1</v>
      </c>
      <c r="W3" s="1" t="s">
        <v>1</v>
      </c>
      <c r="X3" s="144" t="s">
        <v>1</v>
      </c>
      <c r="Y3" s="136" t="s">
        <v>1</v>
      </c>
      <c r="Z3" s="1" t="s">
        <v>1</v>
      </c>
      <c r="AA3" s="1" t="s">
        <v>1</v>
      </c>
      <c r="AB3" s="137" t="s">
        <v>1</v>
      </c>
    </row>
    <row r="4" spans="1:28">
      <c r="A4" s="136" t="s">
        <v>112</v>
      </c>
      <c r="B4" s="152">
        <v>1</v>
      </c>
      <c r="C4" s="152">
        <v>5.2354570637119118E-4</v>
      </c>
      <c r="D4" s="152">
        <v>1.3268698060941828</v>
      </c>
      <c r="E4" s="152">
        <v>0.80055401662049863</v>
      </c>
      <c r="F4" s="152">
        <v>1.1772853185595569</v>
      </c>
      <c r="G4" s="152">
        <v>0.92243767313019387</v>
      </c>
      <c r="H4" s="152">
        <v>0.80886426592797789</v>
      </c>
      <c r="I4" s="152">
        <v>0.95290858725761773</v>
      </c>
      <c r="J4" s="152">
        <v>0.89750692520775621</v>
      </c>
      <c r="K4" s="152">
        <v>0.92797783933518008</v>
      </c>
      <c r="L4" s="152">
        <v>0.91135734072022156</v>
      </c>
      <c r="M4" s="152">
        <v>0.76454293628808867</v>
      </c>
      <c r="N4" s="152">
        <v>0.86703601108033246</v>
      </c>
      <c r="O4" s="152">
        <v>1.0803324099722991</v>
      </c>
      <c r="P4" s="152">
        <v>1.0554016620498614</v>
      </c>
      <c r="Q4" s="152">
        <v>1.2742382271468145</v>
      </c>
      <c r="R4" s="152">
        <v>1.0387811634349031</v>
      </c>
      <c r="S4" s="152">
        <v>0.84487534626038785</v>
      </c>
      <c r="T4" s="152">
        <v>0.94182825484764543</v>
      </c>
      <c r="U4" s="152">
        <v>0.95290858725761773</v>
      </c>
      <c r="V4" s="152">
        <v>1</v>
      </c>
      <c r="W4" s="152">
        <v>0.93905817174515238</v>
      </c>
      <c r="X4" s="152">
        <v>0.76731301939058172</v>
      </c>
      <c r="Y4" s="159">
        <v>1.0443213296398892</v>
      </c>
      <c r="Z4" s="152">
        <v>1.0886426592797784</v>
      </c>
      <c r="AA4" s="152">
        <v>1.3988919667590027</v>
      </c>
      <c r="AB4" s="152">
        <v>0.8642659279778393</v>
      </c>
    </row>
    <row r="5" spans="1:28">
      <c r="A5" s="136" t="s">
        <v>113</v>
      </c>
      <c r="B5" s="152">
        <v>1</v>
      </c>
      <c r="C5" s="152">
        <v>0.93534932221063605</v>
      </c>
      <c r="D5" s="152">
        <v>1.8665276329509907E-3</v>
      </c>
      <c r="E5" s="152">
        <v>0.92909280500521374</v>
      </c>
      <c r="F5" s="152">
        <v>1.3555787278415015</v>
      </c>
      <c r="G5" s="152">
        <v>0.94890510948905105</v>
      </c>
      <c r="H5" s="152">
        <v>0.8029197080291971</v>
      </c>
      <c r="I5" s="152">
        <v>1.0948905109489051</v>
      </c>
      <c r="J5" s="152">
        <v>0.79666319082377479</v>
      </c>
      <c r="K5" s="152">
        <v>0.7549530761209593</v>
      </c>
      <c r="L5" s="152">
        <v>0.82481751824817517</v>
      </c>
      <c r="M5" s="152">
        <v>0.85922836287799786</v>
      </c>
      <c r="N5" s="152">
        <v>0.89989572471324297</v>
      </c>
      <c r="O5" s="152">
        <v>0.88946819603753913</v>
      </c>
      <c r="P5" s="152">
        <v>0.95516162669447346</v>
      </c>
      <c r="Q5" s="152">
        <v>1.0083420229405631</v>
      </c>
      <c r="R5" s="152">
        <v>1.4911366006256517</v>
      </c>
      <c r="S5" s="152">
        <v>1.1991657977059438</v>
      </c>
      <c r="T5" s="152">
        <v>0.88946819603753913</v>
      </c>
      <c r="U5" s="152">
        <v>1.032325338894682</v>
      </c>
      <c r="V5" s="152">
        <v>0.92075078206465066</v>
      </c>
      <c r="W5" s="152">
        <v>0.90093847758081336</v>
      </c>
      <c r="X5" s="152">
        <v>0.93534932221063605</v>
      </c>
      <c r="Y5" s="159">
        <v>1.0396246089676746</v>
      </c>
      <c r="Z5" s="152">
        <v>0.98435870698644423</v>
      </c>
      <c r="AA5" s="152">
        <v>1.2721584984358707</v>
      </c>
      <c r="AB5" s="152">
        <v>1.1783107403545359</v>
      </c>
    </row>
    <row r="6" spans="1:28">
      <c r="A6" s="136" t="s">
        <v>114</v>
      </c>
      <c r="B6" s="152">
        <v>1</v>
      </c>
      <c r="C6" s="152">
        <v>0.85</v>
      </c>
      <c r="D6" s="152">
        <v>1.25</v>
      </c>
      <c r="E6" s="152">
        <v>7.9599999999999995E-31</v>
      </c>
      <c r="F6" s="152">
        <v>1.39</v>
      </c>
      <c r="G6" s="152">
        <v>1.07</v>
      </c>
      <c r="H6" s="152">
        <v>0.90600000000000003</v>
      </c>
      <c r="I6" s="152">
        <v>1.49</v>
      </c>
      <c r="J6" s="152">
        <v>1.03</v>
      </c>
      <c r="K6" s="152">
        <v>1.1200000000000001</v>
      </c>
      <c r="L6" s="152">
        <v>1.0900000000000001</v>
      </c>
      <c r="M6" s="152">
        <v>1.03</v>
      </c>
      <c r="N6" s="152">
        <v>1.18</v>
      </c>
      <c r="O6" s="152">
        <v>1.23</v>
      </c>
      <c r="P6" s="152">
        <v>1.18</v>
      </c>
      <c r="Q6" s="152">
        <v>1.62</v>
      </c>
      <c r="R6" s="152">
        <v>0.996</v>
      </c>
      <c r="S6" s="152">
        <v>1.01</v>
      </c>
      <c r="T6" s="152">
        <v>1.07</v>
      </c>
      <c r="U6" s="152">
        <v>1.08</v>
      </c>
      <c r="V6" s="152">
        <v>1.1399999999999999</v>
      </c>
      <c r="W6" s="152">
        <v>1.01</v>
      </c>
      <c r="X6" s="152">
        <v>0.92700000000000005</v>
      </c>
      <c r="Y6" s="159">
        <v>1.1399999999999999</v>
      </c>
      <c r="Z6" s="152">
        <v>1.25</v>
      </c>
      <c r="AA6" s="152">
        <v>2.1</v>
      </c>
      <c r="AB6" s="152">
        <v>2.11</v>
      </c>
    </row>
    <row r="7" spans="1:28">
      <c r="A7" s="136" t="s">
        <v>148</v>
      </c>
      <c r="B7" s="152">
        <v>1</v>
      </c>
      <c r="C7" s="152">
        <v>1.0033003300330032</v>
      </c>
      <c r="D7" s="152">
        <v>0.86468646864686471</v>
      </c>
      <c r="E7" s="152">
        <v>1.2442244224422443</v>
      </c>
      <c r="F7" s="152">
        <v>5.7755775577557752E-3</v>
      </c>
      <c r="G7" s="152">
        <v>1.0363036303630364</v>
      </c>
      <c r="H7" s="152">
        <v>0.80528052805280526</v>
      </c>
      <c r="I7" s="152">
        <v>0.83498349834983498</v>
      </c>
      <c r="J7" s="152">
        <v>0.86138613861386137</v>
      </c>
      <c r="K7" s="152">
        <v>0.63696369636963701</v>
      </c>
      <c r="L7" s="152">
        <v>0.73927392739273923</v>
      </c>
      <c r="M7" s="152">
        <v>0.72277227722772275</v>
      </c>
      <c r="N7" s="152">
        <v>0.83168316831683164</v>
      </c>
      <c r="O7" s="152">
        <v>0.83498349834983498</v>
      </c>
      <c r="P7" s="152">
        <v>0.85808580858085803</v>
      </c>
      <c r="Q7" s="152">
        <v>1.0726072607260726</v>
      </c>
      <c r="R7" s="152">
        <v>1.4125412541254125</v>
      </c>
      <c r="S7" s="152">
        <v>1.056105610561056</v>
      </c>
      <c r="T7" s="152">
        <v>0.94389438943894388</v>
      </c>
      <c r="U7" s="152">
        <v>1.1122112211221122</v>
      </c>
      <c r="V7" s="152">
        <v>0.92079207920792083</v>
      </c>
      <c r="W7" s="152">
        <v>0.73927392739273923</v>
      </c>
      <c r="X7" s="152">
        <v>0.83828382838283833</v>
      </c>
      <c r="Y7" s="159">
        <v>0.90429042904290424</v>
      </c>
      <c r="Z7" s="152">
        <v>1.3036303630363035</v>
      </c>
      <c r="AA7" s="152">
        <v>1.6171617161716172</v>
      </c>
      <c r="AB7" s="152">
        <v>1.5082508250825082</v>
      </c>
    </row>
    <row r="8" spans="1:28">
      <c r="A8" s="136" t="s">
        <v>117</v>
      </c>
      <c r="B8" s="152">
        <v>1</v>
      </c>
      <c r="C8" s="152">
        <v>0.27259036144578314</v>
      </c>
      <c r="D8" s="152">
        <v>1.1189759036144578</v>
      </c>
      <c r="E8" s="152">
        <v>0.81174698795180722</v>
      </c>
      <c r="F8" s="152">
        <v>10.466867469879517</v>
      </c>
      <c r="G8" s="152">
        <v>2.5150602409638556E-4</v>
      </c>
      <c r="H8" s="152">
        <v>0.90361445783132532</v>
      </c>
      <c r="I8" s="152">
        <v>0.67469879518072284</v>
      </c>
      <c r="J8" s="152">
        <v>0.55271084337349397</v>
      </c>
      <c r="K8" s="152">
        <v>0.69578313253012047</v>
      </c>
      <c r="L8" s="152">
        <v>0.79819277108433739</v>
      </c>
      <c r="M8" s="152">
        <v>0.83132530120481929</v>
      </c>
      <c r="N8" s="152">
        <v>0.67168674698795183</v>
      </c>
      <c r="O8" s="152">
        <v>0.68524096385542166</v>
      </c>
      <c r="P8" s="152">
        <v>0.35993975903614456</v>
      </c>
      <c r="Q8" s="152">
        <v>0.60993975903614461</v>
      </c>
      <c r="R8" s="152">
        <v>1.3072289156626506</v>
      </c>
      <c r="S8" s="152">
        <v>0.90662650602409633</v>
      </c>
      <c r="T8" s="152">
        <v>0.55572289156626509</v>
      </c>
      <c r="U8" s="152">
        <v>0.78162650602409633</v>
      </c>
      <c r="V8" s="152">
        <v>0.625</v>
      </c>
      <c r="W8" s="152">
        <v>0.54668674698795183</v>
      </c>
      <c r="X8" s="152">
        <v>0.73192771084337349</v>
      </c>
      <c r="Y8" s="159">
        <v>0.73042168674698793</v>
      </c>
      <c r="Z8" s="152">
        <v>0.66415662650602414</v>
      </c>
      <c r="AA8" s="152">
        <v>1.0617469879518073</v>
      </c>
      <c r="AB8" s="152">
        <v>0.84487951807228912</v>
      </c>
    </row>
    <row r="9" spans="1:28">
      <c r="A9" s="136" t="s">
        <v>118</v>
      </c>
      <c r="B9" s="152">
        <v>1</v>
      </c>
      <c r="C9" s="152">
        <v>0.98481973434535108</v>
      </c>
      <c r="D9" s="152">
        <v>1.1119544592030361</v>
      </c>
      <c r="E9" s="152">
        <v>1.3927893738140418</v>
      </c>
      <c r="F9" s="152">
        <v>0.88235294117647056</v>
      </c>
      <c r="G9" s="152">
        <v>0.85958254269449719</v>
      </c>
      <c r="H9" s="152">
        <v>4.743833017077799E-4</v>
      </c>
      <c r="I9" s="152">
        <v>0.82542694497153701</v>
      </c>
      <c r="J9" s="152">
        <v>0.92599620493358636</v>
      </c>
      <c r="K9" s="152">
        <v>0.82163187855787478</v>
      </c>
      <c r="L9" s="152">
        <v>0.89184060721062619</v>
      </c>
      <c r="M9" s="152">
        <v>0.89373814041745736</v>
      </c>
      <c r="N9" s="152">
        <v>0.92409867172675519</v>
      </c>
      <c r="O9" s="152">
        <v>0.78747628083491461</v>
      </c>
      <c r="P9" s="152">
        <v>1.096774193548387</v>
      </c>
      <c r="Q9" s="152">
        <v>1.0796963946869069</v>
      </c>
      <c r="R9" s="152">
        <v>0.66982922201138517</v>
      </c>
      <c r="S9" s="152">
        <v>0.81973434535104361</v>
      </c>
      <c r="T9" s="152">
        <v>1.0227703984819734</v>
      </c>
      <c r="U9" s="152">
        <v>0.82352941176470584</v>
      </c>
      <c r="V9" s="152">
        <v>1.1119544592030361</v>
      </c>
      <c r="W9" s="152">
        <v>0.87286527514231504</v>
      </c>
      <c r="X9" s="152">
        <v>0.82163187855787478</v>
      </c>
      <c r="Y9" s="159">
        <v>1.1195445920303606</v>
      </c>
      <c r="Z9" s="152">
        <v>1.4307400379506641</v>
      </c>
      <c r="AA9" s="152">
        <v>1.316888045540797</v>
      </c>
      <c r="AB9" s="152">
        <v>1.3510436432637571</v>
      </c>
    </row>
    <row r="10" spans="1:28">
      <c r="A10" s="136" t="s">
        <v>149</v>
      </c>
      <c r="B10" s="152">
        <v>1</v>
      </c>
      <c r="C10" s="152">
        <v>0.76328502415458932</v>
      </c>
      <c r="D10" s="152">
        <v>1.2270531400966183</v>
      </c>
      <c r="E10" s="152">
        <v>1.3816425120772946</v>
      </c>
      <c r="F10" s="152">
        <v>0.85024154589371981</v>
      </c>
      <c r="G10" s="152">
        <v>0.92753623188405798</v>
      </c>
      <c r="H10" s="152">
        <v>0.88888888888888884</v>
      </c>
      <c r="I10" s="152">
        <v>0.9371980676328503</v>
      </c>
      <c r="J10" s="152">
        <v>0.87439613526570048</v>
      </c>
      <c r="K10" s="152">
        <v>0.76811594202898548</v>
      </c>
      <c r="L10" s="152">
        <v>0.85990338164251212</v>
      </c>
      <c r="M10" s="152">
        <v>0.71014492753623193</v>
      </c>
      <c r="N10" s="152">
        <v>0.90338164251207731</v>
      </c>
      <c r="O10" s="152">
        <v>0.82125603864734298</v>
      </c>
      <c r="P10" s="152">
        <v>0.91304347826086951</v>
      </c>
      <c r="Q10" s="152">
        <v>0.77777777777777779</v>
      </c>
      <c r="R10" s="152">
        <v>0.71497584541062797</v>
      </c>
      <c r="S10" s="152">
        <v>0.80193236714975846</v>
      </c>
      <c r="T10" s="152">
        <v>0.71014492753623193</v>
      </c>
      <c r="U10" s="152">
        <v>0.95169082125603865</v>
      </c>
      <c r="V10" s="152">
        <v>0.74879227053140096</v>
      </c>
      <c r="W10" s="152">
        <v>0.81159420289855078</v>
      </c>
      <c r="X10" s="152">
        <v>0.95652173913043481</v>
      </c>
      <c r="Y10" s="159">
        <v>0.7439613526570048</v>
      </c>
      <c r="Z10" s="152">
        <v>1.1690821256038648</v>
      </c>
      <c r="AA10" s="152">
        <v>1.6038647342995169</v>
      </c>
      <c r="AB10" s="152">
        <v>1.8695652173913044</v>
      </c>
    </row>
    <row r="11" spans="1:28">
      <c r="A11" s="136" t="s">
        <v>119</v>
      </c>
      <c r="B11" s="152">
        <v>1</v>
      </c>
      <c r="C11" s="152">
        <v>0.80717488789237668</v>
      </c>
      <c r="D11" s="152">
        <v>2.3452914798206277</v>
      </c>
      <c r="E11" s="152">
        <v>1.116591928251121</v>
      </c>
      <c r="F11" s="152">
        <v>1.3856502242152466</v>
      </c>
      <c r="G11" s="152">
        <v>1.2466367713004485</v>
      </c>
      <c r="H11" s="152">
        <v>1.0986547085201794</v>
      </c>
      <c r="I11" s="152">
        <v>1.4170403587443947E-4</v>
      </c>
      <c r="J11" s="152">
        <v>1.2825112107623318</v>
      </c>
      <c r="K11" s="152">
        <v>1</v>
      </c>
      <c r="L11" s="152">
        <v>1.0582959641255605</v>
      </c>
      <c r="M11" s="152">
        <v>0.98206278026905824</v>
      </c>
      <c r="N11" s="152">
        <v>0.8565022421524664</v>
      </c>
      <c r="O11" s="152">
        <v>1.0313901345291481</v>
      </c>
      <c r="P11" s="152">
        <v>0.65022421524663676</v>
      </c>
      <c r="Q11" s="152">
        <v>1.1255605381165918</v>
      </c>
      <c r="R11" s="152">
        <v>1.9147982062780269</v>
      </c>
      <c r="S11" s="152">
        <v>0.72197309417040356</v>
      </c>
      <c r="T11" s="152">
        <v>0.77578475336322872</v>
      </c>
      <c r="U11" s="152">
        <v>1.4035874439461884</v>
      </c>
      <c r="V11" s="152">
        <v>0.93273542600896864</v>
      </c>
      <c r="W11" s="152">
        <v>0.71748878923766812</v>
      </c>
      <c r="X11" s="152">
        <v>0.905829596412556</v>
      </c>
      <c r="Y11" s="159">
        <v>1.3183856502242153</v>
      </c>
      <c r="Z11" s="152">
        <v>0.85201793721973096</v>
      </c>
      <c r="AA11" s="152">
        <v>0.62331838565022424</v>
      </c>
      <c r="AB11" s="152">
        <v>0.40582959641255606</v>
      </c>
    </row>
    <row r="12" spans="1:28">
      <c r="A12" s="136" t="s">
        <v>150</v>
      </c>
      <c r="B12" s="152">
        <v>1</v>
      </c>
      <c r="C12" s="152">
        <v>0.8</v>
      </c>
      <c r="D12" s="152">
        <v>1.4140127388535031</v>
      </c>
      <c r="E12" s="152">
        <v>1.4777070063694266</v>
      </c>
      <c r="F12" s="152">
        <v>1.2140127388535031</v>
      </c>
      <c r="G12" s="152">
        <v>0.94649681528662422</v>
      </c>
      <c r="H12" s="152">
        <v>0.80509554140127393</v>
      </c>
      <c r="I12" s="152">
        <v>1.0828025477707006</v>
      </c>
      <c r="J12" s="152">
        <v>0.98853503184713376</v>
      </c>
      <c r="K12" s="152">
        <v>0.89681528662420384</v>
      </c>
      <c r="L12" s="152">
        <v>0.96687898089171975</v>
      </c>
      <c r="M12" s="152">
        <v>1.045859872611465</v>
      </c>
      <c r="N12" s="152">
        <v>0.87643312101910831</v>
      </c>
      <c r="O12" s="152">
        <v>0.89554140127388537</v>
      </c>
      <c r="P12" s="152">
        <v>1.1592356687898089</v>
      </c>
      <c r="Q12" s="152">
        <v>0.98726114649681529</v>
      </c>
      <c r="R12" s="152">
        <v>1.2152866242038216</v>
      </c>
      <c r="S12" s="152">
        <v>1.1070063694267516</v>
      </c>
      <c r="T12" s="152">
        <v>0.9031847133757962</v>
      </c>
      <c r="U12" s="152">
        <v>0.82675159235668794</v>
      </c>
      <c r="V12" s="152">
        <v>1.089171974522293</v>
      </c>
      <c r="W12" s="152">
        <v>1.0114649681528662</v>
      </c>
      <c r="X12" s="152">
        <v>0.7579617834394905</v>
      </c>
      <c r="Y12" s="159">
        <v>0.98089171974522293</v>
      </c>
      <c r="Z12" s="152">
        <v>1.4522292993630572</v>
      </c>
      <c r="AA12" s="152">
        <v>1.8853503184713376</v>
      </c>
      <c r="AB12" s="152">
        <v>1.605095541401274</v>
      </c>
    </row>
    <row r="13" spans="1:28">
      <c r="A13" s="136" t="s">
        <v>151</v>
      </c>
      <c r="B13" s="152">
        <v>1</v>
      </c>
      <c r="C13" s="152">
        <v>0.94503171247357298</v>
      </c>
      <c r="D13" s="152">
        <v>1.2389006342494715</v>
      </c>
      <c r="E13" s="152">
        <v>1.1585623678646935</v>
      </c>
      <c r="F13" s="152">
        <v>1.1353065539112051</v>
      </c>
      <c r="G13" s="152">
        <v>1.0486257928118394</v>
      </c>
      <c r="H13" s="152">
        <v>0.93868921775898517</v>
      </c>
      <c r="I13" s="152">
        <v>1.0930232558139534</v>
      </c>
      <c r="J13" s="152">
        <v>0.97674418604651159</v>
      </c>
      <c r="K13" s="152">
        <v>0.9915433403805497</v>
      </c>
      <c r="L13" s="152">
        <v>1.0528541226215644</v>
      </c>
      <c r="M13" s="152">
        <v>0.91120507399577166</v>
      </c>
      <c r="N13" s="152">
        <v>0.97251585623678649</v>
      </c>
      <c r="O13" s="152">
        <v>0.91331923890063427</v>
      </c>
      <c r="P13" s="152">
        <v>1.3065539112050739</v>
      </c>
      <c r="Q13" s="152">
        <v>0.67441860465116277</v>
      </c>
      <c r="R13" s="152">
        <v>1.1945031712473573</v>
      </c>
      <c r="S13" s="152">
        <v>0.76955602536997891</v>
      </c>
      <c r="T13" s="152">
        <v>0.90274841437632136</v>
      </c>
      <c r="U13" s="152">
        <v>0.81183932346723042</v>
      </c>
      <c r="V13" s="152">
        <v>0.93234672304439747</v>
      </c>
      <c r="W13" s="152">
        <v>1.0634249471458774</v>
      </c>
      <c r="X13" s="152">
        <v>1.0317124735729386</v>
      </c>
      <c r="Y13" s="159">
        <v>0.69133192389006337</v>
      </c>
      <c r="Z13" s="152">
        <v>1.6553911205073997</v>
      </c>
      <c r="AA13" s="152">
        <v>2.5792811839323466</v>
      </c>
      <c r="AB13" s="152">
        <v>2.8964059196617336</v>
      </c>
    </row>
    <row r="14" spans="1:28">
      <c r="A14" s="136" t="s">
        <v>152</v>
      </c>
      <c r="B14" s="152">
        <v>1</v>
      </c>
      <c r="C14" s="152">
        <v>1.3660062565172055</v>
      </c>
      <c r="D14" s="152">
        <v>0.71532846715328469</v>
      </c>
      <c r="E14" s="152">
        <v>0.4181438998957247</v>
      </c>
      <c r="F14" s="152">
        <v>0.90928050052137643</v>
      </c>
      <c r="G14" s="152">
        <v>1.1157455683003128</v>
      </c>
      <c r="H14" s="152">
        <v>0.96141814389989577</v>
      </c>
      <c r="I14" s="152">
        <v>0.85088633993743479</v>
      </c>
      <c r="J14" s="152">
        <v>0.86027111574556825</v>
      </c>
      <c r="K14" s="152">
        <v>0.82481751824817517</v>
      </c>
      <c r="L14" s="152">
        <v>0.92805005213764336</v>
      </c>
      <c r="M14" s="152">
        <v>1.0291970802919708</v>
      </c>
      <c r="N14" s="152">
        <v>0.96767466110531808</v>
      </c>
      <c r="O14" s="152">
        <v>0.82794577685088633</v>
      </c>
      <c r="P14" s="152">
        <v>0.86027111574556825</v>
      </c>
      <c r="Q14" s="152">
        <v>0.93639207507820643</v>
      </c>
      <c r="R14" s="152">
        <v>0.5578727841501564</v>
      </c>
      <c r="S14" s="152">
        <v>1.0041710114702815</v>
      </c>
      <c r="T14" s="152">
        <v>0.97393117831074039</v>
      </c>
      <c r="U14" s="152">
        <v>1.2095933263816476</v>
      </c>
      <c r="V14" s="152">
        <v>1.0636079249217936</v>
      </c>
      <c r="W14" s="152">
        <v>1.1366006256517205</v>
      </c>
      <c r="X14" s="152">
        <v>0.91345151199165797</v>
      </c>
      <c r="Y14" s="159">
        <v>1.2721584984358707</v>
      </c>
      <c r="Z14" s="152">
        <v>0.41188738269030239</v>
      </c>
      <c r="AA14" s="152">
        <v>0.19290928050052136</v>
      </c>
      <c r="AB14" s="152">
        <v>0.34932221063607927</v>
      </c>
    </row>
    <row r="15" spans="1:28">
      <c r="A15" s="136" t="s">
        <v>153</v>
      </c>
      <c r="B15" s="152">
        <v>1</v>
      </c>
      <c r="C15" s="152">
        <v>0.59507829977628635</v>
      </c>
      <c r="D15" s="152">
        <v>1.0760626398210291</v>
      </c>
      <c r="E15" s="152">
        <v>1.2058165548098434</v>
      </c>
      <c r="F15" s="152">
        <v>1.109619686800895</v>
      </c>
      <c r="G15" s="152">
        <v>0.93288590604026844</v>
      </c>
      <c r="H15" s="152">
        <v>0.75391498881431762</v>
      </c>
      <c r="I15" s="152">
        <v>1.0559284116331096</v>
      </c>
      <c r="J15" s="152">
        <v>0.84787472035794187</v>
      </c>
      <c r="K15" s="152">
        <v>0.8970917225950783</v>
      </c>
      <c r="L15" s="152">
        <v>0.94854586129753915</v>
      </c>
      <c r="M15" s="152">
        <v>0.87472035794183445</v>
      </c>
      <c r="N15" s="152">
        <v>0.79865771812080533</v>
      </c>
      <c r="O15" s="152">
        <v>0.78970917225950787</v>
      </c>
      <c r="P15" s="152">
        <v>1.0380313199105144</v>
      </c>
      <c r="Q15" s="152">
        <v>0.59507829977628635</v>
      </c>
      <c r="R15" s="152">
        <v>0.7941834451901566</v>
      </c>
      <c r="S15" s="152">
        <v>0.78299776286353473</v>
      </c>
      <c r="T15" s="152">
        <v>0.76062639821029088</v>
      </c>
      <c r="U15" s="152">
        <v>1.2237136465324385</v>
      </c>
      <c r="V15" s="152">
        <v>0.87919463087248317</v>
      </c>
      <c r="W15" s="152">
        <v>0.96420581655480986</v>
      </c>
      <c r="X15" s="152">
        <v>0.83892617449664431</v>
      </c>
      <c r="Y15" s="159">
        <v>1.7852348993288591</v>
      </c>
      <c r="Z15" s="152">
        <v>0.5145413870246085</v>
      </c>
      <c r="AA15" s="152">
        <v>0.56375838926174493</v>
      </c>
      <c r="AB15" s="152">
        <v>1.0178970917225951</v>
      </c>
    </row>
    <row r="16" spans="1:28">
      <c r="A16" s="136" t="s">
        <v>154</v>
      </c>
      <c r="B16" s="152">
        <v>1</v>
      </c>
      <c r="C16" s="152">
        <v>0.6547085201793722</v>
      </c>
      <c r="D16" s="152">
        <v>1.1524663677130045</v>
      </c>
      <c r="E16" s="152">
        <v>1.2690582959641257</v>
      </c>
      <c r="F16" s="152">
        <v>0.98654708520179368</v>
      </c>
      <c r="G16" s="152">
        <v>0.820627802690583</v>
      </c>
      <c r="H16" s="152">
        <v>0.77578475336322872</v>
      </c>
      <c r="I16" s="152">
        <v>0.95515695067264572</v>
      </c>
      <c r="J16" s="152">
        <v>0.93273542600896864</v>
      </c>
      <c r="K16" s="152">
        <v>1.0896860986547086</v>
      </c>
      <c r="L16" s="152">
        <v>1.0224215246636772</v>
      </c>
      <c r="M16" s="152">
        <v>0.9641255605381166</v>
      </c>
      <c r="N16" s="152">
        <v>0.8699551569506726</v>
      </c>
      <c r="O16" s="152">
        <v>1.1390134529147982</v>
      </c>
      <c r="P16" s="152">
        <v>0.92376681614349776</v>
      </c>
      <c r="Q16" s="152">
        <v>1.0224215246636772</v>
      </c>
      <c r="R16" s="152">
        <v>1.2197309417040358</v>
      </c>
      <c r="S16" s="152">
        <v>0.87443946188340804</v>
      </c>
      <c r="T16" s="152">
        <v>0.88340807174887892</v>
      </c>
      <c r="U16" s="152">
        <v>0.61434977578475336</v>
      </c>
      <c r="V16" s="152">
        <v>0.99103139013452912</v>
      </c>
      <c r="W16" s="152">
        <v>0.905829596412556</v>
      </c>
      <c r="X16" s="152">
        <v>0.76681614349775784</v>
      </c>
      <c r="Y16" s="159">
        <v>0.98654708520179368</v>
      </c>
      <c r="Z16" s="152">
        <v>0.99551569506726456</v>
      </c>
      <c r="AA16" s="152">
        <v>1.8475336322869955</v>
      </c>
      <c r="AB16" s="152">
        <v>1.789237668161435</v>
      </c>
    </row>
    <row r="17" spans="1:28">
      <c r="A17" s="136" t="s">
        <v>121</v>
      </c>
      <c r="B17" s="152">
        <v>1</v>
      </c>
      <c r="C17" s="152">
        <v>0.85357142857142854</v>
      </c>
      <c r="D17" s="152">
        <v>0.86071428571428577</v>
      </c>
      <c r="E17" s="152">
        <v>0.8035714285714286</v>
      </c>
      <c r="F17" s="152">
        <v>0.92142857142857137</v>
      </c>
      <c r="G17" s="152">
        <v>0.99642857142857144</v>
      </c>
      <c r="H17" s="152">
        <v>0.74285714285714288</v>
      </c>
      <c r="I17" s="152">
        <v>1.0357142857142858</v>
      </c>
      <c r="J17" s="152">
        <v>6.8928571428571423E-31</v>
      </c>
      <c r="K17" s="152">
        <v>0.71785714285714286</v>
      </c>
      <c r="L17" s="152">
        <v>0.73571428571428577</v>
      </c>
      <c r="M17" s="152">
        <v>0.8214285714285714</v>
      </c>
      <c r="N17" s="152">
        <v>0.6785714285714286</v>
      </c>
      <c r="O17" s="152">
        <v>0.75714285714285712</v>
      </c>
      <c r="P17" s="152">
        <v>0.8</v>
      </c>
      <c r="Q17" s="152">
        <v>0.58571428571428574</v>
      </c>
      <c r="R17" s="152">
        <v>1.0071428571428571</v>
      </c>
      <c r="S17" s="152">
        <v>0.85</v>
      </c>
      <c r="T17" s="152">
        <v>0.70357142857142863</v>
      </c>
      <c r="U17" s="152">
        <v>0.90714285714285714</v>
      </c>
      <c r="V17" s="152">
        <v>0.8035714285714286</v>
      </c>
      <c r="W17" s="152">
        <v>0.88214285714285712</v>
      </c>
      <c r="X17" s="152">
        <v>0.75</v>
      </c>
      <c r="Y17" s="159">
        <v>1.0392857142857144</v>
      </c>
      <c r="Z17" s="152">
        <v>0.7857142857142857</v>
      </c>
      <c r="AA17" s="152">
        <v>0.96785714285714286</v>
      </c>
      <c r="AB17" s="152">
        <v>1.0107142857142857</v>
      </c>
    </row>
    <row r="18" spans="1:28">
      <c r="A18" s="136" t="s">
        <v>122</v>
      </c>
      <c r="B18" s="152">
        <v>1</v>
      </c>
      <c r="C18" s="152">
        <v>0.89189189189189189</v>
      </c>
      <c r="D18" s="152">
        <v>0.87567567567567572</v>
      </c>
      <c r="E18" s="152">
        <v>0.92972972972972978</v>
      </c>
      <c r="F18" s="152">
        <v>1.3135135135135134</v>
      </c>
      <c r="G18" s="152">
        <v>0.87027027027027026</v>
      </c>
      <c r="H18" s="152">
        <v>0.67027027027027031</v>
      </c>
      <c r="I18" s="152">
        <v>0.83783783783783783</v>
      </c>
      <c r="J18" s="152">
        <v>0.78918918918918923</v>
      </c>
      <c r="K18" s="152">
        <v>1.8972972972972973E-3</v>
      </c>
      <c r="L18" s="152">
        <v>0.92432432432432432</v>
      </c>
      <c r="M18" s="152">
        <v>1.0162162162162163</v>
      </c>
      <c r="N18" s="152">
        <v>0.97297297297297303</v>
      </c>
      <c r="O18" s="152">
        <v>0.99459459459459465</v>
      </c>
      <c r="P18" s="152">
        <v>1.335135135135135</v>
      </c>
      <c r="Q18" s="152">
        <v>0.71351351351351355</v>
      </c>
      <c r="R18" s="152">
        <v>0.5335135135135135</v>
      </c>
      <c r="S18" s="152">
        <v>0.92432432432432432</v>
      </c>
      <c r="T18" s="152">
        <v>1.0216216216216216</v>
      </c>
      <c r="U18" s="152">
        <v>0.70810810810810809</v>
      </c>
      <c r="V18" s="152">
        <v>1.1621621621621621</v>
      </c>
      <c r="W18" s="152">
        <v>1.0216216216216216</v>
      </c>
      <c r="X18" s="152">
        <v>0.67027027027027031</v>
      </c>
      <c r="Y18" s="159">
        <v>0.95675675675675675</v>
      </c>
      <c r="Z18" s="152">
        <v>1.1243243243243244</v>
      </c>
      <c r="AA18" s="152">
        <v>1.1891891891891893</v>
      </c>
      <c r="AB18" s="152">
        <v>0.91891891891891897</v>
      </c>
    </row>
    <row r="19" spans="1:28">
      <c r="A19" s="136" t="s">
        <v>155</v>
      </c>
      <c r="B19" s="152">
        <v>1</v>
      </c>
      <c r="C19" s="152">
        <v>0.73873873873873874</v>
      </c>
      <c r="D19" s="152">
        <v>1.2162162162162162</v>
      </c>
      <c r="E19" s="152">
        <v>1.0315315315315314</v>
      </c>
      <c r="F19" s="152">
        <v>1.0765765765765767</v>
      </c>
      <c r="G19" s="152">
        <v>1.027027027027027</v>
      </c>
      <c r="H19" s="152">
        <v>0.90540540540540537</v>
      </c>
      <c r="I19" s="152">
        <v>1.2252252252252251</v>
      </c>
      <c r="J19" s="152">
        <v>1.0765765765765767</v>
      </c>
      <c r="K19" s="152">
        <v>1.0495495495495495</v>
      </c>
      <c r="L19" s="152">
        <v>0.98648648648648651</v>
      </c>
      <c r="M19" s="152">
        <v>0.95495495495495497</v>
      </c>
      <c r="N19" s="152">
        <v>0.78378378378378377</v>
      </c>
      <c r="O19" s="152">
        <v>1.1036036036036037</v>
      </c>
      <c r="P19" s="152">
        <v>0.83783783783783783</v>
      </c>
      <c r="Q19" s="152">
        <v>0.7927927927927928</v>
      </c>
      <c r="R19" s="152">
        <v>1.2117117117117118</v>
      </c>
      <c r="S19" s="152">
        <v>0.69819819819819817</v>
      </c>
      <c r="T19" s="152">
        <v>0.81531531531531531</v>
      </c>
      <c r="U19" s="152">
        <v>1.0315315315315314</v>
      </c>
      <c r="V19" s="152">
        <v>0.87387387387387383</v>
      </c>
      <c r="W19" s="152">
        <v>0.88738738738738743</v>
      </c>
      <c r="X19" s="152">
        <v>0.8288288288288288</v>
      </c>
      <c r="Y19" s="159">
        <v>1.1621621621621621</v>
      </c>
      <c r="Z19" s="152">
        <v>1.3963963963963963</v>
      </c>
      <c r="AA19" s="152">
        <v>2.6171171171171173</v>
      </c>
      <c r="AB19" s="152">
        <v>2.9099099099099099</v>
      </c>
    </row>
    <row r="20" spans="1:28">
      <c r="A20" s="136" t="s">
        <v>123</v>
      </c>
      <c r="B20" s="152">
        <v>1</v>
      </c>
      <c r="C20" s="152">
        <v>0.93709327548806942</v>
      </c>
      <c r="D20" s="152">
        <v>0.98590021691973972</v>
      </c>
      <c r="E20" s="152">
        <v>0.74728850325379614</v>
      </c>
      <c r="F20" s="152">
        <v>1.5835140997830803</v>
      </c>
      <c r="G20" s="152">
        <v>1.0151843817787418</v>
      </c>
      <c r="H20" s="152">
        <v>0.83188720173535791</v>
      </c>
      <c r="I20" s="152">
        <v>1.059652928416486</v>
      </c>
      <c r="J20" s="152">
        <v>0.87201735357917576</v>
      </c>
      <c r="K20" s="152">
        <v>0.81453362255965289</v>
      </c>
      <c r="L20" s="152">
        <v>1.93058568329718E-3</v>
      </c>
      <c r="M20" s="152">
        <v>1.0108459869848156</v>
      </c>
      <c r="N20" s="152">
        <v>0.80911062906724507</v>
      </c>
      <c r="O20" s="152">
        <v>1.2581344902386118</v>
      </c>
      <c r="P20" s="152">
        <v>1.2147505422993492</v>
      </c>
      <c r="Q20" s="152">
        <v>0.99566160520607372</v>
      </c>
      <c r="R20" s="152">
        <v>1.03470715835141</v>
      </c>
      <c r="S20" s="152">
        <v>1.2364425162689805</v>
      </c>
      <c r="T20" s="152">
        <v>1.0466377440347072</v>
      </c>
      <c r="U20" s="152">
        <v>0.6973969631236443</v>
      </c>
      <c r="V20" s="152">
        <v>0.97830802603036882</v>
      </c>
      <c r="W20" s="152">
        <v>1.0184381778741864</v>
      </c>
      <c r="X20" s="152">
        <v>0.80151843817787416</v>
      </c>
      <c r="Y20" s="159">
        <v>1.0303687635574836</v>
      </c>
      <c r="Z20" s="152">
        <v>1.1388286334056399</v>
      </c>
      <c r="AA20" s="152">
        <v>1.8655097613882863</v>
      </c>
      <c r="AB20" s="152">
        <v>0.95444685466377444</v>
      </c>
    </row>
    <row r="21" spans="1:28">
      <c r="A21" s="136" t="s">
        <v>124</v>
      </c>
      <c r="B21" s="152">
        <v>1</v>
      </c>
      <c r="C21" s="152">
        <v>0.56893203883495147</v>
      </c>
      <c r="D21" s="152">
        <v>1.0194174757281553</v>
      </c>
      <c r="E21" s="152">
        <v>1.1650485436893203</v>
      </c>
      <c r="F21" s="152">
        <v>1.5631067961165048</v>
      </c>
      <c r="G21" s="152">
        <v>0.87087378640776703</v>
      </c>
      <c r="H21" s="152">
        <v>0.7339805825242719</v>
      </c>
      <c r="I21" s="152">
        <v>1.2233009708737863</v>
      </c>
      <c r="J21" s="152">
        <v>0.84563106796116505</v>
      </c>
      <c r="K21" s="152">
        <v>1.0097087378640777</v>
      </c>
      <c r="L21" s="152">
        <v>1.0970873786407767</v>
      </c>
      <c r="M21" s="152">
        <v>7.009708737864077E-31</v>
      </c>
      <c r="N21" s="152">
        <v>0.9407766990291262</v>
      </c>
      <c r="O21" s="152">
        <v>1.116504854368932</v>
      </c>
      <c r="P21" s="152">
        <v>0.94854368932038835</v>
      </c>
      <c r="Q21" s="152">
        <v>0.80679611650485439</v>
      </c>
      <c r="R21" s="152">
        <v>1.1262135922330097</v>
      </c>
      <c r="S21" s="152">
        <v>0.77378640776699026</v>
      </c>
      <c r="T21" s="152">
        <v>0.8679611650485437</v>
      </c>
      <c r="U21" s="152">
        <v>1.029126213592233</v>
      </c>
      <c r="V21" s="152">
        <v>0.95922330097087383</v>
      </c>
      <c r="W21" s="152">
        <v>0.92718446601941751</v>
      </c>
      <c r="X21" s="152">
        <v>0.83398058252427187</v>
      </c>
      <c r="Y21" s="159">
        <v>1.1844660194174756</v>
      </c>
      <c r="Z21" s="152">
        <v>1.145631067961165</v>
      </c>
      <c r="AA21" s="152">
        <v>1.7378640776699028</v>
      </c>
      <c r="AB21" s="152">
        <v>2.1844660194174756</v>
      </c>
    </row>
    <row r="22" spans="1:28">
      <c r="A22" s="136" t="s">
        <v>125</v>
      </c>
      <c r="B22" s="152">
        <v>1</v>
      </c>
      <c r="C22" s="152">
        <v>0.89138576779026213</v>
      </c>
      <c r="D22" s="152">
        <v>0.86891385767790263</v>
      </c>
      <c r="E22" s="152">
        <v>0.75655430711610483</v>
      </c>
      <c r="F22" s="152">
        <v>0.73782771535580527</v>
      </c>
      <c r="G22" s="152">
        <v>0.86891385767790263</v>
      </c>
      <c r="H22" s="152">
        <v>0.79400749063670417</v>
      </c>
      <c r="I22" s="152">
        <v>0.74906367041198507</v>
      </c>
      <c r="J22" s="152">
        <v>0.78277153558052437</v>
      </c>
      <c r="K22" s="152">
        <v>0.82771535580524347</v>
      </c>
      <c r="L22" s="152">
        <v>0.76779026217228463</v>
      </c>
      <c r="M22" s="152">
        <v>0.95880149812734083</v>
      </c>
      <c r="N22" s="152">
        <v>5.0561797752808992E-4</v>
      </c>
      <c r="O22" s="152">
        <v>0.75655430711610483</v>
      </c>
      <c r="P22" s="152">
        <v>0.67790262172284643</v>
      </c>
      <c r="Q22" s="152">
        <v>0.92883895131086147</v>
      </c>
      <c r="R22" s="152">
        <v>0.5168539325842697</v>
      </c>
      <c r="S22" s="152">
        <v>1</v>
      </c>
      <c r="T22" s="152">
        <v>0.8314606741573034</v>
      </c>
      <c r="U22" s="152">
        <v>0.89138576779026213</v>
      </c>
      <c r="V22" s="152">
        <v>0.91760299625468167</v>
      </c>
      <c r="W22" s="152">
        <v>0.86142322097378277</v>
      </c>
      <c r="X22" s="152">
        <v>0.85018726591760296</v>
      </c>
      <c r="Y22" s="159">
        <v>0.89138576779026213</v>
      </c>
      <c r="Z22" s="152">
        <v>0.63295880149812733</v>
      </c>
      <c r="AA22" s="152">
        <v>0.40074906367041196</v>
      </c>
      <c r="AB22" s="152">
        <v>0.2689138576779026</v>
      </c>
    </row>
    <row r="23" spans="1:28">
      <c r="A23" s="136" t="s">
        <v>126</v>
      </c>
      <c r="B23" s="152">
        <v>1</v>
      </c>
      <c r="C23" s="152">
        <v>0.74044795783926221</v>
      </c>
      <c r="D23" s="152">
        <v>1.0500658761528328</v>
      </c>
      <c r="E23" s="152">
        <v>0.93544137022397889</v>
      </c>
      <c r="F23" s="152">
        <v>1.1910408432147563</v>
      </c>
      <c r="G23" s="152">
        <v>0.70223978919631092</v>
      </c>
      <c r="H23" s="152">
        <v>0.66798418972332019</v>
      </c>
      <c r="I23" s="152">
        <v>0.71277997364953882</v>
      </c>
      <c r="J23" s="152">
        <v>0.84189723320158105</v>
      </c>
      <c r="K23" s="152">
        <v>0.56653491436100134</v>
      </c>
      <c r="L23" s="152">
        <v>0.69169960474308301</v>
      </c>
      <c r="M23" s="152">
        <v>0.62714097496706189</v>
      </c>
      <c r="N23" s="152">
        <v>0.73649538866930175</v>
      </c>
      <c r="O23" s="152">
        <v>1.0856389986824769E-3</v>
      </c>
      <c r="P23" s="152">
        <v>0.73122529644268774</v>
      </c>
      <c r="Q23" s="152">
        <v>0.77338603425559949</v>
      </c>
      <c r="R23" s="152">
        <v>0.54413702239789197</v>
      </c>
      <c r="S23" s="152">
        <v>0.56521739130434778</v>
      </c>
      <c r="T23" s="152">
        <v>0.62187088274044799</v>
      </c>
      <c r="U23" s="152">
        <v>0.5836627140974967</v>
      </c>
      <c r="V23" s="152">
        <v>0.66666666666666663</v>
      </c>
      <c r="W23" s="152">
        <v>0.67984189723320154</v>
      </c>
      <c r="X23" s="152">
        <v>0.66666666666666663</v>
      </c>
      <c r="Y23" s="159">
        <v>0.75362318840579712</v>
      </c>
      <c r="Z23" s="152">
        <v>0.83003952569169959</v>
      </c>
      <c r="AA23" s="152">
        <v>1.13965744400527</v>
      </c>
      <c r="AB23" s="152">
        <v>1.383399209486166</v>
      </c>
    </row>
    <row r="24" spans="1:28">
      <c r="A24" s="136" t="s">
        <v>127</v>
      </c>
      <c r="B24" s="152">
        <v>1</v>
      </c>
      <c r="C24" s="152">
        <v>0.26826923076923076</v>
      </c>
      <c r="D24" s="152">
        <v>0.74519230769230771</v>
      </c>
      <c r="E24" s="152">
        <v>0.73173076923076918</v>
      </c>
      <c r="F24" s="152">
        <v>1.0961538461538463</v>
      </c>
      <c r="G24" s="152">
        <v>0.50288461538461537</v>
      </c>
      <c r="H24" s="152">
        <v>0.39807692307692305</v>
      </c>
      <c r="I24" s="152">
        <v>0.68365384615384617</v>
      </c>
      <c r="J24" s="152">
        <v>0.49423076923076925</v>
      </c>
      <c r="K24" s="152">
        <v>0.40769230769230769</v>
      </c>
      <c r="L24" s="152">
        <v>0.43269230769230771</v>
      </c>
      <c r="M24" s="152">
        <v>0.44711538461538464</v>
      </c>
      <c r="N24" s="152">
        <v>0.35673076923076924</v>
      </c>
      <c r="O24" s="152">
        <v>0.64519230769230773</v>
      </c>
      <c r="P24" s="152">
        <v>2.875E-4</v>
      </c>
      <c r="Q24" s="152">
        <v>0.46442307692307694</v>
      </c>
      <c r="R24" s="152">
        <v>0.53846153846153844</v>
      </c>
      <c r="S24" s="152">
        <v>0.6134615384615385</v>
      </c>
      <c r="T24" s="152">
        <v>0.37115384615384617</v>
      </c>
      <c r="U24" s="152">
        <v>0.52500000000000002</v>
      </c>
      <c r="V24" s="152">
        <v>0.34615384615384615</v>
      </c>
      <c r="W24" s="152">
        <v>0.2846153846153846</v>
      </c>
      <c r="X24" s="152">
        <v>0.41442307692307695</v>
      </c>
      <c r="Y24" s="159">
        <v>0.64326923076923082</v>
      </c>
      <c r="Z24" s="152">
        <v>0.44326923076923075</v>
      </c>
      <c r="AA24" s="152">
        <v>0.67692307692307696</v>
      </c>
      <c r="AB24" s="152">
        <v>0.56826923076923075</v>
      </c>
    </row>
    <row r="25" spans="1:28">
      <c r="A25" s="136" t="s">
        <v>128</v>
      </c>
      <c r="B25" s="152">
        <v>1</v>
      </c>
      <c r="C25" s="152">
        <v>0.7100591715976331</v>
      </c>
      <c r="D25" s="152">
        <v>0.9349112426035503</v>
      </c>
      <c r="E25" s="152">
        <v>1.2544378698224852</v>
      </c>
      <c r="F25" s="152">
        <v>0.75147928994082835</v>
      </c>
      <c r="G25" s="152">
        <v>0.84023668639053251</v>
      </c>
      <c r="H25" s="152">
        <v>0.87573964497041423</v>
      </c>
      <c r="I25" s="152">
        <v>0.78106508875739644</v>
      </c>
      <c r="J25" s="152">
        <v>1.0414201183431953</v>
      </c>
      <c r="K25" s="152">
        <v>0.83431952662721898</v>
      </c>
      <c r="L25" s="152">
        <v>0.83431952662721898</v>
      </c>
      <c r="M25" s="152">
        <v>0.76331360946745563</v>
      </c>
      <c r="N25" s="152">
        <v>0.66272189349112431</v>
      </c>
      <c r="O25" s="152">
        <v>0.71597633136094674</v>
      </c>
      <c r="P25" s="152">
        <v>0.73964497041420119</v>
      </c>
      <c r="Q25" s="152">
        <v>5.3668639053254443E-4</v>
      </c>
      <c r="R25" s="152">
        <v>0.82840236686390534</v>
      </c>
      <c r="S25" s="152">
        <v>0.85207100591715978</v>
      </c>
      <c r="T25" s="152">
        <v>0.66863905325443784</v>
      </c>
      <c r="U25" s="152">
        <v>0.79881656804733725</v>
      </c>
      <c r="V25" s="152">
        <v>0.73964497041420119</v>
      </c>
      <c r="W25" s="152">
        <v>0.66863905325443784</v>
      </c>
      <c r="X25" s="152">
        <v>0.7751479289940828</v>
      </c>
      <c r="Y25" s="159">
        <v>0.73964497041420119</v>
      </c>
      <c r="Z25" s="152">
        <v>1.2840236686390532</v>
      </c>
      <c r="AA25" s="152">
        <v>1.9822485207100591</v>
      </c>
      <c r="AB25" s="152">
        <v>2.5680473372781063</v>
      </c>
    </row>
    <row r="26" spans="1:28">
      <c r="A26" s="136" t="s">
        <v>129</v>
      </c>
      <c r="B26" s="152">
        <v>1</v>
      </c>
      <c r="C26" s="152">
        <v>1.0817757009345794</v>
      </c>
      <c r="D26" s="152">
        <v>1.2009345794392523</v>
      </c>
      <c r="E26" s="152">
        <v>1.0537383177570094</v>
      </c>
      <c r="F26" s="152">
        <v>1.1635514018691588</v>
      </c>
      <c r="G26" s="152">
        <v>0.98364485981308414</v>
      </c>
      <c r="H26" s="152">
        <v>0.98130841121495327</v>
      </c>
      <c r="I26" s="152">
        <v>0.95560747663551404</v>
      </c>
      <c r="J26" s="152">
        <v>1.0654205607476634</v>
      </c>
      <c r="K26" s="152">
        <v>0.90887850467289721</v>
      </c>
      <c r="L26" s="152">
        <v>0.96028037383177567</v>
      </c>
      <c r="M26" s="152">
        <v>0.93691588785046731</v>
      </c>
      <c r="N26" s="152">
        <v>0.77336448598130836</v>
      </c>
      <c r="O26" s="152">
        <v>0.98130841121495327</v>
      </c>
      <c r="P26" s="152">
        <v>1.0023364485981308</v>
      </c>
      <c r="Q26" s="152">
        <v>0.7429906542056075</v>
      </c>
      <c r="R26" s="152">
        <v>9.8598130841121489E-4</v>
      </c>
      <c r="S26" s="152">
        <v>0.73598130841121501</v>
      </c>
      <c r="T26" s="152">
        <v>0.89953271028037385</v>
      </c>
      <c r="U26" s="152">
        <v>0.83411214953271029</v>
      </c>
      <c r="V26" s="152">
        <v>0.85514018691588789</v>
      </c>
      <c r="W26" s="152">
        <v>0.92056074766355145</v>
      </c>
      <c r="X26" s="152">
        <v>0.85280373831775702</v>
      </c>
      <c r="Y26" s="159">
        <v>0.81542056074766356</v>
      </c>
      <c r="Z26" s="152">
        <v>1.1028037383177569</v>
      </c>
      <c r="AA26" s="152">
        <v>1.2266355140186915</v>
      </c>
      <c r="AB26" s="152">
        <v>1.4135514018691588</v>
      </c>
    </row>
    <row r="27" spans="1:28">
      <c r="A27" s="136" t="s">
        <v>130</v>
      </c>
      <c r="B27" s="152">
        <v>1</v>
      </c>
      <c r="C27" s="152">
        <v>0.90350877192982459</v>
      </c>
      <c r="D27" s="152">
        <v>0.91447368421052633</v>
      </c>
      <c r="E27" s="152">
        <v>1.3223684210526316</v>
      </c>
      <c r="F27" s="152">
        <v>1.0921052631578947</v>
      </c>
      <c r="G27" s="152">
        <v>0.87061403508771928</v>
      </c>
      <c r="H27" s="152">
        <v>0.80921052631578949</v>
      </c>
      <c r="I27" s="152">
        <v>0.93201754385964908</v>
      </c>
      <c r="J27" s="152">
        <v>1.1206140350877194</v>
      </c>
      <c r="K27" s="152">
        <v>0.93640350877192979</v>
      </c>
      <c r="L27" s="152">
        <v>0.9978070175438597</v>
      </c>
      <c r="M27" s="152">
        <v>0.97807017543859653</v>
      </c>
      <c r="N27" s="152">
        <v>0.9057017543859649</v>
      </c>
      <c r="O27" s="152">
        <v>0.92105263157894735</v>
      </c>
      <c r="P27" s="152">
        <v>1.0263157894736843</v>
      </c>
      <c r="Q27" s="152">
        <v>0.64912280701754388</v>
      </c>
      <c r="R27" s="152">
        <v>0.94956140350877194</v>
      </c>
      <c r="S27" s="152">
        <v>1.0548245614035087E-3</v>
      </c>
      <c r="T27" s="152">
        <v>0.8728070175438597</v>
      </c>
      <c r="U27" s="152">
        <v>0.73903508771929827</v>
      </c>
      <c r="V27" s="152">
        <v>0.95394736842105265</v>
      </c>
      <c r="W27" s="152">
        <v>0.82017543859649122</v>
      </c>
      <c r="X27" s="152">
        <v>0.81359649122807021</v>
      </c>
      <c r="Y27" s="159">
        <v>0.80921052631578949</v>
      </c>
      <c r="Z27" s="152">
        <v>1.006578947368421</v>
      </c>
      <c r="AA27" s="152">
        <v>1.4758771929824561</v>
      </c>
      <c r="AB27" s="152">
        <v>1.486842105263158</v>
      </c>
    </row>
    <row r="28" spans="1:28">
      <c r="A28" s="136" t="s">
        <v>131</v>
      </c>
      <c r="B28" s="152">
        <v>1</v>
      </c>
      <c r="C28" s="152">
        <v>1.2260869565217392</v>
      </c>
      <c r="D28" s="152">
        <v>0.72608695652173916</v>
      </c>
      <c r="E28" s="152">
        <v>1.1391304347826088</v>
      </c>
      <c r="F28" s="152">
        <v>4.2434782608695656</v>
      </c>
      <c r="G28" s="152">
        <v>0.99130434782608701</v>
      </c>
      <c r="H28" s="152">
        <v>2.2782608695652176</v>
      </c>
      <c r="I28" s="152">
        <v>0.731304347826087</v>
      </c>
      <c r="J28" s="152">
        <v>1.2434782608695651</v>
      </c>
      <c r="K28" s="152">
        <v>0.70434782608695656</v>
      </c>
      <c r="L28" s="152">
        <v>0.6878260869565217</v>
      </c>
      <c r="M28" s="152">
        <v>0.99130434782608701</v>
      </c>
      <c r="N28" s="152">
        <v>0.85913043478260864</v>
      </c>
      <c r="O28" s="152">
        <v>0.95652173913043481</v>
      </c>
      <c r="P28" s="152">
        <v>1.3130434782608695</v>
      </c>
      <c r="Q28" s="152">
        <v>1.0695652173913044</v>
      </c>
      <c r="R28" s="152">
        <v>1.6608695652173913</v>
      </c>
      <c r="S28" s="152">
        <v>157.39130434782609</v>
      </c>
      <c r="T28" s="152">
        <v>0.10956521739130434</v>
      </c>
      <c r="U28" s="152">
        <v>0.62</v>
      </c>
      <c r="V28" s="152">
        <v>0.81739130434782614</v>
      </c>
      <c r="W28" s="152">
        <v>0.90434782608695652</v>
      </c>
      <c r="X28" s="152">
        <v>1.4869565217391305</v>
      </c>
      <c r="Y28" s="159">
        <v>0.71304347826086956</v>
      </c>
      <c r="Z28" s="152">
        <v>1.6521739130434783</v>
      </c>
      <c r="AA28" s="152">
        <v>0.82260869565217387</v>
      </c>
      <c r="AB28" s="152">
        <v>0.45826086956521739</v>
      </c>
    </row>
    <row r="29" spans="1:28">
      <c r="A29" s="136" t="s">
        <v>132</v>
      </c>
      <c r="B29" s="152">
        <v>1</v>
      </c>
      <c r="C29" s="152">
        <v>0.96491228070175439</v>
      </c>
      <c r="D29" s="152">
        <v>0.81403508771929822</v>
      </c>
      <c r="E29" s="152">
        <v>1.1842105263157894</v>
      </c>
      <c r="F29" s="152">
        <v>0.77105263157894732</v>
      </c>
      <c r="G29" s="152">
        <v>0.86929824561403513</v>
      </c>
      <c r="H29" s="152">
        <v>0.74473684210526314</v>
      </c>
      <c r="I29" s="152">
        <v>0.77982456140350875</v>
      </c>
      <c r="J29" s="152">
        <v>1.0438596491228069</v>
      </c>
      <c r="K29" s="152">
        <v>1.1403508771929824</v>
      </c>
      <c r="L29" s="152">
        <v>1.0614035087719298</v>
      </c>
      <c r="M29" s="152">
        <v>0.90350877192982459</v>
      </c>
      <c r="N29" s="152">
        <v>0.91228070175438591</v>
      </c>
      <c r="O29" s="152">
        <v>0.93859649122807021</v>
      </c>
      <c r="P29" s="152">
        <v>1.0701754385964912</v>
      </c>
      <c r="Q29" s="152">
        <v>1.0087719298245614</v>
      </c>
      <c r="R29" s="152">
        <v>0.59824561403508769</v>
      </c>
      <c r="S29" s="152">
        <v>1.0877192982456141</v>
      </c>
      <c r="T29" s="152">
        <v>1.0701754385964912</v>
      </c>
      <c r="U29" s="152">
        <v>2.8421052631578949E-3</v>
      </c>
      <c r="V29" s="152">
        <v>1.0350877192982457</v>
      </c>
      <c r="W29" s="152">
        <v>0.99122807017543857</v>
      </c>
      <c r="X29" s="152">
        <v>0.75701754385964914</v>
      </c>
      <c r="Y29" s="159">
        <v>0.6333333333333333</v>
      </c>
      <c r="Z29" s="152">
        <v>1.5087719298245614</v>
      </c>
      <c r="AA29" s="152">
        <v>2.1578947368421053</v>
      </c>
      <c r="AB29" s="152">
        <v>2.0877192982456139</v>
      </c>
    </row>
    <row r="30" spans="1:28">
      <c r="A30" s="136" t="s">
        <v>133</v>
      </c>
      <c r="B30" s="152">
        <v>1</v>
      </c>
      <c r="C30" s="152">
        <v>0.60439560439560436</v>
      </c>
      <c r="D30" s="152">
        <v>2.4175824175824174</v>
      </c>
      <c r="E30" s="152">
        <v>1.3186813186813187</v>
      </c>
      <c r="F30" s="152">
        <v>1.2967032967032968</v>
      </c>
      <c r="G30" s="152">
        <v>1.2087912087912087</v>
      </c>
      <c r="H30" s="152">
        <v>1.0714285714285714</v>
      </c>
      <c r="I30" s="152">
        <v>1.3956043956043955</v>
      </c>
      <c r="J30" s="152">
        <v>1.1098901098901099</v>
      </c>
      <c r="K30" s="152">
        <v>0.63406593406593403</v>
      </c>
      <c r="L30" s="152">
        <v>0.81318681318681318</v>
      </c>
      <c r="M30" s="152">
        <v>0.87142857142857144</v>
      </c>
      <c r="N30" s="152">
        <v>0.69890109890109886</v>
      </c>
      <c r="O30" s="152">
        <v>0.86153846153846159</v>
      </c>
      <c r="P30" s="152">
        <v>0.56813186813186811</v>
      </c>
      <c r="Q30" s="152">
        <v>0.89340659340659345</v>
      </c>
      <c r="R30" s="152">
        <v>1.0516483516483517</v>
      </c>
      <c r="S30" s="152">
        <v>0.55164835164835169</v>
      </c>
      <c r="T30" s="152">
        <v>0.60989010989010994</v>
      </c>
      <c r="U30" s="152">
        <v>1.4835164835164836</v>
      </c>
      <c r="V30" s="152">
        <v>7.0439560439560444E-4</v>
      </c>
      <c r="W30" s="152">
        <v>2.2857142857142856</v>
      </c>
      <c r="X30" s="152">
        <v>0.85934065934065929</v>
      </c>
      <c r="Y30" s="159">
        <v>1.3296703296703296</v>
      </c>
      <c r="Z30" s="152">
        <v>0.64725274725274728</v>
      </c>
      <c r="AA30" s="152">
        <v>0.856043956043956</v>
      </c>
      <c r="AB30" s="152">
        <v>0.72747252747252744</v>
      </c>
    </row>
    <row r="31" spans="1:28">
      <c r="A31" s="136" t="s">
        <v>134</v>
      </c>
      <c r="B31" s="152">
        <v>1</v>
      </c>
      <c r="C31" s="152">
        <v>0.6990384615384615</v>
      </c>
      <c r="D31" s="152">
        <v>2.1730769230769229</v>
      </c>
      <c r="E31" s="152">
        <v>1.125</v>
      </c>
      <c r="F31" s="152">
        <v>1.1346153846153846</v>
      </c>
      <c r="G31" s="152">
        <v>1.1346153846153846</v>
      </c>
      <c r="H31" s="152">
        <v>1.0576923076923077</v>
      </c>
      <c r="I31" s="152">
        <v>1.2211538461538463</v>
      </c>
      <c r="J31" s="152">
        <v>1.2115384615384615</v>
      </c>
      <c r="K31" s="152">
        <v>0.71442307692307694</v>
      </c>
      <c r="L31" s="152">
        <v>0.82596153846153841</v>
      </c>
      <c r="M31" s="152">
        <v>0.74519230769230771</v>
      </c>
      <c r="N31" s="152">
        <v>0.6413461538461539</v>
      </c>
      <c r="O31" s="152">
        <v>0.81153846153846154</v>
      </c>
      <c r="P31" s="152">
        <v>0.50288461538461537</v>
      </c>
      <c r="Q31" s="152">
        <v>0.98076923076923073</v>
      </c>
      <c r="R31" s="152">
        <v>1.1346153846153846</v>
      </c>
      <c r="S31" s="152">
        <v>0.6596153846153846</v>
      </c>
      <c r="T31" s="152">
        <v>0.55576923076923079</v>
      </c>
      <c r="U31" s="152">
        <v>1.5096153846153846</v>
      </c>
      <c r="V31" s="152">
        <v>0.56346153846153846</v>
      </c>
      <c r="W31" s="152">
        <v>1.8269230769230769E-3</v>
      </c>
      <c r="X31" s="152">
        <v>0.73076923076923073</v>
      </c>
      <c r="Y31" s="159">
        <v>1.3846153846153846</v>
      </c>
      <c r="Z31" s="152">
        <v>0.58846153846153848</v>
      </c>
      <c r="AA31" s="152">
        <v>0.77307692307692311</v>
      </c>
      <c r="AB31" s="152">
        <v>0.7153846153846154</v>
      </c>
    </row>
    <row r="32" spans="1:28">
      <c r="A32" s="136" t="s">
        <v>135</v>
      </c>
      <c r="B32" s="152">
        <v>1</v>
      </c>
      <c r="C32" s="152">
        <v>0.74522292993630568</v>
      </c>
      <c r="D32" s="152">
        <v>1.1337579617834395</v>
      </c>
      <c r="E32" s="152">
        <v>1.5031847133757963</v>
      </c>
      <c r="F32" s="152">
        <v>0.84076433121019112</v>
      </c>
      <c r="G32" s="152">
        <v>0.8152866242038217</v>
      </c>
      <c r="H32" s="152">
        <v>0.7133757961783439</v>
      </c>
      <c r="I32" s="152">
        <v>0.73885350318471332</v>
      </c>
      <c r="J32" s="152">
        <v>1.2484076433121019</v>
      </c>
      <c r="K32" s="152">
        <v>0.89808917197452232</v>
      </c>
      <c r="L32" s="152">
        <v>0.95541401273885351</v>
      </c>
      <c r="M32" s="152">
        <v>0.86624203821656054</v>
      </c>
      <c r="N32" s="152">
        <v>0.89171974522292996</v>
      </c>
      <c r="O32" s="152">
        <v>0.87898089171974525</v>
      </c>
      <c r="P32" s="152">
        <v>1.5222929936305734</v>
      </c>
      <c r="Q32" s="152">
        <v>0.91719745222929938</v>
      </c>
      <c r="R32" s="152">
        <v>0.54394904458598725</v>
      </c>
      <c r="S32" s="152">
        <v>0.73248407643312097</v>
      </c>
      <c r="T32" s="152">
        <v>1.0254777070063694</v>
      </c>
      <c r="U32" s="152">
        <v>0.71974522292993626</v>
      </c>
      <c r="V32" s="152">
        <v>0.96178343949044587</v>
      </c>
      <c r="W32" s="152">
        <v>0.94904458598726116</v>
      </c>
      <c r="X32" s="152">
        <v>2.8980891719745223E-4</v>
      </c>
      <c r="Y32" s="159">
        <v>0.68152866242038213</v>
      </c>
      <c r="Z32" s="152">
        <v>1.6114649681528663</v>
      </c>
      <c r="AA32" s="152">
        <v>1.9808917197452229</v>
      </c>
      <c r="AB32" s="152">
        <v>2.2675159235668789</v>
      </c>
    </row>
    <row r="33" spans="1:28">
      <c r="A33" s="136" t="s">
        <v>156</v>
      </c>
      <c r="B33" s="152">
        <v>1</v>
      </c>
      <c r="C33" s="152">
        <v>0.61942257217847774</v>
      </c>
      <c r="D33" s="152">
        <v>0.64304461942257218</v>
      </c>
      <c r="E33" s="152">
        <v>1.136482939632546</v>
      </c>
      <c r="F33" s="152">
        <v>0.86351706036745401</v>
      </c>
      <c r="G33" s="152">
        <v>0.66666666666666663</v>
      </c>
      <c r="H33" s="152">
        <v>0.57480314960629919</v>
      </c>
      <c r="I33" s="152">
        <v>0.79002624671916011</v>
      </c>
      <c r="J33" s="152">
        <v>0.93175853018372701</v>
      </c>
      <c r="K33" s="152">
        <v>0.82152230971128604</v>
      </c>
      <c r="L33" s="152">
        <v>0.7427821522309711</v>
      </c>
      <c r="M33" s="152">
        <v>0.77427821522309714</v>
      </c>
      <c r="N33" s="152">
        <v>0.84514435695538059</v>
      </c>
      <c r="O33" s="152">
        <v>1.0472440944881889</v>
      </c>
      <c r="P33" s="152">
        <v>1.3385826771653544</v>
      </c>
      <c r="Q33" s="152">
        <v>0.97112860892388453</v>
      </c>
      <c r="R33" s="152">
        <v>0.28871391076115488</v>
      </c>
      <c r="S33" s="152">
        <v>0.97900262467191601</v>
      </c>
      <c r="T33" s="152">
        <v>0.79790026246719159</v>
      </c>
      <c r="U33" s="152">
        <v>0.67979002624671914</v>
      </c>
      <c r="V33" s="152">
        <v>0.83989501312335957</v>
      </c>
      <c r="W33" s="152">
        <v>0.73228346456692917</v>
      </c>
      <c r="X33" s="152">
        <v>0.71128608923884518</v>
      </c>
      <c r="Y33" s="159">
        <v>0.61154855643044614</v>
      </c>
      <c r="Z33" s="152">
        <v>0.91338582677165359</v>
      </c>
      <c r="AA33" s="152">
        <v>1.5748031496062993</v>
      </c>
      <c r="AB33" s="152">
        <v>1.8950131233595799</v>
      </c>
    </row>
    <row r="34" spans="1:28">
      <c r="A34" s="136" t="s">
        <v>157</v>
      </c>
      <c r="B34" s="152">
        <v>1</v>
      </c>
      <c r="C34" s="152">
        <v>0.56510067114093965</v>
      </c>
      <c r="D34" s="152">
        <v>0.58322147651006706</v>
      </c>
      <c r="E34" s="152">
        <v>2.0604026845637584</v>
      </c>
      <c r="F34" s="152">
        <v>1.0201342281879195</v>
      </c>
      <c r="G34" s="152">
        <v>0.46375838926174495</v>
      </c>
      <c r="H34" s="152">
        <v>0.50872483221476505</v>
      </c>
      <c r="I34" s="152">
        <v>0.6476510067114094</v>
      </c>
      <c r="J34" s="152">
        <v>0.52281879194630876</v>
      </c>
      <c r="K34" s="152">
        <v>0.54765100671140943</v>
      </c>
      <c r="L34" s="152">
        <v>0.5449664429530201</v>
      </c>
      <c r="M34" s="152">
        <v>0.61342281879194627</v>
      </c>
      <c r="N34" s="152">
        <v>0.65503355704697985</v>
      </c>
      <c r="O34" s="152">
        <v>1.9395973154362416</v>
      </c>
      <c r="P34" s="152">
        <v>4.6577181208053693</v>
      </c>
      <c r="Q34" s="152">
        <v>2.9932885906040267</v>
      </c>
      <c r="R34" s="152">
        <v>0.24093959731543624</v>
      </c>
      <c r="S34" s="152">
        <v>0.79194630872483218</v>
      </c>
      <c r="T34" s="152">
        <v>0.66644295302013423</v>
      </c>
      <c r="U34" s="152">
        <v>0.33959731543624161</v>
      </c>
      <c r="V34" s="152">
        <v>0.70469798657718119</v>
      </c>
      <c r="W34" s="152">
        <v>0.58657718120805369</v>
      </c>
      <c r="X34" s="152">
        <v>0.62214765100671143</v>
      </c>
      <c r="Y34" s="159">
        <v>0.39798657718120806</v>
      </c>
      <c r="Z34" s="152">
        <v>0.93288590604026844</v>
      </c>
      <c r="AA34" s="152">
        <v>2.0335570469798658</v>
      </c>
      <c r="AB34" s="152">
        <v>2.3624161073825505</v>
      </c>
    </row>
    <row r="35" spans="1:28">
      <c r="A35" s="136" t="s">
        <v>158</v>
      </c>
      <c r="B35" s="152">
        <v>1</v>
      </c>
      <c r="C35" s="152">
        <v>0.93243243243243246</v>
      </c>
      <c r="D35" s="152">
        <v>0.91216216216216217</v>
      </c>
      <c r="E35" s="152">
        <v>0.54054054054054057</v>
      </c>
      <c r="F35" s="152">
        <v>1.1722972972972974</v>
      </c>
      <c r="G35" s="152">
        <v>0.96959459459459463</v>
      </c>
      <c r="H35" s="152">
        <v>0.82770270270270274</v>
      </c>
      <c r="I35" s="152">
        <v>0.8682432432432432</v>
      </c>
      <c r="J35" s="152">
        <v>1.0337837837837838</v>
      </c>
      <c r="K35" s="152">
        <v>0.95608108108108103</v>
      </c>
      <c r="L35" s="152">
        <v>0.875</v>
      </c>
      <c r="M35" s="152">
        <v>0.84121621621621623</v>
      </c>
      <c r="N35" s="152">
        <v>0.94256756756756754</v>
      </c>
      <c r="O35" s="152">
        <v>1.0675675675675675</v>
      </c>
      <c r="P35" s="152">
        <v>0.85810810810810811</v>
      </c>
      <c r="Q35" s="152">
        <v>0.875</v>
      </c>
      <c r="R35" s="152">
        <v>2.2398648648648649</v>
      </c>
      <c r="S35" s="152">
        <v>1.1452702702702702</v>
      </c>
      <c r="T35" s="152">
        <v>0.93581081081081086</v>
      </c>
      <c r="U35" s="152">
        <v>0.85810810810810811</v>
      </c>
      <c r="V35" s="152">
        <v>0.89527027027027029</v>
      </c>
      <c r="W35" s="152">
        <v>0.91554054054054057</v>
      </c>
      <c r="X35" s="152">
        <v>0.91216216216216217</v>
      </c>
      <c r="Y35" s="159">
        <v>1.2635135135135136</v>
      </c>
      <c r="Z35" s="152">
        <v>0.76013513513513509</v>
      </c>
      <c r="AA35" s="152">
        <v>0.69932432432432434</v>
      </c>
      <c r="AB35" s="152">
        <v>0.56756756756756754</v>
      </c>
    </row>
    <row r="36" spans="1:28">
      <c r="A36" s="136" t="s">
        <v>159</v>
      </c>
      <c r="B36" s="152">
        <v>1</v>
      </c>
      <c r="C36" s="152">
        <v>0.9956521739130435</v>
      </c>
      <c r="D36" s="152">
        <v>0.9826086956521739</v>
      </c>
      <c r="E36" s="152">
        <v>0.64782608695652177</v>
      </c>
      <c r="F36" s="152">
        <v>0.74782608695652175</v>
      </c>
      <c r="G36" s="152">
        <v>0.97391304347826091</v>
      </c>
      <c r="H36" s="152">
        <v>1.1478260869565218</v>
      </c>
      <c r="I36" s="152">
        <v>0.86956521739130432</v>
      </c>
      <c r="J36" s="152">
        <v>1.0695652173913044</v>
      </c>
      <c r="K36" s="152">
        <v>0.93478260869565222</v>
      </c>
      <c r="L36" s="152">
        <v>0.90869565217391302</v>
      </c>
      <c r="M36" s="152">
        <v>0.9695652173913043</v>
      </c>
      <c r="N36" s="152">
        <v>0.96086956521739131</v>
      </c>
      <c r="O36" s="152">
        <v>0.92173913043478262</v>
      </c>
      <c r="P36" s="152">
        <v>0.90869565217391302</v>
      </c>
      <c r="Q36" s="152">
        <v>0.78695652173913044</v>
      </c>
      <c r="R36" s="152">
        <v>0.3734782608695652</v>
      </c>
      <c r="S36" s="152">
        <v>0.63478260869565217</v>
      </c>
      <c r="T36" s="152">
        <v>0.99130434782608701</v>
      </c>
      <c r="U36" s="152">
        <v>0.66086956521739126</v>
      </c>
      <c r="V36" s="152">
        <v>0.9</v>
      </c>
      <c r="W36" s="152">
        <v>0.97391304347826091</v>
      </c>
      <c r="X36" s="152">
        <v>1.0521739130434782</v>
      </c>
      <c r="Y36" s="159">
        <v>0.79565217391304344</v>
      </c>
      <c r="Z36" s="152">
        <v>1.3347826086956522</v>
      </c>
      <c r="AA36" s="152">
        <v>2.2304347826086954</v>
      </c>
      <c r="AB36" s="152">
        <v>2.6826086956521737</v>
      </c>
    </row>
    <row r="37" spans="1:28">
      <c r="A37" s="136" t="s">
        <v>160</v>
      </c>
      <c r="B37" s="152">
        <v>1</v>
      </c>
      <c r="C37" s="152">
        <v>1.0806451612903225</v>
      </c>
      <c r="D37" s="152">
        <v>0.83064516129032262</v>
      </c>
      <c r="E37" s="152">
        <v>0.51693548387096777</v>
      </c>
      <c r="F37" s="152">
        <v>0.6943548387096774</v>
      </c>
      <c r="G37" s="152">
        <v>0.967741935483871</v>
      </c>
      <c r="H37" s="152">
        <v>0.83870967741935487</v>
      </c>
      <c r="I37" s="152">
        <v>0.78870967741935483</v>
      </c>
      <c r="J37" s="152">
        <v>1.0725806451612903</v>
      </c>
      <c r="K37" s="152">
        <v>0.77903225806451615</v>
      </c>
      <c r="L37" s="152">
        <v>0.75403225806451613</v>
      </c>
      <c r="M37" s="152">
        <v>0.7846774193548387</v>
      </c>
      <c r="N37" s="152">
        <v>0.94354838709677424</v>
      </c>
      <c r="O37" s="152">
        <v>0.91129032258064513</v>
      </c>
      <c r="P37" s="152">
        <v>0.83064516129032262</v>
      </c>
      <c r="Q37" s="152">
        <v>0.73306451612903223</v>
      </c>
      <c r="R37" s="152">
        <v>0.50322580645161286</v>
      </c>
      <c r="S37" s="152">
        <v>0.75080645161290327</v>
      </c>
      <c r="T37" s="152">
        <v>0.76290322580645165</v>
      </c>
      <c r="U37" s="152">
        <v>0.80403225806451617</v>
      </c>
      <c r="V37" s="152">
        <v>0.782258064516129</v>
      </c>
      <c r="W37" s="152">
        <v>0.79677419354838708</v>
      </c>
      <c r="X37" s="152">
        <v>1.0080645161290323</v>
      </c>
      <c r="Y37" s="159">
        <v>0.77500000000000002</v>
      </c>
      <c r="Z37" s="152">
        <v>0.89516129032258063</v>
      </c>
      <c r="AA37" s="152">
        <v>1.5564516129032258</v>
      </c>
      <c r="AB37" s="152">
        <v>1.653225806451613</v>
      </c>
    </row>
    <row r="38" spans="1:28">
      <c r="A38" s="136" t="s">
        <v>161</v>
      </c>
      <c r="B38" s="152">
        <v>1</v>
      </c>
      <c r="C38" s="152">
        <v>0.99268292682926829</v>
      </c>
      <c r="D38" s="152">
        <v>0.64878048780487807</v>
      </c>
      <c r="E38" s="152">
        <v>0.84878048780487803</v>
      </c>
      <c r="F38" s="152">
        <v>0.58780487804878045</v>
      </c>
      <c r="G38" s="152">
        <v>0.9</v>
      </c>
      <c r="H38" s="152">
        <v>0.83902439024390241</v>
      </c>
      <c r="I38" s="152">
        <v>0.56585365853658531</v>
      </c>
      <c r="J38" s="152">
        <v>0.80731707317073176</v>
      </c>
      <c r="K38" s="152">
        <v>0.99512195121951219</v>
      </c>
      <c r="L38" s="152">
        <v>0.96585365853658534</v>
      </c>
      <c r="M38" s="152">
        <v>0.92682926829268297</v>
      </c>
      <c r="N38" s="152">
        <v>0.88048780487804879</v>
      </c>
      <c r="O38" s="152">
        <v>0.90731707317073174</v>
      </c>
      <c r="P38" s="152">
        <v>1.0829268292682928</v>
      </c>
      <c r="Q38" s="152">
        <v>0.65121951219512197</v>
      </c>
      <c r="R38" s="152">
        <v>0.56097560975609762</v>
      </c>
      <c r="S38" s="152">
        <v>1.0121951219512195</v>
      </c>
      <c r="T38" s="152">
        <v>0.96097560975609753</v>
      </c>
      <c r="U38" s="152">
        <v>0.52195121951219514</v>
      </c>
      <c r="V38" s="152">
        <v>0.85609756097560974</v>
      </c>
      <c r="W38" s="152">
        <v>0.8878048780487805</v>
      </c>
      <c r="X38" s="152">
        <v>0.93658536585365859</v>
      </c>
      <c r="Y38" s="159">
        <v>0.6658536585365854</v>
      </c>
      <c r="Z38" s="152">
        <v>1.2658536585365854</v>
      </c>
      <c r="AA38" s="152">
        <v>1.1195121951219513</v>
      </c>
      <c r="AB38" s="152">
        <v>1.4951219512195122</v>
      </c>
    </row>
    <row r="39" spans="1:28">
      <c r="A39" s="136" t="s">
        <v>162</v>
      </c>
      <c r="B39" s="152">
        <v>1</v>
      </c>
      <c r="C39" s="152">
        <v>0.82951653944020354</v>
      </c>
      <c r="D39" s="152">
        <v>0.52671755725190839</v>
      </c>
      <c r="E39" s="152">
        <v>0.19440203562340966</v>
      </c>
      <c r="F39" s="152">
        <v>0.61068702290076338</v>
      </c>
      <c r="G39" s="152">
        <v>0.85496183206106868</v>
      </c>
      <c r="H39" s="152">
        <v>0.90585241730279897</v>
      </c>
      <c r="I39" s="152">
        <v>0.78880407124681939</v>
      </c>
      <c r="J39" s="152">
        <v>0.72010178117048351</v>
      </c>
      <c r="K39" s="152">
        <v>0.83969465648854957</v>
      </c>
      <c r="L39" s="152">
        <v>0.76590330788804073</v>
      </c>
      <c r="M39" s="152">
        <v>0.77099236641221369</v>
      </c>
      <c r="N39" s="152">
        <v>0.82697201017811706</v>
      </c>
      <c r="O39" s="152">
        <v>0.83206106870229013</v>
      </c>
      <c r="P39" s="152">
        <v>0.77862595419847325</v>
      </c>
      <c r="Q39" s="152">
        <v>0.73027989821882955</v>
      </c>
      <c r="R39" s="152">
        <v>0.76590330788804073</v>
      </c>
      <c r="S39" s="152">
        <v>0.65903307888040707</v>
      </c>
      <c r="T39" s="152">
        <v>0.84478371501272265</v>
      </c>
      <c r="U39" s="152">
        <v>0.9007633587786259</v>
      </c>
      <c r="V39" s="152">
        <v>0.75826972010178118</v>
      </c>
      <c r="W39" s="152">
        <v>0.89567430025445294</v>
      </c>
      <c r="X39" s="152">
        <v>0.96946564885496178</v>
      </c>
      <c r="Y39" s="159">
        <v>0.64122137404580148</v>
      </c>
      <c r="Z39" s="152">
        <v>0.6717557251908397</v>
      </c>
      <c r="AA39" s="152">
        <v>0.37659033078880405</v>
      </c>
      <c r="AB39" s="152">
        <v>9.7709923664122136E-2</v>
      </c>
    </row>
    <row r="40" spans="1:28">
      <c r="A40" s="136" t="s">
        <v>163</v>
      </c>
      <c r="B40" s="152">
        <v>1</v>
      </c>
      <c r="C40" s="152">
        <v>0.67425320056899007</v>
      </c>
      <c r="D40" s="152">
        <v>1.0611664295874823</v>
      </c>
      <c r="E40" s="152">
        <v>2.2901849217638692</v>
      </c>
      <c r="F40" s="152">
        <v>1.10099573257468</v>
      </c>
      <c r="G40" s="152">
        <v>0.85633001422475108</v>
      </c>
      <c r="H40" s="152">
        <v>0.71692745376955902</v>
      </c>
      <c r="I40" s="152">
        <v>0.80938833570412516</v>
      </c>
      <c r="J40" s="152">
        <v>0.91038406827880514</v>
      </c>
      <c r="K40" s="152">
        <v>1.1678520625889046</v>
      </c>
      <c r="L40" s="152">
        <v>1.2503556187766713</v>
      </c>
      <c r="M40" s="152">
        <v>1.0071123755334281</v>
      </c>
      <c r="N40" s="152">
        <v>1.2617354196301565</v>
      </c>
      <c r="O40" s="152">
        <v>1.2119487908961593</v>
      </c>
      <c r="P40" s="152">
        <v>1.2930298719772404</v>
      </c>
      <c r="Q40" s="152">
        <v>1.0625889046941679</v>
      </c>
      <c r="R40" s="152">
        <v>0.58321479374110952</v>
      </c>
      <c r="S40" s="152">
        <v>1.2389758179231865</v>
      </c>
      <c r="T40" s="152">
        <v>1.1322901849217639</v>
      </c>
      <c r="U40" s="152">
        <v>0.56330014224751068</v>
      </c>
      <c r="V40" s="152">
        <v>1.2532005689900427</v>
      </c>
      <c r="W40" s="152">
        <v>1.1266002844950214</v>
      </c>
      <c r="X40" s="152">
        <v>0.70839260312944519</v>
      </c>
      <c r="Y40" s="159">
        <v>0.65718349928876241</v>
      </c>
      <c r="Z40" s="152">
        <v>1.2731152204836416</v>
      </c>
      <c r="AA40" s="152">
        <v>2.9587482219061165</v>
      </c>
      <c r="AB40" s="152">
        <v>4.6941678520625887</v>
      </c>
    </row>
    <row r="41" spans="1:28">
      <c r="A41" s="136" t="s">
        <v>164</v>
      </c>
      <c r="B41" s="152">
        <v>1</v>
      </c>
      <c r="C41" s="152">
        <v>1.0092879256965945</v>
      </c>
      <c r="D41" s="152">
        <v>0.77399380804953566</v>
      </c>
      <c r="E41" s="152">
        <v>0.43034055727554177</v>
      </c>
      <c r="F41" s="152">
        <v>0.51702786377708976</v>
      </c>
      <c r="G41" s="152">
        <v>0.80804953560371517</v>
      </c>
      <c r="H41" s="152">
        <v>1.0371517027863777</v>
      </c>
      <c r="I41" s="152">
        <v>0.78947368421052633</v>
      </c>
      <c r="J41" s="152">
        <v>0.79566563467492257</v>
      </c>
      <c r="K41" s="152">
        <v>1.0278637770897834</v>
      </c>
      <c r="L41" s="152">
        <v>0.88235294117647056</v>
      </c>
      <c r="M41" s="152">
        <v>0.86687306501547989</v>
      </c>
      <c r="N41" s="152">
        <v>0.85448916408668729</v>
      </c>
      <c r="O41" s="152">
        <v>0.87306501547987614</v>
      </c>
      <c r="P41" s="152">
        <v>0.74613003095975228</v>
      </c>
      <c r="Q41" s="152">
        <v>0.92569659442724461</v>
      </c>
      <c r="R41" s="152">
        <v>0.60371517027863775</v>
      </c>
      <c r="S41" s="152">
        <v>0.78328173374613008</v>
      </c>
      <c r="T41" s="152">
        <v>1.0371517027863777</v>
      </c>
      <c r="U41" s="152">
        <v>0.66873065015479871</v>
      </c>
      <c r="V41" s="152">
        <v>0.84520123839009287</v>
      </c>
      <c r="W41" s="152">
        <v>0.62848297213622295</v>
      </c>
      <c r="X41" s="152">
        <v>0.95975232198142413</v>
      </c>
      <c r="Y41" s="159">
        <v>0.86996904024767807</v>
      </c>
      <c r="Z41" s="152">
        <v>0.76470588235294112</v>
      </c>
      <c r="AA41" s="152">
        <v>0.5851393188854489</v>
      </c>
      <c r="AB41" s="152">
        <v>0.37770897832817335</v>
      </c>
    </row>
    <row r="42" spans="1:28">
      <c r="A42" s="136" t="s">
        <v>165</v>
      </c>
      <c r="B42" s="152">
        <v>1</v>
      </c>
      <c r="C42" s="152">
        <v>0.76290322580645165</v>
      </c>
      <c r="D42" s="152">
        <v>1.1774193548387097</v>
      </c>
      <c r="E42" s="152">
        <v>0.81451612903225812</v>
      </c>
      <c r="F42" s="152">
        <v>0.55241935483870963</v>
      </c>
      <c r="G42" s="152">
        <v>0.81451612903225812</v>
      </c>
      <c r="H42" s="152">
        <v>0.87903225806451613</v>
      </c>
      <c r="I42" s="152">
        <v>0.90322580645161288</v>
      </c>
      <c r="J42" s="152">
        <v>0.89516129032258063</v>
      </c>
      <c r="K42" s="152">
        <v>1</v>
      </c>
      <c r="L42" s="152">
        <v>0.93548387096774188</v>
      </c>
      <c r="M42" s="152">
        <v>0.91935483870967738</v>
      </c>
      <c r="N42" s="152">
        <v>0.71370967741935487</v>
      </c>
      <c r="O42" s="152">
        <v>0.79838709677419351</v>
      </c>
      <c r="P42" s="152">
        <v>0.83064516129032262</v>
      </c>
      <c r="Q42" s="152">
        <v>0.83870967741935487</v>
      </c>
      <c r="R42" s="152">
        <v>0.52258064516129032</v>
      </c>
      <c r="S42" s="152">
        <v>0.967741935483871</v>
      </c>
      <c r="T42" s="152">
        <v>0.95967741935483875</v>
      </c>
      <c r="U42" s="152">
        <v>0.4653225806451613</v>
      </c>
      <c r="V42" s="152">
        <v>0.83064516129032262</v>
      </c>
      <c r="W42" s="152">
        <v>0.83870967741935487</v>
      </c>
      <c r="X42" s="152">
        <v>0.82258064516129037</v>
      </c>
      <c r="Y42" s="159">
        <v>0.74919354838709673</v>
      </c>
      <c r="Z42" s="152">
        <v>0.93548387096774188</v>
      </c>
      <c r="AA42" s="152">
        <v>1.185483870967742</v>
      </c>
      <c r="AB42" s="152">
        <v>1.217741935483871</v>
      </c>
    </row>
    <row r="43" spans="1:28">
      <c r="A43" s="136" t="s">
        <v>166</v>
      </c>
      <c r="B43" s="152">
        <v>1</v>
      </c>
      <c r="C43" s="152">
        <v>1.0854700854700854</v>
      </c>
      <c r="D43" s="152">
        <v>0.67094017094017089</v>
      </c>
      <c r="E43" s="152">
        <v>1.2393162393162394</v>
      </c>
      <c r="F43" s="152">
        <v>0.44358974358974357</v>
      </c>
      <c r="G43" s="152">
        <v>1.0085470085470085</v>
      </c>
      <c r="H43" s="152">
        <v>0.78888888888888886</v>
      </c>
      <c r="I43" s="152">
        <v>0.847008547008547</v>
      </c>
      <c r="J43" s="152">
        <v>0.88034188034188032</v>
      </c>
      <c r="K43" s="152">
        <v>0.89743589743589747</v>
      </c>
      <c r="L43" s="152">
        <v>0.99145299145299148</v>
      </c>
      <c r="M43" s="152">
        <v>1.0769230769230769</v>
      </c>
      <c r="N43" s="152">
        <v>0.99145299145299148</v>
      </c>
      <c r="O43" s="152">
        <v>1.0427350427350428</v>
      </c>
      <c r="P43" s="152">
        <v>1.0427350427350428</v>
      </c>
      <c r="Q43" s="152">
        <v>1.0256410256410255</v>
      </c>
      <c r="R43" s="152">
        <v>0.52393162393162396</v>
      </c>
      <c r="S43" s="152">
        <v>0.92307692307692313</v>
      </c>
      <c r="T43" s="152">
        <v>1.1538461538461537</v>
      </c>
      <c r="U43" s="152">
        <v>0.63760683760683756</v>
      </c>
      <c r="V43" s="152">
        <v>1.1367521367521367</v>
      </c>
      <c r="W43" s="152">
        <v>1.1025641025641026</v>
      </c>
      <c r="X43" s="152">
        <v>1.0683760683760684</v>
      </c>
      <c r="Y43" s="159">
        <v>0.88034188034188032</v>
      </c>
      <c r="Z43" s="152">
        <v>0.92307692307692313</v>
      </c>
      <c r="AA43" s="152">
        <v>0.63504273504273501</v>
      </c>
      <c r="AB43" s="152">
        <v>0.64273504273504278</v>
      </c>
    </row>
    <row r="44" spans="1:28">
      <c r="A44" s="136" t="s">
        <v>167</v>
      </c>
      <c r="B44" s="152">
        <v>1</v>
      </c>
      <c r="C44" s="152">
        <v>0.71830985915492962</v>
      </c>
      <c r="D44" s="152">
        <v>1.0387323943661972</v>
      </c>
      <c r="E44" s="152">
        <v>0.53521126760563376</v>
      </c>
      <c r="F44" s="152">
        <v>0.56338028169014087</v>
      </c>
      <c r="G44" s="152">
        <v>0.93661971830985913</v>
      </c>
      <c r="H44" s="152">
        <v>0.92253521126760563</v>
      </c>
      <c r="I44" s="152">
        <v>0.82746478873239437</v>
      </c>
      <c r="J44" s="152">
        <v>0.98943661971830987</v>
      </c>
      <c r="K44" s="152">
        <v>0.68661971830985913</v>
      </c>
      <c r="L44" s="152">
        <v>0.71830985915492962</v>
      </c>
      <c r="M44" s="152">
        <v>0.5880281690140845</v>
      </c>
      <c r="N44" s="152">
        <v>0.60915492957746475</v>
      </c>
      <c r="O44" s="152">
        <v>0.66901408450704225</v>
      </c>
      <c r="P44" s="152">
        <v>0.43309859154929575</v>
      </c>
      <c r="Q44" s="152">
        <v>0.83098591549295775</v>
      </c>
      <c r="R44" s="152">
        <v>1.4190140845070423</v>
      </c>
      <c r="S44" s="152">
        <v>0.48239436619718312</v>
      </c>
      <c r="T44" s="152">
        <v>0.57746478873239437</v>
      </c>
      <c r="U44" s="152">
        <v>0.77464788732394363</v>
      </c>
      <c r="V44" s="152">
        <v>0.55633802816901412</v>
      </c>
      <c r="W44" s="152">
        <v>0.55281690140845074</v>
      </c>
      <c r="X44" s="152">
        <v>0.80281690140845074</v>
      </c>
      <c r="Y44" s="159">
        <v>0.80281690140845074</v>
      </c>
      <c r="Z44" s="152">
        <v>0.5598591549295775</v>
      </c>
      <c r="AA44" s="152">
        <v>0.38028169014084506</v>
      </c>
      <c r="AB44" s="152">
        <v>0.26478873239436618</v>
      </c>
    </row>
    <row r="45" spans="1:28">
      <c r="A45" s="136" t="s">
        <v>168</v>
      </c>
      <c r="B45" s="152">
        <v>1</v>
      </c>
      <c r="C45" s="152">
        <v>0.87731811697574891</v>
      </c>
      <c r="D45" s="152">
        <v>0.71326676176890158</v>
      </c>
      <c r="E45" s="152">
        <v>0.9900142653352354</v>
      </c>
      <c r="F45" s="152">
        <v>0.4037089871611983</v>
      </c>
      <c r="G45" s="152">
        <v>0.78031383737517834</v>
      </c>
      <c r="H45" s="152">
        <v>0.9115549215406562</v>
      </c>
      <c r="I45" s="152">
        <v>0.58487874465049927</v>
      </c>
      <c r="J45" s="152">
        <v>0.79457917261055633</v>
      </c>
      <c r="K45" s="152">
        <v>0.83309557774607701</v>
      </c>
      <c r="L45" s="152">
        <v>0.91440798858773176</v>
      </c>
      <c r="M45" s="152">
        <v>0.91868758915834525</v>
      </c>
      <c r="N45" s="152">
        <v>0.94721825962910133</v>
      </c>
      <c r="O45" s="152">
        <v>0.67902995720399428</v>
      </c>
      <c r="P45" s="152">
        <v>0.71469329529243941</v>
      </c>
      <c r="Q45" s="152">
        <v>0.79885877318116971</v>
      </c>
      <c r="R45" s="152">
        <v>0.31241084165477889</v>
      </c>
      <c r="S45" s="152">
        <v>0.71041369472182592</v>
      </c>
      <c r="T45" s="152">
        <v>0.98573466476462202</v>
      </c>
      <c r="U45" s="152">
        <v>0.85592011412268187</v>
      </c>
      <c r="V45" s="152">
        <v>0.84165477888730389</v>
      </c>
      <c r="W45" s="152">
        <v>0.92296718972895864</v>
      </c>
      <c r="X45" s="152">
        <v>1.0242510699001426</v>
      </c>
      <c r="Y45" s="159">
        <v>0.75320970042796009</v>
      </c>
      <c r="Z45" s="152">
        <v>0.84736091298145511</v>
      </c>
      <c r="AA45" s="152">
        <v>0.56776034236804562</v>
      </c>
      <c r="AB45" s="152">
        <v>0.60342368045649075</v>
      </c>
    </row>
    <row r="46" spans="1:28">
      <c r="A46" s="136" t="s">
        <v>169</v>
      </c>
      <c r="B46" s="152">
        <v>1</v>
      </c>
      <c r="C46" s="152">
        <v>0.97115384615384615</v>
      </c>
      <c r="D46" s="152">
        <v>0.5903846153846154</v>
      </c>
      <c r="E46" s="152">
        <v>1.0288461538461537</v>
      </c>
      <c r="F46" s="152">
        <v>0.4826923076923077</v>
      </c>
      <c r="G46" s="152">
        <v>0.75192307692307692</v>
      </c>
      <c r="H46" s="152">
        <v>0.92019230769230764</v>
      </c>
      <c r="I46" s="152">
        <v>0.63461538461538458</v>
      </c>
      <c r="J46" s="152">
        <v>0.84615384615384615</v>
      </c>
      <c r="K46" s="152">
        <v>0.76249999999999996</v>
      </c>
      <c r="L46" s="152">
        <v>0.79903846153846159</v>
      </c>
      <c r="M46" s="152">
        <v>0.71346153846153848</v>
      </c>
      <c r="N46" s="152">
        <v>0.75096153846153846</v>
      </c>
      <c r="O46" s="152">
        <v>0.59519230769230769</v>
      </c>
      <c r="P46" s="152">
        <v>0.82307692307692304</v>
      </c>
      <c r="Q46" s="152">
        <v>0.80288461538461542</v>
      </c>
      <c r="R46" s="152">
        <v>0.40769230769230769</v>
      </c>
      <c r="S46" s="152">
        <v>0.77115384615384619</v>
      </c>
      <c r="T46" s="152">
        <v>0.82692307692307687</v>
      </c>
      <c r="U46" s="152">
        <v>0.50192307692307692</v>
      </c>
      <c r="V46" s="152">
        <v>0.76249999999999996</v>
      </c>
      <c r="W46" s="152">
        <v>0.66346153846153844</v>
      </c>
      <c r="X46" s="152">
        <v>0.73942307692307696</v>
      </c>
      <c r="Y46" s="159">
        <v>0.5903846153846154</v>
      </c>
      <c r="Z46" s="152">
        <v>0.92788461538461542</v>
      </c>
      <c r="AA46" s="152">
        <v>0.74230769230769234</v>
      </c>
      <c r="AB46" s="152">
        <v>0.95480769230769236</v>
      </c>
    </row>
    <row r="47" spans="1:28">
      <c r="A47" s="136" t="s">
        <v>170</v>
      </c>
      <c r="B47" s="152">
        <v>1</v>
      </c>
      <c r="C47" s="152">
        <v>1.050314465408805</v>
      </c>
      <c r="D47" s="152">
        <v>0.9161425576519916</v>
      </c>
      <c r="E47" s="152">
        <v>1.1174004192872118</v>
      </c>
      <c r="F47" s="152">
        <v>0.38364779874213839</v>
      </c>
      <c r="G47" s="152">
        <v>0.96016771488469599</v>
      </c>
      <c r="H47" s="152">
        <v>0.94129979035639411</v>
      </c>
      <c r="I47" s="152">
        <v>0.78197064989517817</v>
      </c>
      <c r="J47" s="152">
        <v>1.0272536687631026</v>
      </c>
      <c r="K47" s="152">
        <v>1.220125786163522</v>
      </c>
      <c r="L47" s="152">
        <v>1.0922431865828093</v>
      </c>
      <c r="M47" s="152">
        <v>0.94339622641509435</v>
      </c>
      <c r="N47" s="152">
        <v>1.0566037735849056</v>
      </c>
      <c r="O47" s="152">
        <v>0.74004192872117402</v>
      </c>
      <c r="P47" s="152">
        <v>0.87002096436058696</v>
      </c>
      <c r="Q47" s="152">
        <v>1.0398322851153039</v>
      </c>
      <c r="R47" s="152">
        <v>1.0461215932914045</v>
      </c>
      <c r="S47" s="152">
        <v>0.77777777777777779</v>
      </c>
      <c r="T47" s="152">
        <v>0.95597484276729561</v>
      </c>
      <c r="U47" s="152">
        <v>0.98113207547169812</v>
      </c>
      <c r="V47" s="152">
        <v>1.0398322851153039</v>
      </c>
      <c r="W47" s="152">
        <v>1.2348008385744236</v>
      </c>
      <c r="X47" s="152">
        <v>1.278825995807128</v>
      </c>
      <c r="Y47" s="159">
        <v>0.82599580712788256</v>
      </c>
      <c r="Z47" s="152">
        <v>0.91404612159329135</v>
      </c>
      <c r="AA47" s="152">
        <v>0.71488469601677151</v>
      </c>
      <c r="AB47" s="152">
        <v>1.0587002096436058</v>
      </c>
    </row>
    <row r="48" spans="1:28">
      <c r="A48" s="136" t="s">
        <v>171</v>
      </c>
      <c r="B48" s="152">
        <v>1</v>
      </c>
      <c r="C48" s="152">
        <v>0.96323529411764708</v>
      </c>
      <c r="D48" s="152">
        <v>0.88480392156862742</v>
      </c>
      <c r="E48" s="152">
        <v>0.99754901960784315</v>
      </c>
      <c r="F48" s="152">
        <v>0.34558823529411764</v>
      </c>
      <c r="G48" s="152">
        <v>0.87254901960784315</v>
      </c>
      <c r="H48" s="152">
        <v>0.92647058823529416</v>
      </c>
      <c r="I48" s="152">
        <v>0.65441176470588236</v>
      </c>
      <c r="J48" s="152">
        <v>0.87745098039215685</v>
      </c>
      <c r="K48" s="152">
        <v>0.95833333333333337</v>
      </c>
      <c r="L48" s="152">
        <v>0.93627450980392157</v>
      </c>
      <c r="M48" s="152">
        <v>0.80882352941176472</v>
      </c>
      <c r="N48" s="152">
        <v>0.74754901960784315</v>
      </c>
      <c r="O48" s="152">
        <v>0.61764705882352944</v>
      </c>
      <c r="P48" s="152">
        <v>0.84803921568627449</v>
      </c>
      <c r="Q48" s="152">
        <v>0.89460784313725494</v>
      </c>
      <c r="R48" s="152">
        <v>0.95833333333333337</v>
      </c>
      <c r="S48" s="152">
        <v>0.84558823529411764</v>
      </c>
      <c r="T48" s="152">
        <v>0.81127450980392157</v>
      </c>
      <c r="U48" s="152">
        <v>0.7279411764705882</v>
      </c>
      <c r="V48" s="152">
        <v>0.84313725490196079</v>
      </c>
      <c r="W48" s="152">
        <v>0.85049019607843135</v>
      </c>
      <c r="X48" s="152">
        <v>0.77450980392156865</v>
      </c>
      <c r="Y48" s="159">
        <v>0.73774509803921573</v>
      </c>
      <c r="Z48" s="152">
        <v>1.1004901960784315</v>
      </c>
      <c r="AA48" s="152">
        <v>0.96078431372549022</v>
      </c>
      <c r="AB48" s="152">
        <v>1.3602941176470589</v>
      </c>
    </row>
    <row r="49" spans="1:28">
      <c r="A49" s="136" t="s">
        <v>172</v>
      </c>
      <c r="B49" s="152">
        <v>1</v>
      </c>
      <c r="C49" s="152">
        <v>0.82634730538922152</v>
      </c>
      <c r="D49" s="152">
        <v>0.77844311377245512</v>
      </c>
      <c r="E49" s="152">
        <v>0.86826347305389218</v>
      </c>
      <c r="F49" s="152">
        <v>0.38622754491017963</v>
      </c>
      <c r="G49" s="152">
        <v>0.82784431137724546</v>
      </c>
      <c r="H49" s="152">
        <v>0.8892215568862275</v>
      </c>
      <c r="I49" s="152">
        <v>0.69161676646706582</v>
      </c>
      <c r="J49" s="152">
        <v>1.0553892215568863</v>
      </c>
      <c r="K49" s="152">
        <v>1.1077844311377245</v>
      </c>
      <c r="L49" s="152">
        <v>1.0523952095808384</v>
      </c>
      <c r="M49" s="152">
        <v>0.91467065868263475</v>
      </c>
      <c r="N49" s="152">
        <v>0.92365269461077848</v>
      </c>
      <c r="O49" s="152">
        <v>0.75748502994011979</v>
      </c>
      <c r="P49" s="152">
        <v>0.86976047904191611</v>
      </c>
      <c r="Q49" s="152">
        <v>0.90568862275449102</v>
      </c>
      <c r="R49" s="152">
        <v>0.58233532934131738</v>
      </c>
      <c r="S49" s="152">
        <v>0.63023952095808389</v>
      </c>
      <c r="T49" s="152">
        <v>0.98053892215568861</v>
      </c>
      <c r="U49" s="152">
        <v>0.93712574850299402</v>
      </c>
      <c r="V49" s="152">
        <v>0.83083832335329344</v>
      </c>
      <c r="W49" s="152">
        <v>1.0044910179640718</v>
      </c>
      <c r="X49" s="152">
        <v>1.0928143712574849</v>
      </c>
      <c r="Y49" s="159">
        <v>0.80688622754491013</v>
      </c>
      <c r="Z49" s="152">
        <v>1.0823353293413174</v>
      </c>
      <c r="AA49" s="152">
        <v>0.8532934131736527</v>
      </c>
      <c r="AB49" s="152">
        <v>0.86976047904191611</v>
      </c>
    </row>
    <row r="50" spans="1:28">
      <c r="A50" s="136" t="s">
        <v>173</v>
      </c>
      <c r="B50" s="152">
        <v>1</v>
      </c>
      <c r="C50" s="152">
        <v>1.2394822006472492</v>
      </c>
      <c r="D50" s="152">
        <v>0.75404530744336573</v>
      </c>
      <c r="E50" s="152">
        <v>0.7637540453074434</v>
      </c>
      <c r="F50" s="152">
        <v>0.3080906148867314</v>
      </c>
      <c r="G50" s="152">
        <v>1.0906148867313916</v>
      </c>
      <c r="H50" s="152">
        <v>0.96440129449838186</v>
      </c>
      <c r="I50" s="152">
        <v>0.68284789644012944</v>
      </c>
      <c r="J50" s="152">
        <v>0.96763754045307449</v>
      </c>
      <c r="K50" s="152">
        <v>0.98381877022653719</v>
      </c>
      <c r="L50" s="152">
        <v>0.87702265372168287</v>
      </c>
      <c r="M50" s="152">
        <v>0.71521035598705507</v>
      </c>
      <c r="N50" s="152">
        <v>0.69255663430420711</v>
      </c>
      <c r="O50" s="152">
        <v>0.61488673139158578</v>
      </c>
      <c r="P50" s="152">
        <v>0.81229773462783172</v>
      </c>
      <c r="Q50" s="152">
        <v>0.79611650485436891</v>
      </c>
      <c r="R50" s="152">
        <v>0.50809061488673135</v>
      </c>
      <c r="S50" s="152">
        <v>0.72168284789644011</v>
      </c>
      <c r="T50" s="152">
        <v>0.84789644012944987</v>
      </c>
      <c r="U50" s="152">
        <v>0.73139158576051777</v>
      </c>
      <c r="V50" s="152">
        <v>0.79611650485436891</v>
      </c>
      <c r="W50" s="152">
        <v>0.7799352750809061</v>
      </c>
      <c r="X50" s="152">
        <v>0.88996763754045305</v>
      </c>
      <c r="Y50" s="159">
        <v>0.66990291262135926</v>
      </c>
      <c r="Z50" s="152">
        <v>0.86084142394822005</v>
      </c>
      <c r="AA50" s="152">
        <v>0.6763754045307443</v>
      </c>
      <c r="AB50" s="152">
        <v>0.51132686084142398</v>
      </c>
    </row>
    <row r="51" spans="1:28">
      <c r="A51" s="136" t="s">
        <v>174</v>
      </c>
      <c r="B51" s="152">
        <v>1</v>
      </c>
      <c r="C51" s="152">
        <v>0.96419437340153458</v>
      </c>
      <c r="D51" s="152">
        <v>1.3554987212276215</v>
      </c>
      <c r="E51" s="152">
        <v>0.47570332480818417</v>
      </c>
      <c r="F51" s="152">
        <v>1.0703324808184143</v>
      </c>
      <c r="G51" s="152">
        <v>0.94629156010230175</v>
      </c>
      <c r="H51" s="152">
        <v>0.8107416879795396</v>
      </c>
      <c r="I51" s="152">
        <v>1.2787723785166241</v>
      </c>
      <c r="J51" s="152">
        <v>0.84782608695652173</v>
      </c>
      <c r="K51" s="152">
        <v>0.83503836317135549</v>
      </c>
      <c r="L51" s="152">
        <v>0.75191815856777489</v>
      </c>
      <c r="M51" s="152">
        <v>1.1010230179028133</v>
      </c>
      <c r="N51" s="152">
        <v>0.97442455242966752</v>
      </c>
      <c r="O51" s="152">
        <v>1.2506393861892584</v>
      </c>
      <c r="P51" s="152">
        <v>0.72506393861892582</v>
      </c>
      <c r="Q51" s="152">
        <v>1.1675191815856778</v>
      </c>
      <c r="R51" s="152">
        <v>1.1381074168797953</v>
      </c>
      <c r="S51" s="152">
        <v>1.1687979539641944</v>
      </c>
      <c r="T51" s="152">
        <v>1.0358056265984654</v>
      </c>
      <c r="U51" s="152">
        <v>1.1278772378516624</v>
      </c>
      <c r="V51" s="152">
        <v>1.0626598465473145</v>
      </c>
      <c r="W51" s="152">
        <v>1.0562659846547315</v>
      </c>
      <c r="X51" s="152">
        <v>1.0971867007672633</v>
      </c>
      <c r="Y51" s="159">
        <v>1.1751918158567776</v>
      </c>
      <c r="Z51" s="152">
        <v>0.65345268542199486</v>
      </c>
      <c r="AA51" s="152">
        <v>0.65345268542199486</v>
      </c>
      <c r="AB51" s="152">
        <v>0.36828644501278773</v>
      </c>
    </row>
    <row r="52" spans="1:28">
      <c r="A52" s="136" t="s">
        <v>175</v>
      </c>
      <c r="B52" s="152">
        <v>1</v>
      </c>
      <c r="C52" s="152">
        <v>1.059850374064838</v>
      </c>
      <c r="D52" s="152">
        <v>0.6059850374064838</v>
      </c>
      <c r="E52" s="152">
        <v>0.75062344139650872</v>
      </c>
      <c r="F52" s="152">
        <v>0.34663341645885287</v>
      </c>
      <c r="G52" s="152">
        <v>0.84538653366583538</v>
      </c>
      <c r="H52" s="152">
        <v>1.0049875311720697</v>
      </c>
      <c r="I52" s="152">
        <v>0.76807980049875313</v>
      </c>
      <c r="J52" s="152">
        <v>0.80548628428927682</v>
      </c>
      <c r="K52" s="152">
        <v>1.0074812967581048</v>
      </c>
      <c r="L52" s="152">
        <v>0.96009975062344144</v>
      </c>
      <c r="M52" s="152">
        <v>0.9451371571072319</v>
      </c>
      <c r="N52" s="152">
        <v>0.83042394014962595</v>
      </c>
      <c r="O52" s="152">
        <v>0.75062344139650872</v>
      </c>
      <c r="P52" s="152">
        <v>0.92518703241895262</v>
      </c>
      <c r="Q52" s="152">
        <v>0.98503740648379057</v>
      </c>
      <c r="R52" s="152">
        <v>0.48379052369077308</v>
      </c>
      <c r="S52" s="152">
        <v>0.75311720698254359</v>
      </c>
      <c r="T52" s="152">
        <v>1.1147132169576059</v>
      </c>
      <c r="U52" s="152">
        <v>0.49376558603491272</v>
      </c>
      <c r="V52" s="152">
        <v>0.93765586034912718</v>
      </c>
      <c r="W52" s="152">
        <v>0.97755610972568574</v>
      </c>
      <c r="X52" s="152">
        <v>0.95261845386533661</v>
      </c>
      <c r="Y52" s="159">
        <v>0.79800498753117211</v>
      </c>
      <c r="Z52" s="152">
        <v>0.95261845386533661</v>
      </c>
      <c r="AA52" s="152">
        <v>0.76807980049875313</v>
      </c>
      <c r="AB52" s="152">
        <v>0.8354114713216958</v>
      </c>
    </row>
    <row r="53" spans="1:28">
      <c r="A53" s="136" t="s">
        <v>176</v>
      </c>
      <c r="B53" s="152">
        <v>1</v>
      </c>
      <c r="C53" s="152">
        <v>1.1758241758241759</v>
      </c>
      <c r="D53" s="152">
        <v>0.50183150183150182</v>
      </c>
      <c r="E53" s="152">
        <v>0.68498168498168499</v>
      </c>
      <c r="F53" s="152">
        <v>0.36373626373626372</v>
      </c>
      <c r="G53" s="152">
        <v>0.86080586080586086</v>
      </c>
      <c r="H53" s="152">
        <v>0.9853479853479854</v>
      </c>
      <c r="I53" s="152">
        <v>0.74358974358974361</v>
      </c>
      <c r="J53" s="152">
        <v>0.87179487179487181</v>
      </c>
      <c r="K53" s="152">
        <v>0.8498168498168498</v>
      </c>
      <c r="L53" s="152">
        <v>0.74358974358974361</v>
      </c>
      <c r="M53" s="152">
        <v>0.78021978021978022</v>
      </c>
      <c r="N53" s="152">
        <v>0.79120879120879117</v>
      </c>
      <c r="O53" s="152">
        <v>0.60805860805860801</v>
      </c>
      <c r="P53" s="152">
        <v>0.90842490842490842</v>
      </c>
      <c r="Q53" s="152">
        <v>0.66300366300366298</v>
      </c>
      <c r="R53" s="152">
        <v>0.61172161172161177</v>
      </c>
      <c r="S53" s="152">
        <v>0.92307692307692313</v>
      </c>
      <c r="T53" s="152">
        <v>0.77289377289377292</v>
      </c>
      <c r="U53" s="152">
        <v>0.76923076923076927</v>
      </c>
      <c r="V53" s="152">
        <v>0.8351648351648352</v>
      </c>
      <c r="W53" s="152">
        <v>0.88278388278388276</v>
      </c>
      <c r="X53" s="152">
        <v>1.0293040293040292</v>
      </c>
      <c r="Y53" s="159">
        <v>0.69963369963369959</v>
      </c>
      <c r="Z53" s="152">
        <v>0.87912087912087911</v>
      </c>
      <c r="AA53" s="152">
        <v>0.65567765567765568</v>
      </c>
      <c r="AB53" s="152">
        <v>0.60439560439560436</v>
      </c>
    </row>
    <row r="54" spans="1:28">
      <c r="A54" s="136" t="s">
        <v>177</v>
      </c>
      <c r="B54" s="152">
        <v>1</v>
      </c>
      <c r="C54" s="152">
        <v>0.88164251207729472</v>
      </c>
      <c r="D54" s="152">
        <v>0.43478260869565216</v>
      </c>
      <c r="E54" s="152">
        <v>0.73913043478260865</v>
      </c>
      <c r="F54" s="152">
        <v>0.33816425120772947</v>
      </c>
      <c r="G54" s="152">
        <v>0.7125603864734299</v>
      </c>
      <c r="H54" s="152">
        <v>0.89130434782608692</v>
      </c>
      <c r="I54" s="152">
        <v>0.81642512077294682</v>
      </c>
      <c r="J54" s="152">
        <v>0.84299516908212557</v>
      </c>
      <c r="K54" s="152">
        <v>1.1859903381642511</v>
      </c>
      <c r="L54" s="152">
        <v>1.0289855072463767</v>
      </c>
      <c r="M54" s="152">
        <v>0.97101449275362317</v>
      </c>
      <c r="N54" s="152">
        <v>1.0024154589371981</v>
      </c>
      <c r="O54" s="152">
        <v>0.87681159420289856</v>
      </c>
      <c r="P54" s="152">
        <v>1.0579710144927537</v>
      </c>
      <c r="Q54" s="152">
        <v>1.0555555555555556</v>
      </c>
      <c r="R54" s="152">
        <v>0.32367149758454106</v>
      </c>
      <c r="S54" s="152">
        <v>0.76086956521739135</v>
      </c>
      <c r="T54" s="152">
        <v>1.1400966183574879</v>
      </c>
      <c r="U54" s="152">
        <v>0.58212560386473433</v>
      </c>
      <c r="V54" s="152">
        <v>1.0821256038647342</v>
      </c>
      <c r="W54" s="152">
        <v>1.0869565217391304</v>
      </c>
      <c r="X54" s="152">
        <v>0.90821256038647347</v>
      </c>
      <c r="Y54" s="159">
        <v>0.89855072463768115</v>
      </c>
      <c r="Z54" s="152">
        <v>0.98792270531400961</v>
      </c>
      <c r="AA54" s="152">
        <v>0.85990338164251212</v>
      </c>
      <c r="AB54" s="152">
        <v>0.85990338164251212</v>
      </c>
    </row>
    <row r="55" spans="1:28">
      <c r="A55" s="136" t="s">
        <v>178</v>
      </c>
      <c r="B55" s="152">
        <v>1</v>
      </c>
      <c r="C55" s="152">
        <v>1.1439588688946016</v>
      </c>
      <c r="D55" s="152">
        <v>0.55526992287917742</v>
      </c>
      <c r="E55" s="152">
        <v>0.72750642673521848</v>
      </c>
      <c r="F55" s="152">
        <v>0.32904884318766064</v>
      </c>
      <c r="G55" s="152">
        <v>0.79434447300771205</v>
      </c>
      <c r="H55" s="152">
        <v>0.8817480719794345</v>
      </c>
      <c r="I55" s="152">
        <v>0.74550128534704374</v>
      </c>
      <c r="J55" s="152">
        <v>0.86889460154241649</v>
      </c>
      <c r="K55" s="152">
        <v>0.95115681233933158</v>
      </c>
      <c r="L55" s="152">
        <v>0.8946015424164524</v>
      </c>
      <c r="M55" s="152">
        <v>0.95115681233933158</v>
      </c>
      <c r="N55" s="152">
        <v>1.0694087403598971</v>
      </c>
      <c r="O55" s="152">
        <v>0.7763496143958869</v>
      </c>
      <c r="P55" s="152">
        <v>0.97943444730077123</v>
      </c>
      <c r="Q55" s="152">
        <v>0.97429305912596398</v>
      </c>
      <c r="R55" s="152">
        <v>0.49357326478149099</v>
      </c>
      <c r="S55" s="152">
        <v>0.90745501285347041</v>
      </c>
      <c r="T55" s="152">
        <v>0.94344473007712082</v>
      </c>
      <c r="U55" s="152">
        <v>0.63753213367609252</v>
      </c>
      <c r="V55" s="152">
        <v>1.0899742930591259</v>
      </c>
      <c r="W55" s="152">
        <v>1.1259640102827764</v>
      </c>
      <c r="X55" s="152">
        <v>1.1465295629820051</v>
      </c>
      <c r="Y55" s="159">
        <v>0.79177377892030854</v>
      </c>
      <c r="Z55" s="152">
        <v>0.9768637532133676</v>
      </c>
      <c r="AA55" s="152">
        <v>0.79434447300771205</v>
      </c>
      <c r="AB55" s="152">
        <v>0.85347043701799485</v>
      </c>
    </row>
    <row r="56" spans="1:28">
      <c r="A56" s="136" t="s">
        <v>179</v>
      </c>
      <c r="B56" s="152">
        <v>1</v>
      </c>
      <c r="C56" s="152">
        <v>0.88995215311004783</v>
      </c>
      <c r="D56" s="152">
        <v>1.2942583732057416</v>
      </c>
      <c r="E56" s="152">
        <v>0.37081339712918659</v>
      </c>
      <c r="F56" s="152">
        <v>0.81818181818181823</v>
      </c>
      <c r="G56" s="152">
        <v>0.97846889952153115</v>
      </c>
      <c r="H56" s="152">
        <v>1.0598086124401913</v>
      </c>
      <c r="I56" s="152">
        <v>1.0956937799043063</v>
      </c>
      <c r="J56" s="152">
        <v>0.90191387559808611</v>
      </c>
      <c r="K56" s="152">
        <v>1.0263157894736843</v>
      </c>
      <c r="L56" s="152">
        <v>0.83014354066985641</v>
      </c>
      <c r="M56" s="152">
        <v>0.86842105263157898</v>
      </c>
      <c r="N56" s="152">
        <v>0.88277511961722488</v>
      </c>
      <c r="O56" s="152">
        <v>0.89712918660287078</v>
      </c>
      <c r="P56" s="152">
        <v>0.66507177033492826</v>
      </c>
      <c r="Q56" s="152">
        <v>0.72248803827751196</v>
      </c>
      <c r="R56" s="152">
        <v>2.0645933014354068</v>
      </c>
      <c r="S56" s="152">
        <v>0.63157894736842102</v>
      </c>
      <c r="T56" s="152">
        <v>0.87320574162679421</v>
      </c>
      <c r="U56" s="152">
        <v>1.3444976076555024</v>
      </c>
      <c r="V56" s="152">
        <v>0.90191387559808611</v>
      </c>
      <c r="W56" s="152">
        <v>1.0143540669856459</v>
      </c>
      <c r="X56" s="152">
        <v>1.0861244019138756</v>
      </c>
      <c r="Y56" s="159">
        <v>1.1004784688995215</v>
      </c>
      <c r="Z56" s="152">
        <v>0.66746411483253587</v>
      </c>
      <c r="AA56" s="152">
        <v>0.76555023923444976</v>
      </c>
      <c r="AB56" s="152">
        <v>0.35645933014354064</v>
      </c>
    </row>
    <row r="57" spans="1:28">
      <c r="A57" s="136" t="s">
        <v>180</v>
      </c>
      <c r="B57" s="152">
        <v>1</v>
      </c>
      <c r="C57" s="152">
        <v>0.78888888888888886</v>
      </c>
      <c r="D57" s="152">
        <v>0.85555555555555551</v>
      </c>
      <c r="E57" s="152">
        <v>0.34629629629629627</v>
      </c>
      <c r="F57" s="152">
        <v>0.63703703703703707</v>
      </c>
      <c r="G57" s="152">
        <v>0.80740740740740746</v>
      </c>
      <c r="H57" s="152">
        <v>0.77407407407407403</v>
      </c>
      <c r="I57" s="152">
        <v>0.92962962962962958</v>
      </c>
      <c r="J57" s="152">
        <v>0.8</v>
      </c>
      <c r="K57" s="152">
        <v>0.84074074074074079</v>
      </c>
      <c r="L57" s="152">
        <v>0.67407407407407405</v>
      </c>
      <c r="M57" s="152">
        <v>0.78148148148148144</v>
      </c>
      <c r="N57" s="152">
        <v>0.94814814814814818</v>
      </c>
      <c r="O57" s="152">
        <v>0.82962962962962961</v>
      </c>
      <c r="P57" s="152">
        <v>0.50740740740740742</v>
      </c>
      <c r="Q57" s="152">
        <v>0.88148148148148153</v>
      </c>
      <c r="R57" s="152">
        <v>2.1074074074074076</v>
      </c>
      <c r="S57" s="152">
        <v>0.82592592592592595</v>
      </c>
      <c r="T57" s="152">
        <v>0.78518518518518521</v>
      </c>
      <c r="U57" s="152">
        <v>1.2037037037037037</v>
      </c>
      <c r="V57" s="152">
        <v>0.90370370370370368</v>
      </c>
      <c r="W57" s="152">
        <v>0.78888888888888886</v>
      </c>
      <c r="X57" s="152">
        <v>0.92962962962962958</v>
      </c>
      <c r="Y57" s="159">
        <v>1.125925925925926</v>
      </c>
      <c r="Z57" s="152">
        <v>0.58148148148148149</v>
      </c>
      <c r="AA57" s="152">
        <v>0.71851851851851856</v>
      </c>
      <c r="AB57" s="152">
        <v>0.28296296296296297</v>
      </c>
    </row>
    <row r="58" spans="1:28">
      <c r="A58" s="136" t="s">
        <v>181</v>
      </c>
      <c r="B58" s="152">
        <v>1</v>
      </c>
      <c r="C58" s="152">
        <v>0.64396551724137929</v>
      </c>
      <c r="D58" s="152">
        <v>0.71810344827586203</v>
      </c>
      <c r="E58" s="152">
        <v>0.29396551724137931</v>
      </c>
      <c r="F58" s="152">
        <v>0.73793103448275865</v>
      </c>
      <c r="G58" s="152">
        <v>0.69482758620689655</v>
      </c>
      <c r="H58" s="152">
        <v>0.72931034482758617</v>
      </c>
      <c r="I58" s="152">
        <v>0.81637931034482758</v>
      </c>
      <c r="J58" s="152">
        <v>0.60517241379310349</v>
      </c>
      <c r="K58" s="152">
        <v>0.73706896551724133</v>
      </c>
      <c r="L58" s="152">
        <v>0.63189655172413794</v>
      </c>
      <c r="M58" s="152">
        <v>0.66379310344827591</v>
      </c>
      <c r="N58" s="152">
        <v>0.59568965517241379</v>
      </c>
      <c r="O58" s="152">
        <v>0.65689655172413797</v>
      </c>
      <c r="P58" s="152">
        <v>0.60603448275862071</v>
      </c>
      <c r="Q58" s="152">
        <v>0.5767241379310345</v>
      </c>
      <c r="R58" s="152">
        <v>1.7068965517241379</v>
      </c>
      <c r="S58" s="152">
        <v>1</v>
      </c>
      <c r="T58" s="152">
        <v>0.73189655172413792</v>
      </c>
      <c r="U58" s="152">
        <v>1.0948275862068966</v>
      </c>
      <c r="V58" s="152">
        <v>0.76982758620689651</v>
      </c>
      <c r="W58" s="152">
        <v>0.72586206896551719</v>
      </c>
      <c r="X58" s="152">
        <v>0.67241379310344829</v>
      </c>
      <c r="Y58" s="159">
        <v>0.82931034482758625</v>
      </c>
      <c r="Z58" s="152">
        <v>0.52155172413793105</v>
      </c>
      <c r="AA58" s="152">
        <v>0.60344827586206895</v>
      </c>
      <c r="AB58" s="152">
        <v>0.25517241379310346</v>
      </c>
    </row>
    <row r="59" spans="1:28">
      <c r="A59" s="136" t="s">
        <v>182</v>
      </c>
      <c r="B59" s="152">
        <v>1</v>
      </c>
      <c r="C59" s="152">
        <v>0.82</v>
      </c>
      <c r="D59" s="152">
        <v>0.9363636363636364</v>
      </c>
      <c r="E59" s="152">
        <v>0.34090909090909088</v>
      </c>
      <c r="F59" s="152">
        <v>0.8290909090909091</v>
      </c>
      <c r="G59" s="152">
        <v>0.83272727272727276</v>
      </c>
      <c r="H59" s="152">
        <v>0.9363636363636364</v>
      </c>
      <c r="I59" s="152">
        <v>1.0363636363636364</v>
      </c>
      <c r="J59" s="152">
        <v>0.72818181818181815</v>
      </c>
      <c r="K59" s="152">
        <v>0.74818181818181817</v>
      </c>
      <c r="L59" s="152">
        <v>0.72545454545454546</v>
      </c>
      <c r="M59" s="152">
        <v>0.89818181818181819</v>
      </c>
      <c r="N59" s="152">
        <v>0.72</v>
      </c>
      <c r="O59" s="152">
        <v>0.88181818181818183</v>
      </c>
      <c r="P59" s="152">
        <v>0.66545454545454541</v>
      </c>
      <c r="Q59" s="152">
        <v>0.8418181818181818</v>
      </c>
      <c r="R59" s="152">
        <v>1.790909090909091</v>
      </c>
      <c r="S59" s="152">
        <v>0.9</v>
      </c>
      <c r="T59" s="152">
        <v>0.92727272727272725</v>
      </c>
      <c r="U59" s="152">
        <v>1.1636363636363636</v>
      </c>
      <c r="V59" s="152">
        <v>0.96363636363636362</v>
      </c>
      <c r="W59" s="152">
        <v>0.87454545454545451</v>
      </c>
      <c r="X59" s="152">
        <v>0.82272727272727275</v>
      </c>
      <c r="Y59" s="159">
        <v>1.1000000000000001</v>
      </c>
      <c r="Z59" s="152">
        <v>0.65909090909090906</v>
      </c>
      <c r="AA59" s="152">
        <v>0.80636363636363639</v>
      </c>
      <c r="AB59" s="152">
        <v>0.28545454545454546</v>
      </c>
    </row>
    <row r="60" spans="1:28">
      <c r="A60" s="136" t="s">
        <v>183</v>
      </c>
      <c r="B60" s="152">
        <v>1</v>
      </c>
      <c r="C60" s="152">
        <v>0.81364829396325455</v>
      </c>
      <c r="D60" s="152">
        <v>0.60629921259842523</v>
      </c>
      <c r="E60" s="152">
        <v>0.37007874015748032</v>
      </c>
      <c r="F60" s="152">
        <v>0.60629921259842523</v>
      </c>
      <c r="G60" s="152">
        <v>0.70866141732283461</v>
      </c>
      <c r="H60" s="152">
        <v>0.68766404199475062</v>
      </c>
      <c r="I60" s="152">
        <v>0.5879265091863517</v>
      </c>
      <c r="J60" s="152">
        <v>0.76640419947506566</v>
      </c>
      <c r="K60" s="152">
        <v>0.94488188976377951</v>
      </c>
      <c r="L60" s="152">
        <v>0.75853018372703407</v>
      </c>
      <c r="M60" s="152">
        <v>0.8241469816272966</v>
      </c>
      <c r="N60" s="152">
        <v>0.90813648293963256</v>
      </c>
      <c r="O60" s="152">
        <v>0.76902887139107612</v>
      </c>
      <c r="P60" s="152">
        <v>0.86876640419947504</v>
      </c>
      <c r="Q60" s="152">
        <v>0.78477690288713908</v>
      </c>
      <c r="R60" s="152">
        <v>0.75590551181102361</v>
      </c>
      <c r="S60" s="152">
        <v>0.76115485564304464</v>
      </c>
      <c r="T60" s="152">
        <v>0.8582677165354331</v>
      </c>
      <c r="U60" s="152">
        <v>0.79527559055118113</v>
      </c>
      <c r="V60" s="152">
        <v>0.90026246719160108</v>
      </c>
      <c r="W60" s="152">
        <v>0.99212598425196852</v>
      </c>
      <c r="X60" s="152">
        <v>1.0052493438320209</v>
      </c>
      <c r="Y60" s="159">
        <v>0.59842519685039375</v>
      </c>
      <c r="Z60" s="152">
        <v>0.82939632545931763</v>
      </c>
      <c r="AA60" s="152">
        <v>0.43044619422572178</v>
      </c>
      <c r="AB60" s="152">
        <v>0.38582677165354329</v>
      </c>
    </row>
    <row r="61" spans="1:28">
      <c r="A61" s="136" t="s">
        <v>184</v>
      </c>
      <c r="B61" s="152">
        <v>1</v>
      </c>
      <c r="C61" s="152">
        <v>0.62376237623762376</v>
      </c>
      <c r="D61" s="152">
        <v>0.57425742574257421</v>
      </c>
      <c r="E61" s="152">
        <v>0.4886138613861386</v>
      </c>
      <c r="F61" s="152">
        <v>0.59405940594059403</v>
      </c>
      <c r="G61" s="152">
        <v>0.53960396039603964</v>
      </c>
      <c r="H61" s="152">
        <v>0.5544554455445545</v>
      </c>
      <c r="I61" s="152">
        <v>0.65841584158415845</v>
      </c>
      <c r="J61" s="152">
        <v>0.57920792079207917</v>
      </c>
      <c r="K61" s="152">
        <v>0.73762376237623761</v>
      </c>
      <c r="L61" s="152">
        <v>0.68316831683168322</v>
      </c>
      <c r="M61" s="152">
        <v>0.68316831683168322</v>
      </c>
      <c r="N61" s="152">
        <v>0.73267326732673266</v>
      </c>
      <c r="O61" s="152">
        <v>0.64851485148514854</v>
      </c>
      <c r="P61" s="152">
        <v>0.67326732673267331</v>
      </c>
      <c r="Q61" s="152">
        <v>0.6089108910891089</v>
      </c>
      <c r="R61" s="152">
        <v>0.63366336633663367</v>
      </c>
      <c r="S61" s="152">
        <v>0.59405940594059403</v>
      </c>
      <c r="T61" s="152">
        <v>0.75742574257425743</v>
      </c>
      <c r="U61" s="152">
        <v>0.70792079207920788</v>
      </c>
      <c r="V61" s="152">
        <v>0.74752475247524752</v>
      </c>
      <c r="W61" s="152">
        <v>0.84158415841584155</v>
      </c>
      <c r="X61" s="152">
        <v>0.80693069306930698</v>
      </c>
      <c r="Y61" s="159">
        <v>0.78712871287128716</v>
      </c>
      <c r="Z61" s="152">
        <v>0.54455445544554459</v>
      </c>
      <c r="AA61" s="152">
        <v>1.2178217821782178</v>
      </c>
      <c r="AB61" s="152">
        <v>1.1039603960396041</v>
      </c>
    </row>
    <row r="62" spans="1:28">
      <c r="A62" s="136" t="s">
        <v>185</v>
      </c>
      <c r="B62" s="152">
        <v>1</v>
      </c>
      <c r="C62" s="152">
        <v>0.92725298588490768</v>
      </c>
      <c r="D62" s="152">
        <v>0.749185667752443</v>
      </c>
      <c r="E62" s="152">
        <v>0.52768729641693812</v>
      </c>
      <c r="F62" s="152">
        <v>0.65798045602605859</v>
      </c>
      <c r="G62" s="152">
        <v>0.78501628664495116</v>
      </c>
      <c r="H62" s="152">
        <v>0.79044516829533118</v>
      </c>
      <c r="I62" s="152">
        <v>0.6829533116178067</v>
      </c>
      <c r="J62" s="152">
        <v>0.82193268186753532</v>
      </c>
      <c r="K62" s="152">
        <v>0.84799131378935944</v>
      </c>
      <c r="L62" s="152">
        <v>0.80781758957654726</v>
      </c>
      <c r="M62" s="152">
        <v>0.74592833876221498</v>
      </c>
      <c r="N62" s="152">
        <v>0.80673181324647125</v>
      </c>
      <c r="O62" s="152">
        <v>0.74267100977198697</v>
      </c>
      <c r="P62" s="152">
        <v>0.92833876221498368</v>
      </c>
      <c r="Q62" s="152">
        <v>0.54614549402823021</v>
      </c>
      <c r="R62" s="152">
        <v>0.90879478827361559</v>
      </c>
      <c r="S62" s="152">
        <v>0.89685124864277954</v>
      </c>
      <c r="T62" s="152">
        <v>0.86102062975027149</v>
      </c>
      <c r="U62" s="152">
        <v>1.2486427795874051</v>
      </c>
      <c r="V62" s="152">
        <v>0.66883821932681864</v>
      </c>
      <c r="W62" s="152">
        <v>0.76655808903365907</v>
      </c>
      <c r="X62" s="152">
        <v>0.97502714440825189</v>
      </c>
      <c r="Y62" s="159">
        <v>1.0618892508143323</v>
      </c>
      <c r="Z62" s="152">
        <v>0.59174809989142241</v>
      </c>
      <c r="AA62" s="152">
        <v>0.26927252985884909</v>
      </c>
      <c r="AB62" s="152">
        <v>0.249728555917481</v>
      </c>
    </row>
    <row r="63" spans="1:28">
      <c r="A63" s="136" t="s">
        <v>186</v>
      </c>
      <c r="B63" s="152">
        <v>1</v>
      </c>
      <c r="C63" s="152">
        <v>0.69262865090403336</v>
      </c>
      <c r="D63" s="152">
        <v>0.64812239221140477</v>
      </c>
      <c r="E63" s="152">
        <v>0.7315716272600834</v>
      </c>
      <c r="F63" s="152">
        <v>0.51460361613351879</v>
      </c>
      <c r="G63" s="152">
        <v>0.73991655076495133</v>
      </c>
      <c r="H63" s="152">
        <v>0.80945757997218359</v>
      </c>
      <c r="I63" s="152">
        <v>0.56467315716272604</v>
      </c>
      <c r="J63" s="152">
        <v>0.68150208623087627</v>
      </c>
      <c r="K63" s="152">
        <v>0.69541029207232263</v>
      </c>
      <c r="L63" s="152">
        <v>0.68984700973574409</v>
      </c>
      <c r="M63" s="152">
        <v>0.69819193324061191</v>
      </c>
      <c r="N63" s="152">
        <v>0.60917941585535462</v>
      </c>
      <c r="O63" s="152">
        <v>0.67315716272600834</v>
      </c>
      <c r="P63" s="152">
        <v>0.7649513212795549</v>
      </c>
      <c r="Q63" s="152">
        <v>0.63699582753824757</v>
      </c>
      <c r="R63" s="152">
        <v>0.71488178025034765</v>
      </c>
      <c r="S63" s="152">
        <v>0.94993045897079276</v>
      </c>
      <c r="T63" s="152">
        <v>0.71766342141863704</v>
      </c>
      <c r="U63" s="152">
        <v>0.5897079276773296</v>
      </c>
      <c r="V63" s="152">
        <v>0.67732962447844225</v>
      </c>
      <c r="W63" s="152">
        <v>0.71488178025034765</v>
      </c>
      <c r="X63" s="152">
        <v>0.76634214186369953</v>
      </c>
      <c r="Y63" s="159">
        <v>0.56884561891515995</v>
      </c>
      <c r="Z63" s="152">
        <v>0.86787204450625866</v>
      </c>
      <c r="AA63" s="152">
        <v>0.85118219749652291</v>
      </c>
      <c r="AB63" s="152">
        <v>0.7426981919332406</v>
      </c>
    </row>
    <row r="64" spans="1:28">
      <c r="A64" s="136" t="s">
        <v>187</v>
      </c>
      <c r="B64" s="152">
        <v>1</v>
      </c>
      <c r="C64" s="152">
        <v>0.52767527675276749</v>
      </c>
      <c r="D64" s="152">
        <v>0.37269372693726938</v>
      </c>
      <c r="E64" s="152">
        <v>0.71586715867158668</v>
      </c>
      <c r="F64" s="152">
        <v>0.57564575645756455</v>
      </c>
      <c r="G64" s="152">
        <v>0.58671586715867163</v>
      </c>
      <c r="H64" s="152">
        <v>0.71586715867158668</v>
      </c>
      <c r="I64" s="152">
        <v>0.75645756457564572</v>
      </c>
      <c r="J64" s="152">
        <v>0.67158671586715868</v>
      </c>
      <c r="K64" s="152">
        <v>0.75645756457564572</v>
      </c>
      <c r="L64" s="152">
        <v>0.74169741697416969</v>
      </c>
      <c r="M64" s="152">
        <v>0.69741697416974169</v>
      </c>
      <c r="N64" s="152">
        <v>0.90036900369003692</v>
      </c>
      <c r="O64" s="152">
        <v>0.68265682656826565</v>
      </c>
      <c r="P64" s="152">
        <v>0.48339483394833949</v>
      </c>
      <c r="Q64" s="152">
        <v>0.81180811808118081</v>
      </c>
      <c r="R64" s="152">
        <v>0.32841328413284132</v>
      </c>
      <c r="S64" s="152">
        <v>0.70479704797047971</v>
      </c>
      <c r="T64" s="152">
        <v>0.71955719557195574</v>
      </c>
      <c r="U64" s="152">
        <v>0.99630996309963105</v>
      </c>
      <c r="V64" s="152">
        <v>0.77121771217712176</v>
      </c>
      <c r="W64" s="152">
        <v>0.65682656826568264</v>
      </c>
      <c r="X64" s="152">
        <v>0.89667896678966785</v>
      </c>
      <c r="Y64" s="159">
        <v>0.85977859778597787</v>
      </c>
      <c r="Z64" s="152">
        <v>0.44280442804428044</v>
      </c>
      <c r="AA64" s="152">
        <v>0.29594095940959408</v>
      </c>
      <c r="AB64" s="152">
        <v>0.19741697416974169</v>
      </c>
    </row>
    <row r="65" spans="1:28">
      <c r="A65" s="136" t="s">
        <v>188</v>
      </c>
      <c r="B65" s="152">
        <v>1</v>
      </c>
      <c r="C65" s="152">
        <v>0.7142857142857143</v>
      </c>
      <c r="D65" s="152">
        <v>0.5496894409937888</v>
      </c>
      <c r="E65" s="152">
        <v>0.90683229813664601</v>
      </c>
      <c r="F65" s="152">
        <v>0.7142857142857143</v>
      </c>
      <c r="G65" s="152">
        <v>0.73291925465838514</v>
      </c>
      <c r="H65" s="152">
        <v>0.79503105590062106</v>
      </c>
      <c r="I65" s="152">
        <v>0.89440993788819878</v>
      </c>
      <c r="J65" s="152">
        <v>0.74534161490683226</v>
      </c>
      <c r="K65" s="152">
        <v>0.78260869565217395</v>
      </c>
      <c r="L65" s="152">
        <v>0.82608695652173914</v>
      </c>
      <c r="M65" s="152">
        <v>0.80124223602484468</v>
      </c>
      <c r="N65" s="152">
        <v>1.0124223602484472</v>
      </c>
      <c r="O65" s="152">
        <v>0.80745341614906829</v>
      </c>
      <c r="P65" s="152">
        <v>0.7142857142857143</v>
      </c>
      <c r="Q65" s="152">
        <v>0.91925465838509313</v>
      </c>
      <c r="R65" s="152">
        <v>0.5801242236024845</v>
      </c>
      <c r="S65" s="152">
        <v>0.83850931677018636</v>
      </c>
      <c r="T65" s="152">
        <v>0.7639751552795031</v>
      </c>
      <c r="U65" s="152">
        <v>1.0496894409937889</v>
      </c>
      <c r="V65" s="152">
        <v>0.84472049689440998</v>
      </c>
      <c r="W65" s="152">
        <v>0.85093167701863359</v>
      </c>
      <c r="X65" s="152">
        <v>1</v>
      </c>
      <c r="Y65" s="159">
        <v>1.0931677018633541</v>
      </c>
      <c r="Z65" s="152">
        <v>0.48136645962732921</v>
      </c>
      <c r="AA65" s="152">
        <v>0.40683229813664595</v>
      </c>
      <c r="AB65" s="152">
        <v>0.36335403726708076</v>
      </c>
    </row>
    <row r="66" spans="1:28">
      <c r="A66" s="136" t="s">
        <v>189</v>
      </c>
      <c r="B66" s="152">
        <v>1</v>
      </c>
      <c r="C66" s="152">
        <v>0.68263473053892221</v>
      </c>
      <c r="D66" s="152">
        <v>0.38622754491017963</v>
      </c>
      <c r="E66" s="152">
        <v>0.38023952095808383</v>
      </c>
      <c r="F66" s="152">
        <v>0.6467065868263473</v>
      </c>
      <c r="G66" s="152">
        <v>0.60479041916167664</v>
      </c>
      <c r="H66" s="152">
        <v>0.73053892215568861</v>
      </c>
      <c r="I66" s="152">
        <v>0.58862275449101797</v>
      </c>
      <c r="J66" s="152">
        <v>0.5119760479041916</v>
      </c>
      <c r="K66" s="152">
        <v>0.70059880239520955</v>
      </c>
      <c r="L66" s="152">
        <v>0.70658682634730541</v>
      </c>
      <c r="M66" s="152">
        <v>0.74850299401197606</v>
      </c>
      <c r="N66" s="152">
        <v>1</v>
      </c>
      <c r="O66" s="152">
        <v>0.91616766467065869</v>
      </c>
      <c r="P66" s="152">
        <v>0.6107784431137725</v>
      </c>
      <c r="Q66" s="152">
        <v>0.73053892215568861</v>
      </c>
      <c r="R66" s="152">
        <v>0.53772455089820359</v>
      </c>
      <c r="S66" s="152">
        <v>0.6107784431137725</v>
      </c>
      <c r="T66" s="152">
        <v>0.73652694610778446</v>
      </c>
      <c r="U66" s="152">
        <v>0.99401197604790414</v>
      </c>
      <c r="V66" s="152">
        <v>0.73053892215568861</v>
      </c>
      <c r="W66" s="152">
        <v>0.94011976047904189</v>
      </c>
      <c r="X66" s="152">
        <v>1.2934131736526946</v>
      </c>
      <c r="Y66" s="159">
        <v>0.64071856287425155</v>
      </c>
      <c r="Z66" s="152">
        <v>0.511377245508982</v>
      </c>
      <c r="AA66" s="152">
        <v>0.30119760479041918</v>
      </c>
      <c r="AB66" s="152">
        <v>0.15508982035928143</v>
      </c>
    </row>
    <row r="67" spans="1:28">
      <c r="A67" s="136" t="s">
        <v>190</v>
      </c>
      <c r="B67" s="152">
        <v>1</v>
      </c>
      <c r="C67" s="152">
        <v>0.68828124999999996</v>
      </c>
      <c r="D67" s="152">
        <v>0.68125000000000002</v>
      </c>
      <c r="E67" s="152">
        <v>0.1953125</v>
      </c>
      <c r="F67" s="152">
        <v>0.69453125000000004</v>
      </c>
      <c r="G67" s="152">
        <v>0.75859374999999996</v>
      </c>
      <c r="H67" s="152">
        <v>0.984375</v>
      </c>
      <c r="I67" s="152">
        <v>0.68046874999999996</v>
      </c>
      <c r="J67" s="152">
        <v>0.57109374999999996</v>
      </c>
      <c r="K67" s="152">
        <v>0.90625</v>
      </c>
      <c r="L67" s="152">
        <v>0.77968749999999998</v>
      </c>
      <c r="M67" s="152">
        <v>0.75156250000000002</v>
      </c>
      <c r="N67" s="152">
        <v>0.77812499999999996</v>
      </c>
      <c r="O67" s="152">
        <v>0.875</v>
      </c>
      <c r="P67" s="152">
        <v>0.51953125</v>
      </c>
      <c r="Q67" s="152">
        <v>0.84375</v>
      </c>
      <c r="R67" s="152">
        <v>1.6484375</v>
      </c>
      <c r="S67" s="152">
        <v>0.68359375</v>
      </c>
      <c r="T67" s="152">
        <v>0.76328125000000002</v>
      </c>
      <c r="U67" s="152">
        <v>1.0078125</v>
      </c>
      <c r="V67" s="152">
        <v>0.75703125000000004</v>
      </c>
      <c r="W67" s="152">
        <v>0.73750000000000004</v>
      </c>
      <c r="X67" s="152">
        <v>0.96875</v>
      </c>
      <c r="Y67" s="159">
        <v>0.9296875</v>
      </c>
      <c r="Z67" s="152">
        <v>0.41953125000000002</v>
      </c>
      <c r="AA67" s="152">
        <v>7.8906249999999997E-2</v>
      </c>
      <c r="AB67" s="152">
        <v>3.9296875000000002E-2</v>
      </c>
    </row>
    <row r="68" spans="1:28">
      <c r="A68" s="136" t="s">
        <v>191</v>
      </c>
      <c r="B68" s="152">
        <v>1</v>
      </c>
      <c r="C68" s="152">
        <v>0.71445497630331756</v>
      </c>
      <c r="D68" s="152">
        <v>1.3033175355450237</v>
      </c>
      <c r="E68" s="152">
        <v>0.17654028436018956</v>
      </c>
      <c r="F68" s="152">
        <v>1.6587677725118484</v>
      </c>
      <c r="G68" s="152">
        <v>0.75947867298578198</v>
      </c>
      <c r="H68" s="152">
        <v>0.8601895734597157</v>
      </c>
      <c r="I68" s="152">
        <v>0.77606635071090047</v>
      </c>
      <c r="J68" s="152">
        <v>0.86966824644549767</v>
      </c>
      <c r="K68" s="152">
        <v>0.75236966824644547</v>
      </c>
      <c r="L68" s="152">
        <v>0.81753554502369663</v>
      </c>
      <c r="M68" s="152">
        <v>0.80213270142180093</v>
      </c>
      <c r="N68" s="152">
        <v>1.0308056872037914</v>
      </c>
      <c r="O68" s="152">
        <v>1.0900473933649288</v>
      </c>
      <c r="P68" s="152">
        <v>0.52014218009478674</v>
      </c>
      <c r="Q68" s="152">
        <v>0.98815165876777256</v>
      </c>
      <c r="R68" s="152">
        <v>1.7772511848341232E-2</v>
      </c>
      <c r="S68" s="152">
        <v>0.64336492890995256</v>
      </c>
      <c r="T68" s="152">
        <v>0.76303317535545023</v>
      </c>
      <c r="U68" s="152">
        <v>0.726303317535545</v>
      </c>
      <c r="V68" s="152">
        <v>0.74407582938388628</v>
      </c>
      <c r="W68" s="152">
        <v>0.71327014218009477</v>
      </c>
      <c r="X68" s="152">
        <v>0.95023696682464454</v>
      </c>
      <c r="Y68" s="159">
        <v>0.43127962085308058</v>
      </c>
      <c r="Z68" s="152">
        <v>0.36255924170616116</v>
      </c>
      <c r="AA68" s="152">
        <v>4.2061611374407584E-3</v>
      </c>
      <c r="AB68" s="152">
        <v>3.5308056872037914E-3</v>
      </c>
    </row>
    <row r="69" spans="1:28">
      <c r="A69" s="136" t="s">
        <v>192</v>
      </c>
      <c r="B69" s="152">
        <v>1</v>
      </c>
      <c r="C69" s="152">
        <v>0.51405622489959835</v>
      </c>
      <c r="D69" s="152">
        <v>0.59036144578313254</v>
      </c>
      <c r="E69" s="152">
        <v>0.44377510040160645</v>
      </c>
      <c r="F69" s="152">
        <v>0.68072289156626509</v>
      </c>
      <c r="G69" s="152">
        <v>0.52208835341365467</v>
      </c>
      <c r="H69" s="152">
        <v>0.43775100401606426</v>
      </c>
      <c r="I69" s="152">
        <v>0.61445783132530118</v>
      </c>
      <c r="J69" s="152">
        <v>0.42971887550200805</v>
      </c>
      <c r="K69" s="152">
        <v>0.34738955823293172</v>
      </c>
      <c r="L69" s="152">
        <v>0.40963855421686746</v>
      </c>
      <c r="M69" s="152">
        <v>0.39558232931726905</v>
      </c>
      <c r="N69" s="152">
        <v>0.39558232931726905</v>
      </c>
      <c r="O69" s="152">
        <v>0.44377510040160645</v>
      </c>
      <c r="P69" s="152">
        <v>0.57228915662650603</v>
      </c>
      <c r="Q69" s="152">
        <v>0.5662650602409639</v>
      </c>
      <c r="R69" s="152">
        <v>0.7730923694779116</v>
      </c>
      <c r="S69" s="152">
        <v>0.42971887550200805</v>
      </c>
      <c r="T69" s="152">
        <v>0.48393574297188757</v>
      </c>
      <c r="U69" s="152">
        <v>0.51807228915662651</v>
      </c>
      <c r="V69" s="152">
        <v>0.44779116465863456</v>
      </c>
      <c r="W69" s="152">
        <v>0.43975903614457829</v>
      </c>
      <c r="X69" s="152">
        <v>0.44377510040160645</v>
      </c>
      <c r="Y69" s="159">
        <v>0.44377510040160645</v>
      </c>
      <c r="Z69" s="152">
        <v>0.47791164658634538</v>
      </c>
      <c r="AA69" s="152">
        <v>0.56425702811244982</v>
      </c>
      <c r="AB69" s="152">
        <v>0.50803212851405621</v>
      </c>
    </row>
    <row r="70" spans="1:28">
      <c r="A70" s="136" t="s">
        <v>193</v>
      </c>
      <c r="B70" s="152">
        <v>1</v>
      </c>
      <c r="C70" s="152">
        <v>0.77500000000000002</v>
      </c>
      <c r="D70" s="152">
        <v>0.63055555555555554</v>
      </c>
      <c r="E70" s="152">
        <v>0.56111111111111112</v>
      </c>
      <c r="F70" s="152">
        <v>0.55138888888888893</v>
      </c>
      <c r="G70" s="152">
        <v>0.75138888888888888</v>
      </c>
      <c r="H70" s="152">
        <v>0.70694444444444449</v>
      </c>
      <c r="I70" s="152">
        <v>0.77222222222222225</v>
      </c>
      <c r="J70" s="152">
        <v>0.70972222222222225</v>
      </c>
      <c r="K70" s="152">
        <v>0.76388888888888884</v>
      </c>
      <c r="L70" s="152">
        <v>0.69027777777777777</v>
      </c>
      <c r="M70" s="152">
        <v>0.71805555555555556</v>
      </c>
      <c r="N70" s="152">
        <v>0.78611111111111109</v>
      </c>
      <c r="O70" s="152">
        <v>0.79166666666666663</v>
      </c>
      <c r="P70" s="152">
        <v>0.54722222222222228</v>
      </c>
      <c r="Q70" s="152">
        <v>0.71527777777777779</v>
      </c>
      <c r="R70" s="152">
        <v>0.75694444444444442</v>
      </c>
      <c r="S70" s="152">
        <v>0.8305555555555556</v>
      </c>
      <c r="T70" s="152">
        <v>0.69722222222222219</v>
      </c>
      <c r="U70" s="152">
        <v>0.79583333333333328</v>
      </c>
      <c r="V70" s="152">
        <v>0.71388888888888891</v>
      </c>
      <c r="W70" s="152">
        <v>0.6694444444444444</v>
      </c>
      <c r="X70" s="152">
        <v>0.86250000000000004</v>
      </c>
      <c r="Y70" s="159">
        <v>0.78333333333333333</v>
      </c>
      <c r="Z70" s="152">
        <v>0.7055555555555556</v>
      </c>
      <c r="AA70" s="152">
        <v>0.69166666666666665</v>
      </c>
      <c r="AB70" s="152">
        <v>0.5541666666666667</v>
      </c>
    </row>
    <row r="71" spans="1:28">
      <c r="A71" s="136" t="s">
        <v>194</v>
      </c>
      <c r="B71" s="152">
        <v>1</v>
      </c>
      <c r="C71" s="152">
        <v>0.75287356321839083</v>
      </c>
      <c r="D71" s="152">
        <v>1.1264367816091954</v>
      </c>
      <c r="E71" s="152">
        <v>0.89080459770114939</v>
      </c>
      <c r="F71" s="152">
        <v>1.1436781609195403</v>
      </c>
      <c r="G71" s="152">
        <v>1</v>
      </c>
      <c r="H71" s="152">
        <v>0.8045977011494253</v>
      </c>
      <c r="I71" s="152">
        <v>1.1149425287356323</v>
      </c>
      <c r="J71" s="152">
        <v>0.9022988505747126</v>
      </c>
      <c r="K71" s="152">
        <v>0.7068965517241379</v>
      </c>
      <c r="L71" s="152">
        <v>0.85057471264367812</v>
      </c>
      <c r="M71" s="152">
        <v>0.84482758620689657</v>
      </c>
      <c r="N71" s="152">
        <v>0.93678160919540232</v>
      </c>
      <c r="O71" s="152">
        <v>0.89080459770114939</v>
      </c>
      <c r="P71" s="152">
        <v>1.2241379310344827</v>
      </c>
      <c r="Q71" s="152">
        <v>0.82183908045977017</v>
      </c>
      <c r="R71" s="152">
        <v>1.8850574712643677</v>
      </c>
      <c r="S71" s="152">
        <v>1.2701149425287357</v>
      </c>
      <c r="T71" s="152">
        <v>0.86781609195402298</v>
      </c>
      <c r="U71" s="152">
        <v>1.1896551724137931</v>
      </c>
      <c r="V71" s="152">
        <v>0.87931034482758619</v>
      </c>
      <c r="W71" s="152">
        <v>0.91379310344827591</v>
      </c>
      <c r="X71" s="152">
        <v>0.94252873563218387</v>
      </c>
      <c r="Y71" s="159">
        <v>1.3850574712643677</v>
      </c>
      <c r="Z71" s="152">
        <v>0.71264367816091956</v>
      </c>
      <c r="AA71" s="152">
        <v>0.52586206896551724</v>
      </c>
      <c r="AB71" s="152">
        <v>0.67241379310344829</v>
      </c>
    </row>
    <row r="72" spans="1:28">
      <c r="A72" s="136" t="s">
        <v>195</v>
      </c>
      <c r="B72" s="152">
        <v>1</v>
      </c>
      <c r="C72" s="152">
        <v>0.53388429752066113</v>
      </c>
      <c r="D72" s="152">
        <v>1.6198347107438016</v>
      </c>
      <c r="E72" s="152">
        <v>0.90909090909090906</v>
      </c>
      <c r="F72" s="152">
        <v>0.90909090909090906</v>
      </c>
      <c r="G72" s="152">
        <v>1.0909090909090908</v>
      </c>
      <c r="H72" s="152">
        <v>0.96694214876033058</v>
      </c>
      <c r="I72" s="152">
        <v>1.2066115702479339</v>
      </c>
      <c r="J72" s="152">
        <v>0.85950413223140498</v>
      </c>
      <c r="K72" s="152">
        <v>0.72066115702479339</v>
      </c>
      <c r="L72" s="152">
        <v>0.73471074380165291</v>
      </c>
      <c r="M72" s="152">
        <v>0.70826446280991739</v>
      </c>
      <c r="N72" s="152">
        <v>0.64876033057851235</v>
      </c>
      <c r="O72" s="152">
        <v>0.90909090909090906</v>
      </c>
      <c r="P72" s="152">
        <v>0.42148760330578511</v>
      </c>
      <c r="Q72" s="152">
        <v>0.78842975206611565</v>
      </c>
      <c r="R72" s="152">
        <v>1.024793388429752</v>
      </c>
      <c r="S72" s="152">
        <v>0.71818181818181814</v>
      </c>
      <c r="T72" s="152">
        <v>0.56528925619834713</v>
      </c>
      <c r="U72" s="152">
        <v>1.1735537190082646</v>
      </c>
      <c r="V72" s="152">
        <v>0.60330578512396693</v>
      </c>
      <c r="W72" s="152">
        <v>0.60165289256198351</v>
      </c>
      <c r="X72" s="152">
        <v>0.95041322314049592</v>
      </c>
      <c r="Y72" s="159">
        <v>1.4793388429752066</v>
      </c>
      <c r="Z72" s="152">
        <v>0.42727272727272725</v>
      </c>
      <c r="AA72" s="152">
        <v>0.48181818181818181</v>
      </c>
      <c r="AB72" s="152">
        <v>0.52231404958677685</v>
      </c>
    </row>
    <row r="73" spans="1:28">
      <c r="A73" s="136" t="s">
        <v>196</v>
      </c>
      <c r="B73" s="152">
        <v>1</v>
      </c>
      <c r="C73" s="152">
        <v>1.175531914893617</v>
      </c>
      <c r="D73" s="152">
        <v>1.1702127659574468</v>
      </c>
      <c r="E73" s="152">
        <v>1.6648936170212767</v>
      </c>
      <c r="F73" s="152">
        <v>1.5851063829787233</v>
      </c>
      <c r="G73" s="152">
        <v>1.1436170212765957</v>
      </c>
      <c r="H73" s="152">
        <v>1.3138297872340425</v>
      </c>
      <c r="I73" s="152">
        <v>1.2606382978723405</v>
      </c>
      <c r="J73" s="152">
        <v>1.0372340425531914</v>
      </c>
      <c r="K73" s="152">
        <v>0.93617021276595747</v>
      </c>
      <c r="L73" s="152">
        <v>1.0904255319148937</v>
      </c>
      <c r="M73" s="152">
        <v>1.1063829787234043</v>
      </c>
      <c r="N73" s="152">
        <v>0.97340425531914898</v>
      </c>
      <c r="O73" s="152">
        <v>0.88297872340425532</v>
      </c>
      <c r="P73" s="152">
        <v>1.7340425531914894</v>
      </c>
      <c r="Q73" s="152">
        <v>0.71276595744680848</v>
      </c>
      <c r="R73" s="152">
        <v>3.8776595744680851</v>
      </c>
      <c r="S73" s="152">
        <v>0.94680851063829785</v>
      </c>
      <c r="T73" s="152">
        <v>1.0691489361702127</v>
      </c>
      <c r="U73" s="152">
        <v>0.87234042553191493</v>
      </c>
      <c r="V73" s="152">
        <v>1.1276595744680851</v>
      </c>
      <c r="W73" s="152">
        <v>1.1170212765957446</v>
      </c>
      <c r="X73" s="152">
        <v>0.94148936170212771</v>
      </c>
      <c r="Y73" s="159">
        <v>0.87765957446808507</v>
      </c>
      <c r="Z73" s="152">
        <v>1.3085106382978724</v>
      </c>
      <c r="AA73" s="152">
        <v>2.0904255319148937</v>
      </c>
      <c r="AB73" s="152">
        <v>1.6595744680851063</v>
      </c>
    </row>
    <row r="74" spans="1:28">
      <c r="A74" s="136" t="s">
        <v>197</v>
      </c>
      <c r="B74" s="152">
        <v>1</v>
      </c>
      <c r="C74" s="152">
        <v>0.82314410480349343</v>
      </c>
      <c r="D74" s="152">
        <v>1.1943231441048034</v>
      </c>
      <c r="E74" s="152">
        <v>1.1484716157205239</v>
      </c>
      <c r="F74" s="152">
        <v>1.0283842794759825</v>
      </c>
      <c r="G74" s="152">
        <v>0.85589519650655022</v>
      </c>
      <c r="H74" s="152">
        <v>1.0414847161572052</v>
      </c>
      <c r="I74" s="152">
        <v>1.1244541484716157</v>
      </c>
      <c r="J74" s="152">
        <v>0.83624454148471616</v>
      </c>
      <c r="K74" s="152">
        <v>0.94978165938864634</v>
      </c>
      <c r="L74" s="152">
        <v>1.0589519650655022</v>
      </c>
      <c r="M74" s="152">
        <v>0.95196506550218341</v>
      </c>
      <c r="N74" s="152">
        <v>0.91921397379912662</v>
      </c>
      <c r="O74" s="152">
        <v>1.1768558951965065</v>
      </c>
      <c r="P74" s="152">
        <v>0.94978165938864634</v>
      </c>
      <c r="Q74" s="152">
        <v>0.91484716157205237</v>
      </c>
      <c r="R74" s="152">
        <v>1.0982532751091703</v>
      </c>
      <c r="S74" s="152">
        <v>0.99126637554585151</v>
      </c>
      <c r="T74" s="152">
        <v>0.88427947598253276</v>
      </c>
      <c r="U74" s="152">
        <v>0.94978165938864634</v>
      </c>
      <c r="V74" s="152">
        <v>0.84061135371179041</v>
      </c>
      <c r="W74" s="152">
        <v>0.81659388646288211</v>
      </c>
      <c r="X74" s="152">
        <v>0.96506550218340614</v>
      </c>
      <c r="Y74" s="159">
        <v>1.314410480349345</v>
      </c>
      <c r="Z74" s="152">
        <v>0.92139737991266379</v>
      </c>
      <c r="AA74" s="152">
        <v>1.4061135371179039</v>
      </c>
      <c r="AB74" s="152">
        <v>1.0676855895196506</v>
      </c>
    </row>
    <row r="75" spans="1:28">
      <c r="A75" s="136" t="s">
        <v>198</v>
      </c>
      <c r="B75" s="152">
        <v>1</v>
      </c>
      <c r="C75" s="152">
        <v>0.8582677165354331</v>
      </c>
      <c r="D75" s="152">
        <v>0.84251968503937003</v>
      </c>
      <c r="E75" s="152">
        <v>0.62913385826771651</v>
      </c>
      <c r="F75" s="152">
        <v>0.96062992125984248</v>
      </c>
      <c r="G75" s="152">
        <v>0.76220472440944886</v>
      </c>
      <c r="H75" s="152">
        <v>0.77401574803149609</v>
      </c>
      <c r="I75" s="152">
        <v>0.81889763779527558</v>
      </c>
      <c r="J75" s="152">
        <v>0.70078740157480313</v>
      </c>
      <c r="K75" s="152">
        <v>0.64724409448818898</v>
      </c>
      <c r="L75" s="152">
        <v>0.64488188976377958</v>
      </c>
      <c r="M75" s="152">
        <v>0.57559055118110236</v>
      </c>
      <c r="N75" s="152">
        <v>0.69448818897637798</v>
      </c>
      <c r="O75" s="152">
        <v>0.93700787401574803</v>
      </c>
      <c r="P75" s="152">
        <v>0.77637795275590549</v>
      </c>
      <c r="Q75" s="152">
        <v>0.57086614173228345</v>
      </c>
      <c r="R75" s="152">
        <v>1.3070866141732282</v>
      </c>
      <c r="S75" s="152">
        <v>1.094488188976378</v>
      </c>
      <c r="T75" s="152">
        <v>0.80314960629921262</v>
      </c>
      <c r="U75" s="152">
        <v>0.96850393700787396</v>
      </c>
      <c r="V75" s="152">
        <v>0.64881889763779532</v>
      </c>
      <c r="W75" s="152">
        <v>0.78740157480314965</v>
      </c>
      <c r="X75" s="152">
        <v>0.91338582677165359</v>
      </c>
      <c r="Y75" s="159">
        <v>0.96850393700787396</v>
      </c>
      <c r="Z75" s="152">
        <v>0.58582677165354335</v>
      </c>
      <c r="AA75" s="152">
        <v>0.61574803149606294</v>
      </c>
      <c r="AB75" s="152">
        <v>0.52204724409448822</v>
      </c>
    </row>
    <row r="76" spans="1:28">
      <c r="A76" s="136" t="s">
        <v>199</v>
      </c>
      <c r="B76" s="152">
        <v>1</v>
      </c>
      <c r="C76" s="152">
        <v>0.98290598290598286</v>
      </c>
      <c r="D76" s="152">
        <v>0.79914529914529919</v>
      </c>
      <c r="E76" s="152">
        <v>0.70940170940170943</v>
      </c>
      <c r="F76" s="152">
        <v>1</v>
      </c>
      <c r="G76" s="152">
        <v>0.89743589743589747</v>
      </c>
      <c r="H76" s="152">
        <v>0.90598290598290598</v>
      </c>
      <c r="I76" s="152">
        <v>1.0940170940170941</v>
      </c>
      <c r="J76" s="152">
        <v>0.70170940170940166</v>
      </c>
      <c r="K76" s="152">
        <v>0.66239316239316237</v>
      </c>
      <c r="L76" s="152">
        <v>0.71282051282051284</v>
      </c>
      <c r="M76" s="152">
        <v>0.78376068376068375</v>
      </c>
      <c r="N76" s="152">
        <v>0.79316239316239312</v>
      </c>
      <c r="O76" s="152">
        <v>0.9145299145299145</v>
      </c>
      <c r="P76" s="152">
        <v>0.81025641025641026</v>
      </c>
      <c r="Q76" s="152">
        <v>0.73076923076923073</v>
      </c>
      <c r="R76" s="152">
        <v>1.0085470085470085</v>
      </c>
      <c r="S76" s="152">
        <v>0.8042735042735043</v>
      </c>
      <c r="T76" s="152">
        <v>0.86324786324786329</v>
      </c>
      <c r="U76" s="152">
        <v>1.2478632478632479</v>
      </c>
      <c r="V76" s="152">
        <v>0.82564102564102559</v>
      </c>
      <c r="W76" s="152">
        <v>0.9145299145299145</v>
      </c>
      <c r="X76" s="152">
        <v>1.1025641025641026</v>
      </c>
      <c r="Y76" s="159">
        <v>1.1452991452991452</v>
      </c>
      <c r="Z76" s="152">
        <v>0.6726495726495727</v>
      </c>
      <c r="AA76" s="152">
        <v>0.65982905982905982</v>
      </c>
      <c r="AB76" s="152">
        <v>0.63247863247863245</v>
      </c>
    </row>
    <row r="77" spans="1:28">
      <c r="A77" s="136" t="s">
        <v>200</v>
      </c>
      <c r="B77" s="152">
        <v>1</v>
      </c>
      <c r="C77" s="152">
        <v>0.51515151515151514</v>
      </c>
      <c r="D77" s="152">
        <v>0.80086580086580084</v>
      </c>
      <c r="E77" s="152">
        <v>1.0346320346320346</v>
      </c>
      <c r="F77" s="152">
        <v>0.8528138528138528</v>
      </c>
      <c r="G77" s="152">
        <v>0.63203463203463206</v>
      </c>
      <c r="H77" s="152">
        <v>0.76623376623376627</v>
      </c>
      <c r="I77" s="152">
        <v>0.97402597402597402</v>
      </c>
      <c r="J77" s="152">
        <v>0.66666666666666663</v>
      </c>
      <c r="K77" s="152">
        <v>0.73160173160173159</v>
      </c>
      <c r="L77" s="152">
        <v>0.73593073593073588</v>
      </c>
      <c r="M77" s="152">
        <v>0.64935064935064934</v>
      </c>
      <c r="N77" s="152">
        <v>0.70995670995671001</v>
      </c>
      <c r="O77" s="152">
        <v>1.0389610389610389</v>
      </c>
      <c r="P77" s="152">
        <v>0.61904761904761907</v>
      </c>
      <c r="Q77" s="152">
        <v>0.63636363636363635</v>
      </c>
      <c r="R77" s="152">
        <v>1.6147186147186148</v>
      </c>
      <c r="S77" s="152">
        <v>0.80952380952380953</v>
      </c>
      <c r="T77" s="152">
        <v>0.60606060606060608</v>
      </c>
      <c r="U77" s="152">
        <v>0.88744588744588748</v>
      </c>
      <c r="V77" s="152">
        <v>0.67965367965367962</v>
      </c>
      <c r="W77" s="152">
        <v>0.65367965367965364</v>
      </c>
      <c r="X77" s="152">
        <v>0.84848484848484851</v>
      </c>
      <c r="Y77" s="159">
        <v>1.0129870129870129</v>
      </c>
      <c r="Z77" s="152">
        <v>0.7142857142857143</v>
      </c>
      <c r="AA77" s="152">
        <v>1.251082251082251</v>
      </c>
      <c r="AB77" s="152">
        <v>1.5281385281385282</v>
      </c>
    </row>
    <row r="78" spans="1:28">
      <c r="A78" s="136" t="s">
        <v>201</v>
      </c>
      <c r="B78" s="152">
        <v>1</v>
      </c>
      <c r="C78" s="152">
        <v>0.90123456790123457</v>
      </c>
      <c r="D78" s="152">
        <v>1.1111111111111112</v>
      </c>
      <c r="E78" s="152">
        <v>0.83024691358024694</v>
      </c>
      <c r="F78" s="152">
        <v>1</v>
      </c>
      <c r="G78" s="152">
        <v>0.86728395061728392</v>
      </c>
      <c r="H78" s="152">
        <v>1</v>
      </c>
      <c r="I78" s="152">
        <v>1.228395061728395</v>
      </c>
      <c r="J78" s="152">
        <v>0.73148148148148151</v>
      </c>
      <c r="K78" s="152">
        <v>0.76851851851851849</v>
      </c>
      <c r="L78" s="152">
        <v>0.80555555555555558</v>
      </c>
      <c r="M78" s="152">
        <v>0.82407407407407407</v>
      </c>
      <c r="N78" s="152">
        <v>0.87345679012345678</v>
      </c>
      <c r="O78" s="152">
        <v>0.87345679012345678</v>
      </c>
      <c r="P78" s="152">
        <v>0.88888888888888884</v>
      </c>
      <c r="Q78" s="152">
        <v>0.6820987654320988</v>
      </c>
      <c r="R78" s="152">
        <v>0.86419753086419748</v>
      </c>
      <c r="S78" s="152">
        <v>0.8271604938271605</v>
      </c>
      <c r="T78" s="152">
        <v>0.85802469135802473</v>
      </c>
      <c r="U78" s="152">
        <v>0.81172839506172845</v>
      </c>
      <c r="V78" s="152">
        <v>0.80246913580246915</v>
      </c>
      <c r="W78" s="152">
        <v>0.78703703703703709</v>
      </c>
      <c r="X78" s="152">
        <v>0.93827160493827155</v>
      </c>
      <c r="Y78" s="159">
        <v>0.91049382716049387</v>
      </c>
      <c r="Z78" s="152">
        <v>0.89814814814814814</v>
      </c>
      <c r="AA78" s="152">
        <v>1.2530864197530864</v>
      </c>
      <c r="AB78" s="152">
        <v>1.0061728395061729</v>
      </c>
    </row>
    <row r="79" spans="1:28">
      <c r="A79" s="136" t="s">
        <v>202</v>
      </c>
      <c r="B79" s="152">
        <v>1</v>
      </c>
      <c r="C79" s="152">
        <v>0.71238095238095234</v>
      </c>
      <c r="D79" s="152">
        <v>1</v>
      </c>
      <c r="E79" s="152">
        <v>0.60190476190476194</v>
      </c>
      <c r="F79" s="152">
        <v>0.95238095238095233</v>
      </c>
      <c r="G79" s="152">
        <v>0.83714285714285719</v>
      </c>
      <c r="H79" s="152">
        <v>0.80666666666666664</v>
      </c>
      <c r="I79" s="152">
        <v>1.0476190476190477</v>
      </c>
      <c r="J79" s="152">
        <v>0.81333333333333335</v>
      </c>
      <c r="K79" s="152">
        <v>0.89047619047619042</v>
      </c>
      <c r="L79" s="152">
        <v>0.80952380952380953</v>
      </c>
      <c r="M79" s="152">
        <v>0.86095238095238091</v>
      </c>
      <c r="N79" s="152">
        <v>0.87714285714285711</v>
      </c>
      <c r="O79" s="152">
        <v>1.0571428571428572</v>
      </c>
      <c r="P79" s="152">
        <v>0.75904761904761908</v>
      </c>
      <c r="Q79" s="152">
        <v>0.88666666666666671</v>
      </c>
      <c r="R79" s="152">
        <v>1.9714285714285715</v>
      </c>
      <c r="S79" s="152">
        <v>0.97142857142857142</v>
      </c>
      <c r="T79" s="152">
        <v>0.87047619047619051</v>
      </c>
      <c r="U79" s="152">
        <v>0.93333333333333335</v>
      </c>
      <c r="V79" s="152">
        <v>0.86</v>
      </c>
      <c r="W79" s="152">
        <v>0.83333333333333337</v>
      </c>
      <c r="X79" s="152">
        <v>0.76380952380952383</v>
      </c>
      <c r="Y79" s="159">
        <v>1.0761904761904761</v>
      </c>
      <c r="Z79" s="152">
        <v>0.72</v>
      </c>
      <c r="AA79" s="152">
        <v>1.0952380952380953</v>
      </c>
      <c r="AB79" s="152">
        <v>0.83714285714285719</v>
      </c>
    </row>
    <row r="80" spans="1:28">
      <c r="A80" s="136" t="s">
        <v>203</v>
      </c>
      <c r="B80" s="152">
        <v>1</v>
      </c>
      <c r="C80" s="152">
        <v>0.80124223602484468</v>
      </c>
      <c r="D80" s="152">
        <v>0.63975155279503104</v>
      </c>
      <c r="E80" s="152">
        <v>1.1677018633540373</v>
      </c>
      <c r="F80" s="152">
        <v>0.5714285714285714</v>
      </c>
      <c r="G80" s="152">
        <v>0.75155279503105588</v>
      </c>
      <c r="H80" s="152">
        <v>0.92546583850931674</v>
      </c>
      <c r="I80" s="152">
        <v>0.9503105590062112</v>
      </c>
      <c r="J80" s="152">
        <v>0.91304347826086951</v>
      </c>
      <c r="K80" s="152">
        <v>1.2422360248447204</v>
      </c>
      <c r="L80" s="152">
        <v>1.0124223602484472</v>
      </c>
      <c r="M80" s="152">
        <v>1.0993788819875776</v>
      </c>
      <c r="N80" s="152">
        <v>1.1242236024844721</v>
      </c>
      <c r="O80" s="152">
        <v>0.98757763975155277</v>
      </c>
      <c r="P80" s="152">
        <v>1.173913043478261</v>
      </c>
      <c r="Q80" s="152">
        <v>1.1987577639751552</v>
      </c>
      <c r="R80" s="152">
        <v>0.35403726708074534</v>
      </c>
      <c r="S80" s="152">
        <v>1.1366459627329193</v>
      </c>
      <c r="T80" s="152">
        <v>1.4161490683229814</v>
      </c>
      <c r="U80" s="152">
        <v>0.42670807453416149</v>
      </c>
      <c r="V80" s="152">
        <v>1.1987577639751552</v>
      </c>
      <c r="W80" s="152">
        <v>1.0372670807453417</v>
      </c>
      <c r="X80" s="152">
        <v>0.7639751552795031</v>
      </c>
      <c r="Y80" s="159">
        <v>0.90683229813664601</v>
      </c>
      <c r="Z80" s="152">
        <v>1.4472049689440993</v>
      </c>
      <c r="AA80" s="152">
        <v>2.5217391304347827</v>
      </c>
      <c r="AB80" s="152">
        <v>2.8074534161490683</v>
      </c>
    </row>
    <row r="81" spans="1:28">
      <c r="A81" s="136" t="s">
        <v>204</v>
      </c>
      <c r="B81" s="152">
        <v>1</v>
      </c>
      <c r="C81" s="152">
        <v>0.88495575221238942</v>
      </c>
      <c r="D81" s="152">
        <v>0.74115044247787609</v>
      </c>
      <c r="E81" s="152">
        <v>0.67146017699115046</v>
      </c>
      <c r="F81" s="152">
        <v>0.44469026548672569</v>
      </c>
      <c r="G81" s="152">
        <v>0.81194690265486724</v>
      </c>
      <c r="H81" s="152">
        <v>0.8252212389380531</v>
      </c>
      <c r="I81" s="152">
        <v>0.78761061946902655</v>
      </c>
      <c r="J81" s="152">
        <v>0.88384955752212391</v>
      </c>
      <c r="K81" s="152">
        <v>1.043141592920354</v>
      </c>
      <c r="L81" s="152">
        <v>0.9502212389380531</v>
      </c>
      <c r="M81" s="152">
        <v>0.95243362831858402</v>
      </c>
      <c r="N81" s="152">
        <v>0.9502212389380531</v>
      </c>
      <c r="O81" s="152">
        <v>0.79314159292035402</v>
      </c>
      <c r="P81" s="152">
        <v>1.0188053097345133</v>
      </c>
      <c r="Q81" s="152">
        <v>0.99446902654867253</v>
      </c>
      <c r="R81" s="152">
        <v>0.65929203539823011</v>
      </c>
      <c r="S81" s="152">
        <v>1.3827433628318584</v>
      </c>
      <c r="T81" s="152">
        <v>1.2168141592920354</v>
      </c>
      <c r="U81" s="152">
        <v>0.6747787610619469</v>
      </c>
      <c r="V81" s="152">
        <v>1.0464601769911503</v>
      </c>
      <c r="W81" s="152">
        <v>1.0707964601769913</v>
      </c>
      <c r="X81" s="152">
        <v>0.99557522123893805</v>
      </c>
      <c r="Y81" s="159">
        <v>0.77323008849557517</v>
      </c>
      <c r="Z81" s="152">
        <v>0.90597345132743368</v>
      </c>
      <c r="AA81" s="152">
        <v>0.85176991150442483</v>
      </c>
      <c r="AB81" s="152">
        <v>0.61393805309734517</v>
      </c>
    </row>
    <row r="82" spans="1:28">
      <c r="A82" s="136" t="s">
        <v>205</v>
      </c>
      <c r="B82" s="152">
        <v>1</v>
      </c>
      <c r="C82" s="152">
        <v>0.83193277310924374</v>
      </c>
      <c r="D82" s="152">
        <v>0.65126050420168069</v>
      </c>
      <c r="E82" s="152">
        <v>0.91176470588235292</v>
      </c>
      <c r="F82" s="152">
        <v>0.55882352941176472</v>
      </c>
      <c r="G82" s="152">
        <v>0.7142857142857143</v>
      </c>
      <c r="H82" s="152">
        <v>0.86554621848739499</v>
      </c>
      <c r="I82" s="152">
        <v>0.80252100840336138</v>
      </c>
      <c r="J82" s="152">
        <v>0.8613445378151261</v>
      </c>
      <c r="K82" s="152">
        <v>0.94117647058823528</v>
      </c>
      <c r="L82" s="152">
        <v>0.87815126050420167</v>
      </c>
      <c r="M82" s="152">
        <v>0.84873949579831931</v>
      </c>
      <c r="N82" s="152">
        <v>0.8571428571428571</v>
      </c>
      <c r="O82" s="152">
        <v>0.97058823529411764</v>
      </c>
      <c r="P82" s="152">
        <v>0.76470588235294112</v>
      </c>
      <c r="Q82" s="152">
        <v>0.89915966386554624</v>
      </c>
      <c r="R82" s="152">
        <v>0.47058823529411764</v>
      </c>
      <c r="S82" s="152">
        <v>0.76470588235294112</v>
      </c>
      <c r="T82" s="152">
        <v>0.7857142857142857</v>
      </c>
      <c r="U82" s="152">
        <v>0.5672268907563025</v>
      </c>
      <c r="V82" s="152">
        <v>0.82352941176470584</v>
      </c>
      <c r="W82" s="152">
        <v>0.77310924369747902</v>
      </c>
      <c r="X82" s="152">
        <v>0.80252100840336138</v>
      </c>
      <c r="Y82" s="159">
        <v>0.60924369747899154</v>
      </c>
      <c r="Z82" s="152">
        <v>1.4285714285714286</v>
      </c>
      <c r="AA82" s="152">
        <v>2.0210084033613445</v>
      </c>
      <c r="AB82" s="152">
        <v>3.172268907563025</v>
      </c>
    </row>
    <row r="83" spans="1:28">
      <c r="A83" s="136" t="s">
        <v>206</v>
      </c>
      <c r="B83" s="152">
        <v>1</v>
      </c>
      <c r="C83" s="152">
        <v>0.84732824427480913</v>
      </c>
      <c r="D83" s="152">
        <v>0.58625954198473285</v>
      </c>
      <c r="E83" s="152">
        <v>0.75648854961832057</v>
      </c>
      <c r="F83" s="152">
        <v>0.48015267175572518</v>
      </c>
      <c r="G83" s="152">
        <v>0.66946564885496185</v>
      </c>
      <c r="H83" s="152">
        <v>0.77099236641221369</v>
      </c>
      <c r="I83" s="152">
        <v>0.67022900763358784</v>
      </c>
      <c r="J83" s="152">
        <v>0.69541984732824424</v>
      </c>
      <c r="K83" s="152">
        <v>0.67328244274809157</v>
      </c>
      <c r="L83" s="152">
        <v>0.68396946564885497</v>
      </c>
      <c r="M83" s="152">
        <v>0.72137404580152675</v>
      </c>
      <c r="N83" s="152">
        <v>0.53740458015267178</v>
      </c>
      <c r="O83" s="152">
        <v>0.69312977099236639</v>
      </c>
      <c r="P83" s="152">
        <v>0.54274809160305348</v>
      </c>
      <c r="Q83" s="152">
        <v>0.4580152671755725</v>
      </c>
      <c r="R83" s="152">
        <v>0.34351145038167941</v>
      </c>
      <c r="S83" s="152">
        <v>0.73587786259541987</v>
      </c>
      <c r="T83" s="152">
        <v>0.65954198473282444</v>
      </c>
      <c r="U83" s="152">
        <v>0.52900763358778624</v>
      </c>
      <c r="V83" s="152">
        <v>0.58778625954198471</v>
      </c>
      <c r="W83" s="152">
        <v>0.59312977099236641</v>
      </c>
      <c r="X83" s="152">
        <v>0.70152671755725193</v>
      </c>
      <c r="Y83" s="159">
        <v>0.44503816793893131</v>
      </c>
      <c r="Z83" s="152">
        <v>0.95419847328244278</v>
      </c>
      <c r="AA83" s="152">
        <v>1.5496183206106871</v>
      </c>
      <c r="AB83" s="152">
        <v>2.1603053435114505</v>
      </c>
    </row>
    <row r="84" spans="1:28">
      <c r="A84" s="136" t="s">
        <v>207</v>
      </c>
      <c r="B84" s="152">
        <v>1</v>
      </c>
      <c r="C84" s="152">
        <v>0.81656804733727806</v>
      </c>
      <c r="D84" s="152">
        <v>0.69230769230769229</v>
      </c>
      <c r="E84" s="152">
        <v>1.3816568047337279</v>
      </c>
      <c r="F84" s="152">
        <v>0.80177514792899407</v>
      </c>
      <c r="G84" s="152">
        <v>0.75147928994082835</v>
      </c>
      <c r="H84" s="152">
        <v>0.87278106508875741</v>
      </c>
      <c r="I84" s="152">
        <v>0.79289940828402372</v>
      </c>
      <c r="J84" s="152">
        <v>0.8224852071005917</v>
      </c>
      <c r="K84" s="152">
        <v>0.94970414201183428</v>
      </c>
      <c r="L84" s="152">
        <v>0.96153846153846156</v>
      </c>
      <c r="M84" s="152">
        <v>0.95857988165680474</v>
      </c>
      <c r="N84" s="152">
        <v>0.73964497041420119</v>
      </c>
      <c r="O84" s="152">
        <v>0.8875739644970414</v>
      </c>
      <c r="P84" s="152">
        <v>1.2248520710059172</v>
      </c>
      <c r="Q84" s="152">
        <v>0.65088757396449703</v>
      </c>
      <c r="R84" s="152">
        <v>0.53254437869822491</v>
      </c>
      <c r="S84" s="152">
        <v>0.73668639053254437</v>
      </c>
      <c r="T84" s="152">
        <v>0.88461538461538458</v>
      </c>
      <c r="U84" s="152">
        <v>0.53550295857988162</v>
      </c>
      <c r="V84" s="152">
        <v>0.96153846153846156</v>
      </c>
      <c r="W84" s="152">
        <v>0.78402366863905326</v>
      </c>
      <c r="X84" s="152">
        <v>0.6449704142011834</v>
      </c>
      <c r="Y84" s="159">
        <v>0.67455621301775148</v>
      </c>
      <c r="Z84" s="152">
        <v>1.3786982248520709</v>
      </c>
      <c r="AA84" s="152">
        <v>2.1094674556213016</v>
      </c>
      <c r="AB84" s="152">
        <v>2.029585798816568</v>
      </c>
    </row>
    <row r="85" spans="1:28">
      <c r="A85" s="136" t="s">
        <v>208</v>
      </c>
      <c r="B85" s="152">
        <v>1</v>
      </c>
      <c r="C85" s="152">
        <v>1.0547263681592041</v>
      </c>
      <c r="D85" s="152">
        <v>0.91542288557213936</v>
      </c>
      <c r="E85" s="152">
        <v>1.855721393034826</v>
      </c>
      <c r="F85" s="152">
        <v>1.1243781094527363</v>
      </c>
      <c r="G85" s="152">
        <v>0.96019900497512434</v>
      </c>
      <c r="H85" s="152">
        <v>1.0199004975124377</v>
      </c>
      <c r="I85" s="152">
        <v>1.1194029850746268</v>
      </c>
      <c r="J85" s="152">
        <v>0.9850746268656716</v>
      </c>
      <c r="K85" s="152">
        <v>1.0149253731343284</v>
      </c>
      <c r="L85" s="152">
        <v>1.1144278606965174</v>
      </c>
      <c r="M85" s="152">
        <v>1.2039800995024876</v>
      </c>
      <c r="N85" s="152">
        <v>1.044776119402985</v>
      </c>
      <c r="O85" s="152">
        <v>1.0945273631840795</v>
      </c>
      <c r="P85" s="152">
        <v>1.5522388059701493</v>
      </c>
      <c r="Q85" s="152">
        <v>0.79601990049751248</v>
      </c>
      <c r="R85" s="152">
        <v>0.73134328358208955</v>
      </c>
      <c r="S85" s="152">
        <v>1.0497512437810945</v>
      </c>
      <c r="T85" s="152">
        <v>1.1194029850746268</v>
      </c>
      <c r="U85" s="152">
        <v>0.78109452736318408</v>
      </c>
      <c r="V85" s="152">
        <v>1.1592039800995024</v>
      </c>
      <c r="W85" s="152">
        <v>1.0149253731343284</v>
      </c>
      <c r="X85" s="152">
        <v>1.0597014925373134</v>
      </c>
      <c r="Y85" s="159">
        <v>0.89054726368159209</v>
      </c>
      <c r="Z85" s="152">
        <v>1.6318407960199004</v>
      </c>
      <c r="AA85" s="152">
        <v>2.3084577114427862</v>
      </c>
      <c r="AB85" s="152">
        <v>2.3631840796019898</v>
      </c>
    </row>
    <row r="86" spans="1:28">
      <c r="A86" s="136" t="s">
        <v>209</v>
      </c>
      <c r="B86" s="152">
        <v>1</v>
      </c>
      <c r="C86" s="152">
        <v>0.70238095238095233</v>
      </c>
      <c r="D86" s="152">
        <v>0.8214285714285714</v>
      </c>
      <c r="E86" s="152">
        <v>0.90476190476190477</v>
      </c>
      <c r="F86" s="152">
        <v>0.8392857142857143</v>
      </c>
      <c r="G86" s="152">
        <v>0.76190476190476186</v>
      </c>
      <c r="H86" s="152">
        <v>0.7857142857142857</v>
      </c>
      <c r="I86" s="152">
        <v>0.80952380952380953</v>
      </c>
      <c r="J86" s="152">
        <v>0.75</v>
      </c>
      <c r="K86" s="152">
        <v>0.70833333333333337</v>
      </c>
      <c r="L86" s="152">
        <v>0.70833333333333337</v>
      </c>
      <c r="M86" s="152">
        <v>0.73809523809523814</v>
      </c>
      <c r="N86" s="152">
        <v>0.6607142857142857</v>
      </c>
      <c r="O86" s="152">
        <v>0.76190476190476186</v>
      </c>
      <c r="P86" s="152">
        <v>0.72619047619047616</v>
      </c>
      <c r="Q86" s="152">
        <v>0.64880952380952384</v>
      </c>
      <c r="R86" s="152">
        <v>1.1011904761904763</v>
      </c>
      <c r="S86" s="152">
        <v>1</v>
      </c>
      <c r="T86" s="152">
        <v>0.6964285714285714</v>
      </c>
      <c r="U86" s="152">
        <v>1.0476190476190477</v>
      </c>
      <c r="V86" s="152">
        <v>0.88095238095238093</v>
      </c>
      <c r="W86" s="152">
        <v>0.6785714285714286</v>
      </c>
      <c r="X86" s="152">
        <v>0.6964285714285714</v>
      </c>
      <c r="Y86" s="159">
        <v>0.6964285714285714</v>
      </c>
      <c r="Z86" s="152">
        <v>0.76190476190476186</v>
      </c>
      <c r="AA86" s="152">
        <v>0.93452380952380953</v>
      </c>
      <c r="AB86" s="152">
        <v>0.79166666666666663</v>
      </c>
    </row>
    <row r="87" spans="1:28" ht="15.95" thickBot="1">
      <c r="A87" s="146" t="s">
        <v>210</v>
      </c>
      <c r="B87" s="153">
        <v>1</v>
      </c>
      <c r="C87" s="153">
        <v>0.9862542955326461</v>
      </c>
      <c r="D87" s="153">
        <v>0.47079037800687284</v>
      </c>
      <c r="E87" s="153">
        <v>0.18969072164948453</v>
      </c>
      <c r="F87" s="153">
        <v>0.42611683848797249</v>
      </c>
      <c r="G87" s="153">
        <v>0.54639175257731953</v>
      </c>
      <c r="H87" s="153">
        <v>0.75945017182130581</v>
      </c>
      <c r="I87" s="153">
        <v>0.57731958762886593</v>
      </c>
      <c r="J87" s="153">
        <v>0.89690721649484539</v>
      </c>
      <c r="K87" s="153">
        <v>0.88659793814432986</v>
      </c>
      <c r="L87" s="153">
        <v>0.70446735395189009</v>
      </c>
      <c r="M87" s="153">
        <v>0.85910652920962194</v>
      </c>
      <c r="N87" s="153">
        <v>0.66323024054982815</v>
      </c>
      <c r="O87" s="153">
        <v>0.6426116838487973</v>
      </c>
      <c r="P87" s="153">
        <v>0.24982817869415808</v>
      </c>
      <c r="Q87" s="153">
        <v>0.6426116838487973</v>
      </c>
      <c r="R87" s="153">
        <v>9.4158075601374569E-2</v>
      </c>
      <c r="S87" s="153">
        <v>0.76632302405498287</v>
      </c>
      <c r="T87" s="153">
        <v>0.71477663230240551</v>
      </c>
      <c r="U87" s="153">
        <v>0.23367697594501718</v>
      </c>
      <c r="V87" s="153">
        <v>0.66666666666666663</v>
      </c>
      <c r="W87" s="153">
        <v>0.61168384879725091</v>
      </c>
      <c r="X87" s="153">
        <v>0.84879725085910651</v>
      </c>
      <c r="Y87" s="160">
        <v>0.32233676975945019</v>
      </c>
      <c r="Z87" s="153">
        <v>1.140893470790378</v>
      </c>
      <c r="AA87" s="153">
        <v>1.9587628865979381</v>
      </c>
      <c r="AB87" s="153">
        <v>1.2371134020618557</v>
      </c>
    </row>
  </sheetData>
  <mergeCells count="2">
    <mergeCell ref="B1:B2"/>
    <mergeCell ref="A1:A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18"/>
  <sheetViews>
    <sheetView topLeftCell="A7" workbookViewId="0">
      <selection activeCell="K19" sqref="K19"/>
    </sheetView>
  </sheetViews>
  <sheetFormatPr defaultColWidth="8.85546875" defaultRowHeight="15"/>
  <cols>
    <col min="1" max="1" width="9.7109375" bestFit="1" customWidth="1"/>
    <col min="2" max="2" width="9.28515625" bestFit="1" customWidth="1"/>
    <col min="25" max="28" width="10.140625" bestFit="1" customWidth="1"/>
  </cols>
  <sheetData>
    <row r="1" spans="1:28" ht="15.95" thickBot="1">
      <c r="A1" s="154" t="s">
        <v>1146</v>
      </c>
    </row>
    <row r="2" spans="1:28">
      <c r="A2" s="243" t="s">
        <v>72</v>
      </c>
      <c r="B2" s="243" t="s">
        <v>1140</v>
      </c>
      <c r="C2" s="102" t="s">
        <v>74</v>
      </c>
      <c r="D2" s="103" t="s">
        <v>75</v>
      </c>
      <c r="E2" s="103" t="s">
        <v>76</v>
      </c>
      <c r="F2" s="103" t="s">
        <v>78</v>
      </c>
      <c r="G2" s="103" t="s">
        <v>79</v>
      </c>
      <c r="H2" s="103" t="s">
        <v>80</v>
      </c>
      <c r="I2" s="103" t="s">
        <v>81</v>
      </c>
      <c r="J2" s="103" t="s">
        <v>83</v>
      </c>
      <c r="K2" s="103" t="s">
        <v>84</v>
      </c>
      <c r="L2" s="103" t="s">
        <v>85</v>
      </c>
      <c r="M2" s="103" t="s">
        <v>86</v>
      </c>
      <c r="N2" s="103" t="s">
        <v>87</v>
      </c>
      <c r="O2" s="103" t="s">
        <v>88</v>
      </c>
      <c r="P2" s="103" t="s">
        <v>89</v>
      </c>
      <c r="Q2" s="103" t="s">
        <v>90</v>
      </c>
      <c r="R2" s="103" t="s">
        <v>91</v>
      </c>
      <c r="S2" s="103" t="s">
        <v>92</v>
      </c>
      <c r="T2" s="103" t="s">
        <v>93</v>
      </c>
      <c r="U2" s="103" t="s">
        <v>94</v>
      </c>
      <c r="V2" s="103" t="s">
        <v>95</v>
      </c>
      <c r="W2" s="103" t="s">
        <v>96</v>
      </c>
      <c r="X2" s="104" t="s">
        <v>97</v>
      </c>
      <c r="Y2" s="102" t="s">
        <v>98</v>
      </c>
      <c r="Z2" s="103" t="s">
        <v>99</v>
      </c>
      <c r="AA2" s="103" t="s">
        <v>100</v>
      </c>
      <c r="AB2" s="104" t="s">
        <v>101</v>
      </c>
    </row>
    <row r="3" spans="1:28">
      <c r="A3" s="247"/>
      <c r="B3" s="247"/>
      <c r="C3" s="161" t="s">
        <v>112</v>
      </c>
      <c r="D3" s="162" t="s">
        <v>113</v>
      </c>
      <c r="E3" s="162" t="s">
        <v>114</v>
      </c>
      <c r="F3" s="162" t="s">
        <v>116</v>
      </c>
      <c r="G3" s="162" t="s">
        <v>117</v>
      </c>
      <c r="H3" s="162" t="s">
        <v>118</v>
      </c>
      <c r="I3" s="162" t="s">
        <v>119</v>
      </c>
      <c r="J3" s="162" t="s">
        <v>121</v>
      </c>
      <c r="K3" s="162" t="s">
        <v>122</v>
      </c>
      <c r="L3" s="162" t="s">
        <v>123</v>
      </c>
      <c r="M3" s="162" t="s">
        <v>124</v>
      </c>
      <c r="N3" s="162" t="s">
        <v>125</v>
      </c>
      <c r="O3" s="162" t="s">
        <v>126</v>
      </c>
      <c r="P3" s="162" t="s">
        <v>127</v>
      </c>
      <c r="Q3" s="162" t="s">
        <v>128</v>
      </c>
      <c r="R3" s="162" t="s">
        <v>129</v>
      </c>
      <c r="S3" s="162" t="s">
        <v>130</v>
      </c>
      <c r="T3" s="162" t="s">
        <v>131</v>
      </c>
      <c r="U3" s="162" t="s">
        <v>132</v>
      </c>
      <c r="V3" s="162" t="s">
        <v>133</v>
      </c>
      <c r="W3" s="162" t="s">
        <v>134</v>
      </c>
      <c r="X3" s="163" t="s">
        <v>135</v>
      </c>
      <c r="Y3" s="161" t="s">
        <v>136</v>
      </c>
      <c r="Z3" s="162" t="s">
        <v>137</v>
      </c>
      <c r="AA3" s="162" t="s">
        <v>138</v>
      </c>
      <c r="AB3" s="163" t="s">
        <v>139</v>
      </c>
    </row>
    <row r="4" spans="1:28">
      <c r="A4" s="164" t="s">
        <v>167</v>
      </c>
      <c r="B4" s="165">
        <v>1</v>
      </c>
      <c r="C4" s="166"/>
      <c r="D4" s="166"/>
      <c r="E4" s="166"/>
      <c r="F4" s="166"/>
      <c r="G4" s="166"/>
      <c r="H4" s="166"/>
      <c r="I4" s="166"/>
      <c r="J4" s="165">
        <v>1.361904761904762</v>
      </c>
      <c r="K4" s="165">
        <v>1.0476190476190477</v>
      </c>
      <c r="L4" s="165"/>
      <c r="M4" s="165"/>
      <c r="N4" s="165"/>
      <c r="O4" s="174">
        <v>1.5523809523809524</v>
      </c>
      <c r="P4" s="166"/>
      <c r="Q4" s="166"/>
      <c r="R4" s="166"/>
      <c r="S4" s="166"/>
      <c r="T4" s="166"/>
      <c r="U4" s="166"/>
      <c r="V4" s="166"/>
      <c r="W4" s="166"/>
      <c r="X4" s="166"/>
      <c r="Y4" s="166"/>
      <c r="Z4" s="166"/>
      <c r="AA4" s="166"/>
      <c r="AB4" s="166"/>
    </row>
    <row r="5" spans="1:28">
      <c r="A5" s="164" t="s">
        <v>186</v>
      </c>
      <c r="B5" s="165">
        <v>1</v>
      </c>
      <c r="C5" s="166"/>
      <c r="D5" s="166"/>
      <c r="E5" s="166"/>
      <c r="F5" s="166"/>
      <c r="G5" s="166"/>
      <c r="H5" s="166"/>
      <c r="I5" s="166"/>
      <c r="J5" s="165">
        <v>1.1813471502590673</v>
      </c>
      <c r="K5" s="165"/>
      <c r="L5" s="165">
        <v>0.82124352331606221</v>
      </c>
      <c r="M5" s="165">
        <v>0.7538860103626942</v>
      </c>
      <c r="N5" s="165">
        <v>0.81606217616580312</v>
      </c>
      <c r="O5" s="165">
        <v>0.61658031088082899</v>
      </c>
      <c r="P5" s="166"/>
      <c r="Q5" s="165">
        <v>1.0906735751295336</v>
      </c>
      <c r="R5" s="165">
        <v>1.4041450777202074</v>
      </c>
      <c r="S5" s="165"/>
      <c r="T5" s="165">
        <v>0.8704663212435233</v>
      </c>
      <c r="U5" s="165">
        <v>0.65544041450777202</v>
      </c>
      <c r="V5" s="165">
        <v>1.2720207253886009</v>
      </c>
      <c r="W5" s="165">
        <v>1.2694300518134713</v>
      </c>
      <c r="X5" s="165">
        <v>0.96632124352331605</v>
      </c>
      <c r="Y5" s="166"/>
      <c r="Z5" s="166"/>
      <c r="AA5" s="166"/>
      <c r="AB5" s="166"/>
    </row>
    <row r="6" spans="1:28">
      <c r="A6" s="164" t="s">
        <v>170</v>
      </c>
      <c r="B6" s="165">
        <v>1</v>
      </c>
      <c r="C6" s="166"/>
      <c r="D6" s="166"/>
      <c r="E6" s="166"/>
      <c r="F6" s="166"/>
      <c r="G6" s="166"/>
      <c r="H6" s="166"/>
      <c r="I6" s="166"/>
      <c r="J6" s="166"/>
      <c r="K6" s="166"/>
      <c r="L6" s="166"/>
      <c r="M6" s="166"/>
      <c r="N6" s="166"/>
      <c r="O6" s="166"/>
      <c r="P6" s="166"/>
      <c r="Q6" s="166"/>
      <c r="R6" s="166"/>
      <c r="S6" s="166"/>
      <c r="T6" s="166"/>
      <c r="U6" s="166"/>
      <c r="V6" s="166"/>
      <c r="W6" s="166"/>
      <c r="X6" s="166"/>
      <c r="Y6" s="165">
        <v>0.80234833659491189</v>
      </c>
      <c r="Z6" s="165">
        <v>0.95303326810176126</v>
      </c>
      <c r="AA6" s="174">
        <v>1.3620352250489236</v>
      </c>
      <c r="AB6" s="165">
        <v>1.1056751467710371</v>
      </c>
    </row>
    <row r="7" spans="1:28">
      <c r="A7" s="156"/>
      <c r="B7" s="155"/>
      <c r="C7" s="157"/>
      <c r="D7" s="157"/>
      <c r="E7" s="157"/>
      <c r="F7" s="157"/>
      <c r="G7" s="157"/>
      <c r="H7" s="157"/>
      <c r="I7" s="157"/>
      <c r="J7" s="158"/>
      <c r="K7" s="158"/>
      <c r="L7" s="158"/>
      <c r="M7" s="158"/>
      <c r="N7" s="158"/>
      <c r="O7" s="158"/>
      <c r="P7" s="157"/>
      <c r="Q7" s="157"/>
      <c r="R7" s="157"/>
      <c r="S7" s="157"/>
      <c r="T7" s="157"/>
      <c r="U7" s="157"/>
      <c r="V7" s="157"/>
      <c r="W7" s="157"/>
      <c r="X7" s="157"/>
      <c r="Y7" s="157"/>
      <c r="Z7" s="157"/>
      <c r="AA7" s="157"/>
      <c r="AB7" s="157"/>
    </row>
    <row r="8" spans="1:28" ht="15.95" thickBot="1">
      <c r="A8" s="175" t="s">
        <v>1147</v>
      </c>
      <c r="B8" s="155"/>
      <c r="C8" s="157"/>
      <c r="D8" s="157"/>
      <c r="E8" s="157"/>
      <c r="F8" s="157"/>
      <c r="G8" s="157"/>
      <c r="H8" s="157"/>
      <c r="I8" s="157"/>
      <c r="J8" s="158"/>
      <c r="K8" s="158"/>
      <c r="L8" s="158"/>
      <c r="M8" s="158"/>
      <c r="N8" s="158"/>
      <c r="O8" s="158"/>
      <c r="P8" s="157"/>
      <c r="Q8" s="157"/>
      <c r="R8" s="157"/>
      <c r="S8" s="157"/>
      <c r="T8" s="157"/>
      <c r="U8" s="157"/>
      <c r="V8" s="157"/>
      <c r="W8" s="157"/>
      <c r="X8" s="157"/>
      <c r="Y8" s="157"/>
      <c r="Z8" s="157"/>
      <c r="AA8" s="157"/>
      <c r="AB8" s="157"/>
    </row>
    <row r="9" spans="1:28">
      <c r="A9" s="243" t="s">
        <v>72</v>
      </c>
      <c r="B9" s="243" t="s">
        <v>1140</v>
      </c>
      <c r="C9" s="102" t="s">
        <v>74</v>
      </c>
      <c r="D9" s="103" t="s">
        <v>75</v>
      </c>
      <c r="E9" s="103" t="s">
        <v>76</v>
      </c>
      <c r="F9" s="103" t="s">
        <v>78</v>
      </c>
      <c r="G9" s="103" t="s">
        <v>79</v>
      </c>
      <c r="H9" s="103" t="s">
        <v>80</v>
      </c>
      <c r="I9" s="103" t="s">
        <v>81</v>
      </c>
      <c r="J9" s="103" t="s">
        <v>83</v>
      </c>
      <c r="K9" s="103" t="s">
        <v>84</v>
      </c>
      <c r="L9" s="103" t="s">
        <v>85</v>
      </c>
      <c r="M9" s="103" t="s">
        <v>86</v>
      </c>
      <c r="N9" s="103" t="s">
        <v>87</v>
      </c>
      <c r="O9" s="103" t="s">
        <v>88</v>
      </c>
      <c r="P9" s="103" t="s">
        <v>89</v>
      </c>
      <c r="Q9" s="103" t="s">
        <v>90</v>
      </c>
      <c r="R9" s="103" t="s">
        <v>91</v>
      </c>
      <c r="S9" s="103" t="s">
        <v>92</v>
      </c>
      <c r="T9" s="103" t="s">
        <v>93</v>
      </c>
      <c r="U9" s="103" t="s">
        <v>94</v>
      </c>
      <c r="V9" s="103" t="s">
        <v>95</v>
      </c>
      <c r="W9" s="103" t="s">
        <v>96</v>
      </c>
      <c r="X9" s="104" t="s">
        <v>97</v>
      </c>
      <c r="Y9" s="102" t="s">
        <v>98</v>
      </c>
      <c r="Z9" s="103" t="s">
        <v>99</v>
      </c>
      <c r="AA9" s="103" t="s">
        <v>100</v>
      </c>
      <c r="AB9" s="104" t="s">
        <v>101</v>
      </c>
    </row>
    <row r="10" spans="1:28">
      <c r="A10" s="247"/>
      <c r="B10" s="247"/>
      <c r="C10" s="161" t="s">
        <v>112</v>
      </c>
      <c r="D10" s="162" t="s">
        <v>113</v>
      </c>
      <c r="E10" s="162" t="s">
        <v>114</v>
      </c>
      <c r="F10" s="162" t="s">
        <v>116</v>
      </c>
      <c r="G10" s="162" t="s">
        <v>117</v>
      </c>
      <c r="H10" s="162" t="s">
        <v>118</v>
      </c>
      <c r="I10" s="162" t="s">
        <v>119</v>
      </c>
      <c r="J10" s="162" t="s">
        <v>121</v>
      </c>
      <c r="K10" s="162" t="s">
        <v>122</v>
      </c>
      <c r="L10" s="162" t="s">
        <v>123</v>
      </c>
      <c r="M10" s="162" t="s">
        <v>124</v>
      </c>
      <c r="N10" s="162" t="s">
        <v>125</v>
      </c>
      <c r="O10" s="162" t="s">
        <v>126</v>
      </c>
      <c r="P10" s="162" t="s">
        <v>127</v>
      </c>
      <c r="Q10" s="162" t="s">
        <v>128</v>
      </c>
      <c r="R10" s="162" t="s">
        <v>129</v>
      </c>
      <c r="S10" s="162" t="s">
        <v>130</v>
      </c>
      <c r="T10" s="162" t="s">
        <v>131</v>
      </c>
      <c r="U10" s="162" t="s">
        <v>132</v>
      </c>
      <c r="V10" s="162" t="s">
        <v>133</v>
      </c>
      <c r="W10" s="162" t="s">
        <v>134</v>
      </c>
      <c r="X10" s="163" t="s">
        <v>135</v>
      </c>
      <c r="Y10" s="161" t="s">
        <v>136</v>
      </c>
      <c r="Z10" s="162" t="s">
        <v>137</v>
      </c>
      <c r="AA10" s="162" t="s">
        <v>138</v>
      </c>
      <c r="AB10" s="163" t="s">
        <v>139</v>
      </c>
    </row>
    <row r="11" spans="1:28">
      <c r="A11" s="168" t="s">
        <v>167</v>
      </c>
      <c r="B11" s="167">
        <v>1</v>
      </c>
      <c r="C11" s="167">
        <v>0.71830985915492962</v>
      </c>
      <c r="D11" s="167">
        <v>1.0387323943661972</v>
      </c>
      <c r="E11" s="167">
        <v>0.53521126760563376</v>
      </c>
      <c r="F11" s="167">
        <v>0.56338028169014087</v>
      </c>
      <c r="G11" s="167">
        <v>0.93661971830985913</v>
      </c>
      <c r="H11" s="167">
        <v>0.92253521126760563</v>
      </c>
      <c r="I11" s="167">
        <v>0.82746478873239437</v>
      </c>
      <c r="J11" s="167">
        <v>0.98943661971830987</v>
      </c>
      <c r="K11" s="167">
        <v>0.68661971830985913</v>
      </c>
      <c r="L11" s="167">
        <v>0.71830985915492962</v>
      </c>
      <c r="M11" s="167">
        <v>0.5880281690140845</v>
      </c>
      <c r="N11" s="167">
        <v>0.60915492957746475</v>
      </c>
      <c r="O11" s="174">
        <v>0.66901408450704225</v>
      </c>
      <c r="P11" s="167">
        <v>0.43309859154929575</v>
      </c>
      <c r="Q11" s="167">
        <v>0.83098591549295775</v>
      </c>
      <c r="R11" s="167">
        <v>1.4190140845070423</v>
      </c>
      <c r="S11" s="167">
        <v>0.48239436619718312</v>
      </c>
      <c r="T11" s="167">
        <v>0.57746478873239437</v>
      </c>
      <c r="U11" s="167">
        <v>0.77464788732394363</v>
      </c>
      <c r="V11" s="167">
        <v>0.55633802816901412</v>
      </c>
      <c r="W11" s="167">
        <v>0.55281690140845074</v>
      </c>
      <c r="X11" s="167">
        <v>0.80281690140845074</v>
      </c>
      <c r="Y11" s="167">
        <v>0.80281690140845074</v>
      </c>
      <c r="Z11" s="167">
        <v>0.5598591549295775</v>
      </c>
      <c r="AA11" s="167">
        <v>0.38028169014084506</v>
      </c>
      <c r="AB11" s="169">
        <v>0.26478873239436618</v>
      </c>
    </row>
    <row r="12" spans="1:28">
      <c r="A12" s="168" t="s">
        <v>186</v>
      </c>
      <c r="B12" s="167">
        <v>1</v>
      </c>
      <c r="C12" s="167">
        <v>0.69262865090403336</v>
      </c>
      <c r="D12" s="167">
        <v>0.64812239221140477</v>
      </c>
      <c r="E12" s="167">
        <v>0.7315716272600834</v>
      </c>
      <c r="F12" s="167">
        <v>0.51460361613351879</v>
      </c>
      <c r="G12" s="167">
        <v>0.73991655076495133</v>
      </c>
      <c r="H12" s="167">
        <v>0.80945757997218359</v>
      </c>
      <c r="I12" s="167">
        <v>0.56467315716272604</v>
      </c>
      <c r="J12" s="167">
        <v>0.68150208623087627</v>
      </c>
      <c r="K12" s="167">
        <v>0.69541029207232263</v>
      </c>
      <c r="L12" s="167">
        <v>0.68984700973574409</v>
      </c>
      <c r="M12" s="167">
        <v>0.69819193324061191</v>
      </c>
      <c r="N12" s="167">
        <v>0.60917941585535462</v>
      </c>
      <c r="O12" s="167">
        <v>0.67315716272600834</v>
      </c>
      <c r="P12" s="167">
        <v>0.7649513212795549</v>
      </c>
      <c r="Q12" s="167">
        <v>0.63699582753824757</v>
      </c>
      <c r="R12" s="167">
        <v>0.71488178025034765</v>
      </c>
      <c r="S12" s="167">
        <v>0.94993045897079276</v>
      </c>
      <c r="T12" s="167">
        <v>0.71766342141863704</v>
      </c>
      <c r="U12" s="167">
        <v>0.5897079276773296</v>
      </c>
      <c r="V12" s="167">
        <v>0.67732962447844225</v>
      </c>
      <c r="W12" s="167">
        <v>0.71488178025034765</v>
      </c>
      <c r="X12" s="167">
        <v>0.76634214186369953</v>
      </c>
      <c r="Y12" s="167">
        <v>0.56884561891515995</v>
      </c>
      <c r="Z12" s="167">
        <v>0.86787204450625866</v>
      </c>
      <c r="AA12" s="167">
        <v>0.85118219749652291</v>
      </c>
      <c r="AB12" s="169">
        <v>0.7426981919332406</v>
      </c>
    </row>
    <row r="13" spans="1:28" ht="15.95" thickBot="1">
      <c r="A13" s="170" t="s">
        <v>170</v>
      </c>
      <c r="B13" s="171">
        <v>1</v>
      </c>
      <c r="C13" s="171">
        <v>1.050314465408805</v>
      </c>
      <c r="D13" s="171">
        <v>0.9161425576519916</v>
      </c>
      <c r="E13" s="171">
        <v>1.1174004192872118</v>
      </c>
      <c r="F13" s="171">
        <v>0.38364779874213839</v>
      </c>
      <c r="G13" s="171">
        <v>0.96016771488469599</v>
      </c>
      <c r="H13" s="171">
        <v>0.94129979035639411</v>
      </c>
      <c r="I13" s="171">
        <v>0.78197064989517817</v>
      </c>
      <c r="J13" s="171">
        <v>1.0272536687631026</v>
      </c>
      <c r="K13" s="171">
        <v>1.220125786163522</v>
      </c>
      <c r="L13" s="171">
        <v>1.0922431865828093</v>
      </c>
      <c r="M13" s="171">
        <v>0.94339622641509435</v>
      </c>
      <c r="N13" s="171">
        <v>1.0566037735849056</v>
      </c>
      <c r="O13" s="171">
        <v>0.74004192872117402</v>
      </c>
      <c r="P13" s="171">
        <v>0.87002096436058696</v>
      </c>
      <c r="Q13" s="171">
        <v>1.0398322851153039</v>
      </c>
      <c r="R13" s="171">
        <v>1.0461215932914045</v>
      </c>
      <c r="S13" s="171">
        <v>0.77777777777777779</v>
      </c>
      <c r="T13" s="171">
        <v>0.95597484276729561</v>
      </c>
      <c r="U13" s="171">
        <v>0.98113207547169812</v>
      </c>
      <c r="V13" s="171">
        <v>1.0398322851153039</v>
      </c>
      <c r="W13" s="171">
        <v>1.2348008385744236</v>
      </c>
      <c r="X13" s="171">
        <v>1.278825995807128</v>
      </c>
      <c r="Y13" s="171">
        <v>0.82599580712788256</v>
      </c>
      <c r="Z13" s="171">
        <v>0.91404612159329135</v>
      </c>
      <c r="AA13" s="173">
        <v>0.71488469601677151</v>
      </c>
      <c r="AB13" s="172">
        <v>1.0587002096436058</v>
      </c>
    </row>
    <row r="15" spans="1:28">
      <c r="A15" s="175" t="s">
        <v>1148</v>
      </c>
    </row>
    <row r="16" spans="1:28">
      <c r="A16" s="164" t="s">
        <v>167</v>
      </c>
      <c r="B16" s="165">
        <v>1</v>
      </c>
      <c r="C16" s="176">
        <f>1.0379*C11+0.335</f>
        <v>1.0805338028169016</v>
      </c>
      <c r="D16" s="176">
        <f t="shared" ref="D16:I16" si="0">1.0379*D11+0.335</f>
        <v>1.4131003521126762</v>
      </c>
      <c r="E16" s="176">
        <f t="shared" si="0"/>
        <v>0.89049577464788743</v>
      </c>
      <c r="F16" s="176">
        <f t="shared" si="0"/>
        <v>0.91973239436619725</v>
      </c>
      <c r="G16" s="176">
        <f t="shared" si="0"/>
        <v>1.3071176056338027</v>
      </c>
      <c r="H16" s="176">
        <f t="shared" si="0"/>
        <v>1.2924992957746479</v>
      </c>
      <c r="I16" s="176">
        <f t="shared" si="0"/>
        <v>1.1938257042253522</v>
      </c>
      <c r="J16" s="165">
        <v>1.361904761904762</v>
      </c>
      <c r="K16" s="165">
        <v>1.0476190476190477</v>
      </c>
      <c r="L16" s="176">
        <f t="shared" ref="L16:AB16" si="1">1.0379*L11+0.335</f>
        <v>1.0805338028169016</v>
      </c>
      <c r="M16" s="176">
        <f t="shared" si="1"/>
        <v>0.94531443661971837</v>
      </c>
      <c r="N16" s="176">
        <f t="shared" si="1"/>
        <v>0.96724190140845079</v>
      </c>
      <c r="O16" s="176">
        <f t="shared" si="1"/>
        <v>1.0293697183098591</v>
      </c>
      <c r="P16" s="176">
        <f t="shared" si="1"/>
        <v>0.78451302816901403</v>
      </c>
      <c r="Q16" s="176">
        <f t="shared" si="1"/>
        <v>1.1974802816901409</v>
      </c>
      <c r="R16" s="176">
        <f t="shared" si="1"/>
        <v>1.8077947183098593</v>
      </c>
      <c r="S16" s="176">
        <f t="shared" si="1"/>
        <v>0.83567711267605649</v>
      </c>
      <c r="T16" s="176">
        <f t="shared" si="1"/>
        <v>0.93435070422535227</v>
      </c>
      <c r="U16" s="176">
        <f t="shared" si="1"/>
        <v>1.1390070422535212</v>
      </c>
      <c r="V16" s="176">
        <f t="shared" si="1"/>
        <v>0.91242323943661985</v>
      </c>
      <c r="W16" s="176">
        <f t="shared" si="1"/>
        <v>0.90876866197183115</v>
      </c>
      <c r="X16" s="176">
        <f t="shared" si="1"/>
        <v>1.168243661971831</v>
      </c>
      <c r="Y16" s="176">
        <f t="shared" si="1"/>
        <v>1.168243661971831</v>
      </c>
      <c r="Z16" s="176">
        <f t="shared" si="1"/>
        <v>0.91607781690140855</v>
      </c>
      <c r="AA16" s="176">
        <f t="shared" si="1"/>
        <v>0.72969436619718309</v>
      </c>
      <c r="AB16" s="176">
        <f t="shared" si="1"/>
        <v>0.60982422535211267</v>
      </c>
    </row>
    <row r="17" spans="1:28">
      <c r="A17" s="164" t="s">
        <v>170</v>
      </c>
      <c r="B17" s="165">
        <v>1</v>
      </c>
      <c r="C17" s="176">
        <f>1.2789*C13-0.2395</f>
        <v>1.1037471698113206</v>
      </c>
      <c r="D17" s="176">
        <f t="shared" ref="D17:X17" si="2">1.2789*D13-0.2395</f>
        <v>0.93215471698113195</v>
      </c>
      <c r="E17" s="176">
        <f t="shared" si="2"/>
        <v>1.189543396226415</v>
      </c>
      <c r="F17" s="176">
        <f t="shared" si="2"/>
        <v>0.25114716981132079</v>
      </c>
      <c r="G17" s="176">
        <f t="shared" si="2"/>
        <v>0.98845849056603763</v>
      </c>
      <c r="H17" s="176">
        <f t="shared" si="2"/>
        <v>0.96432830188679231</v>
      </c>
      <c r="I17" s="176">
        <f t="shared" si="2"/>
        <v>0.7605622641509433</v>
      </c>
      <c r="J17" s="176">
        <f t="shared" si="2"/>
        <v>1.0742547169811318</v>
      </c>
      <c r="K17" s="176">
        <f t="shared" si="2"/>
        <v>1.3209188679245281</v>
      </c>
      <c r="L17" s="176">
        <f t="shared" si="2"/>
        <v>1.1573698113207547</v>
      </c>
      <c r="M17" s="176">
        <f t="shared" si="2"/>
        <v>0.96700943396226413</v>
      </c>
      <c r="N17" s="176">
        <f t="shared" si="2"/>
        <v>1.1117905660377356</v>
      </c>
      <c r="O17" s="176">
        <f t="shared" si="2"/>
        <v>0.70693962264150945</v>
      </c>
      <c r="P17" s="176">
        <f t="shared" si="2"/>
        <v>0.87316981132075444</v>
      </c>
      <c r="Q17" s="176">
        <f t="shared" si="2"/>
        <v>1.0903415094339621</v>
      </c>
      <c r="R17" s="176">
        <f t="shared" si="2"/>
        <v>1.0983849056603772</v>
      </c>
      <c r="S17" s="176">
        <f t="shared" si="2"/>
        <v>0.75519999999999987</v>
      </c>
      <c r="T17" s="176">
        <f t="shared" si="2"/>
        <v>0.9830962264150942</v>
      </c>
      <c r="U17" s="176">
        <f t="shared" si="2"/>
        <v>1.0152698113207546</v>
      </c>
      <c r="V17" s="176">
        <f t="shared" si="2"/>
        <v>1.0903415094339621</v>
      </c>
      <c r="W17" s="176">
        <f t="shared" si="2"/>
        <v>1.3396867924528302</v>
      </c>
      <c r="X17" s="176">
        <f t="shared" si="2"/>
        <v>1.3959905660377359</v>
      </c>
      <c r="Y17" s="165">
        <v>0.80234833659491189</v>
      </c>
      <c r="Z17" s="165">
        <v>0.95303326810176126</v>
      </c>
      <c r="AA17" s="177">
        <f>(0.5055*0.5+0.7515)*1.2789-0.2395</f>
        <v>1.0448353249999998</v>
      </c>
      <c r="AB17" s="165">
        <v>1.1056751467710371</v>
      </c>
    </row>
    <row r="18" spans="1:28">
      <c r="A18" s="164" t="s">
        <v>186</v>
      </c>
      <c r="B18" s="165">
        <v>1</v>
      </c>
      <c r="C18" s="176">
        <f>1.9442*C12-0.3472</f>
        <v>0.99940862308762157</v>
      </c>
      <c r="D18" s="176">
        <f t="shared" ref="D18:K18" si="3">1.9442*D12-0.3472</f>
        <v>0.91287955493741313</v>
      </c>
      <c r="E18" s="176">
        <f t="shared" si="3"/>
        <v>1.075121557719054</v>
      </c>
      <c r="F18" s="176">
        <f t="shared" si="3"/>
        <v>0.65329235048678735</v>
      </c>
      <c r="G18" s="176">
        <f t="shared" si="3"/>
        <v>1.0913457579972183</v>
      </c>
      <c r="H18" s="176">
        <f t="shared" si="3"/>
        <v>1.2265474269819194</v>
      </c>
      <c r="I18" s="176">
        <f t="shared" si="3"/>
        <v>0.75063755215577199</v>
      </c>
      <c r="J18" s="165">
        <v>1.1813471502590673</v>
      </c>
      <c r="K18" s="176">
        <f t="shared" si="3"/>
        <v>1.0048166898470097</v>
      </c>
      <c r="L18" s="165">
        <v>0.82124352331606221</v>
      </c>
      <c r="M18" s="165">
        <v>0.7538860103626942</v>
      </c>
      <c r="N18" s="165">
        <v>0.81606217616580312</v>
      </c>
      <c r="O18" s="165">
        <v>0.61658031088082899</v>
      </c>
      <c r="P18" s="176">
        <f t="shared" ref="P18" si="4">1.9442*P12-0.3472</f>
        <v>1.1400183588317105</v>
      </c>
      <c r="Q18" s="165">
        <v>1.0906735751295336</v>
      </c>
      <c r="R18" s="165">
        <v>1.4041450777202074</v>
      </c>
      <c r="S18" s="176">
        <f t="shared" ref="S18" si="5">1.9442*S12-0.3472</f>
        <v>1.4996547983310153</v>
      </c>
      <c r="T18" s="165">
        <v>0.8704663212435233</v>
      </c>
      <c r="U18" s="165">
        <v>0.65544041450777202</v>
      </c>
      <c r="V18" s="165">
        <v>1.2720207253886009</v>
      </c>
      <c r="W18" s="165">
        <v>1.2694300518134713</v>
      </c>
      <c r="X18" s="165">
        <v>0.96632124352331605</v>
      </c>
      <c r="Y18" s="176">
        <f t="shared" ref="Y18:AB18" si="6">1.9442*Y12-0.3472</f>
        <v>0.75874965229485403</v>
      </c>
      <c r="Z18" s="176">
        <f t="shared" si="6"/>
        <v>1.3401168289290681</v>
      </c>
      <c r="AA18" s="176">
        <f t="shared" si="6"/>
        <v>1.3076684283727398</v>
      </c>
      <c r="AB18" s="176">
        <f t="shared" si="6"/>
        <v>1.0967538247566064</v>
      </c>
    </row>
  </sheetData>
  <mergeCells count="4">
    <mergeCell ref="A2:A3"/>
    <mergeCell ref="B2:B3"/>
    <mergeCell ref="A9:A10"/>
    <mergeCell ref="B9:B10"/>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96"/>
  <sheetViews>
    <sheetView topLeftCell="A25" workbookViewId="0">
      <selection activeCell="A7" sqref="A7"/>
    </sheetView>
  </sheetViews>
  <sheetFormatPr defaultColWidth="8.85546875" defaultRowHeight="15"/>
  <cols>
    <col min="1" max="1" width="58.140625" bestFit="1" customWidth="1"/>
    <col min="2" max="2" width="9.28515625" bestFit="1" customWidth="1"/>
    <col min="25" max="28" width="10.140625" bestFit="1" customWidth="1"/>
  </cols>
  <sheetData>
    <row r="1" spans="1:29">
      <c r="A1" s="91" t="s">
        <v>72</v>
      </c>
      <c r="B1" s="197" t="s">
        <v>1140</v>
      </c>
      <c r="C1" s="30" t="s">
        <v>74</v>
      </c>
      <c r="D1" s="30" t="s">
        <v>75</v>
      </c>
      <c r="E1" s="30" t="s">
        <v>76</v>
      </c>
      <c r="F1" s="30" t="s">
        <v>78</v>
      </c>
      <c r="G1" s="30" t="s">
        <v>79</v>
      </c>
      <c r="H1" s="30" t="s">
        <v>80</v>
      </c>
      <c r="I1" s="30" t="s">
        <v>81</v>
      </c>
      <c r="J1" s="30" t="s">
        <v>83</v>
      </c>
      <c r="K1" s="30" t="s">
        <v>84</v>
      </c>
      <c r="L1" s="30" t="s">
        <v>85</v>
      </c>
      <c r="M1" s="30" t="s">
        <v>86</v>
      </c>
      <c r="N1" s="30" t="s">
        <v>87</v>
      </c>
      <c r="O1" s="30" t="s">
        <v>88</v>
      </c>
      <c r="P1" s="30" t="s">
        <v>89</v>
      </c>
      <c r="Q1" s="30" t="s">
        <v>90</v>
      </c>
      <c r="R1" s="30" t="s">
        <v>91</v>
      </c>
      <c r="S1" s="30" t="s">
        <v>92</v>
      </c>
      <c r="T1" s="30" t="s">
        <v>93</v>
      </c>
      <c r="U1" s="30" t="s">
        <v>94</v>
      </c>
      <c r="V1" s="30" t="s">
        <v>95</v>
      </c>
      <c r="W1" s="30" t="s">
        <v>96</v>
      </c>
      <c r="X1" s="199" t="s">
        <v>97</v>
      </c>
      <c r="Y1" s="102" t="s">
        <v>98</v>
      </c>
      <c r="Z1" s="103" t="s">
        <v>99</v>
      </c>
      <c r="AA1" s="103" t="s">
        <v>100</v>
      </c>
      <c r="AB1" s="104" t="s">
        <v>101</v>
      </c>
      <c r="AC1" s="5"/>
    </row>
    <row r="2" spans="1:29">
      <c r="A2" s="91" t="s">
        <v>1142</v>
      </c>
      <c r="B2" s="198" t="s">
        <v>1143</v>
      </c>
      <c r="C2" s="79" t="s">
        <v>112</v>
      </c>
      <c r="D2" s="79" t="s">
        <v>113</v>
      </c>
      <c r="E2" s="79" t="s">
        <v>114</v>
      </c>
      <c r="F2" s="79" t="s">
        <v>116</v>
      </c>
      <c r="G2" s="79" t="s">
        <v>117</v>
      </c>
      <c r="H2" s="79" t="s">
        <v>118</v>
      </c>
      <c r="I2" s="79" t="s">
        <v>119</v>
      </c>
      <c r="J2" s="79" t="s">
        <v>121</v>
      </c>
      <c r="K2" s="79" t="s">
        <v>122</v>
      </c>
      <c r="L2" s="79" t="s">
        <v>123</v>
      </c>
      <c r="M2" s="79" t="s">
        <v>124</v>
      </c>
      <c r="N2" s="79" t="s">
        <v>125</v>
      </c>
      <c r="O2" s="79" t="s">
        <v>126</v>
      </c>
      <c r="P2" s="79" t="s">
        <v>127</v>
      </c>
      <c r="Q2" s="79" t="s">
        <v>128</v>
      </c>
      <c r="R2" s="79" t="s">
        <v>129</v>
      </c>
      <c r="S2" s="79" t="s">
        <v>130</v>
      </c>
      <c r="T2" s="79" t="s">
        <v>131</v>
      </c>
      <c r="U2" s="79" t="s">
        <v>132</v>
      </c>
      <c r="V2" s="79" t="s">
        <v>133</v>
      </c>
      <c r="W2" s="79" t="s">
        <v>134</v>
      </c>
      <c r="X2" s="108" t="s">
        <v>135</v>
      </c>
      <c r="Y2" s="105" t="s">
        <v>136</v>
      </c>
      <c r="Z2" s="79" t="s">
        <v>137</v>
      </c>
      <c r="AA2" s="79" t="s">
        <v>138</v>
      </c>
      <c r="AB2" s="106" t="s">
        <v>139</v>
      </c>
      <c r="AC2" s="79" t="s">
        <v>3</v>
      </c>
    </row>
    <row r="3" spans="1:29">
      <c r="A3" s="215" t="s">
        <v>219</v>
      </c>
      <c r="B3" s="36">
        <v>0.128</v>
      </c>
      <c r="C3" s="36">
        <v>0.13500000000000001</v>
      </c>
      <c r="D3" s="36">
        <v>0.25800000000000001</v>
      </c>
      <c r="E3" s="5"/>
      <c r="F3" s="5"/>
      <c r="G3" s="36">
        <v>0.254</v>
      </c>
      <c r="H3" s="36">
        <v>0.153</v>
      </c>
      <c r="I3" s="36">
        <v>0.113</v>
      </c>
      <c r="J3" s="5"/>
      <c r="K3" s="5"/>
      <c r="L3" s="5"/>
      <c r="M3" s="5"/>
      <c r="N3" s="5"/>
      <c r="O3" s="5"/>
      <c r="P3" s="5"/>
      <c r="Q3" s="36">
        <v>0.27</v>
      </c>
      <c r="R3" s="36">
        <v>0.47799999999999998</v>
      </c>
      <c r="S3" s="36">
        <v>0.223</v>
      </c>
      <c r="T3" s="36">
        <v>0.191</v>
      </c>
      <c r="U3" s="36">
        <v>0.254</v>
      </c>
      <c r="V3" s="36">
        <v>0.13</v>
      </c>
      <c r="W3" s="36">
        <v>0.25900000000000001</v>
      </c>
      <c r="X3" s="200">
        <v>0.26600000000000001</v>
      </c>
      <c r="Y3" s="113"/>
      <c r="Z3" s="5"/>
      <c r="AA3" s="5"/>
      <c r="AB3" s="140">
        <v>0.26900000000000002</v>
      </c>
      <c r="AC3" s="36">
        <v>0.128</v>
      </c>
    </row>
    <row r="4" spans="1:29">
      <c r="A4" s="215" t="s">
        <v>239</v>
      </c>
      <c r="B4" s="36">
        <v>5.7099999999999998E-2</v>
      </c>
      <c r="C4" s="36">
        <v>5.21E-2</v>
      </c>
      <c r="D4" s="36">
        <v>3.7199999999999997E-2</v>
      </c>
      <c r="E4" s="5"/>
      <c r="F4" s="36">
        <v>7.0999999999999994E-2</v>
      </c>
      <c r="G4" s="36">
        <v>8.6900000000000005E-2</v>
      </c>
      <c r="H4" s="36">
        <v>6.4799999999999996E-2</v>
      </c>
      <c r="I4" s="36">
        <v>8.6199999999999999E-2</v>
      </c>
      <c r="J4" s="5"/>
      <c r="K4" s="36">
        <v>5.3600000000000002E-2</v>
      </c>
      <c r="L4" s="36">
        <v>2.3599999999999999E-2</v>
      </c>
      <c r="M4" s="36">
        <v>5.5899999999999998E-2</v>
      </c>
      <c r="N4" s="36">
        <v>0.109</v>
      </c>
      <c r="O4" s="5"/>
      <c r="P4" s="36">
        <v>4.9799999999999997E-2</v>
      </c>
      <c r="Q4" s="36">
        <v>5.6800000000000003E-2</v>
      </c>
      <c r="R4" s="36">
        <v>9.3399999999999997E-2</v>
      </c>
      <c r="S4" s="36">
        <v>6.5600000000000006E-2</v>
      </c>
      <c r="T4" s="36">
        <v>3.8300000000000001E-2</v>
      </c>
      <c r="U4" s="36">
        <v>4.1799999999999997E-2</v>
      </c>
      <c r="V4" s="36">
        <v>3.0599999999999999E-2</v>
      </c>
      <c r="W4" s="36">
        <v>4.2900000000000001E-2</v>
      </c>
      <c r="X4" s="200">
        <v>7.5999999999999998E-2</v>
      </c>
      <c r="Y4" s="139">
        <v>0.128</v>
      </c>
      <c r="Z4" s="36">
        <v>3.85E-2</v>
      </c>
      <c r="AA4" s="36">
        <v>5.0799999999999998E-2</v>
      </c>
      <c r="AB4" s="140">
        <v>8.8800000000000004E-2</v>
      </c>
      <c r="AC4" s="36">
        <v>5.7099999999999998E-2</v>
      </c>
    </row>
    <row r="5" spans="1:29">
      <c r="A5" s="215" t="s">
        <v>243</v>
      </c>
      <c r="B5" s="36">
        <v>6.9500000000000006E-2</v>
      </c>
      <c r="C5" s="36">
        <v>5.8900000000000001E-2</v>
      </c>
      <c r="D5" s="36">
        <v>5.4899999999999997E-2</v>
      </c>
      <c r="E5" s="36">
        <v>0.127</v>
      </c>
      <c r="F5" s="36">
        <v>0.108</v>
      </c>
      <c r="G5" s="36">
        <v>6.8599999999999994E-2</v>
      </c>
      <c r="H5" s="36">
        <v>5.5199999999999999E-2</v>
      </c>
      <c r="I5" s="36">
        <v>5.3900000000000003E-2</v>
      </c>
      <c r="J5" s="5"/>
      <c r="K5" s="36">
        <v>9.0999999999999998E-2</v>
      </c>
      <c r="L5" s="36">
        <v>8.9300000000000004E-2</v>
      </c>
      <c r="M5" s="36">
        <v>9.3399999999999997E-2</v>
      </c>
      <c r="N5" s="36">
        <v>0.11700000000000001</v>
      </c>
      <c r="O5" s="36">
        <v>7.2099999999999997E-2</v>
      </c>
      <c r="P5" s="36">
        <v>8.8300000000000003E-2</v>
      </c>
      <c r="Q5" s="36">
        <v>7.8299999999999995E-2</v>
      </c>
      <c r="R5" s="36">
        <v>6.0400000000000002E-2</v>
      </c>
      <c r="S5" s="36">
        <v>6.5799999999999997E-2</v>
      </c>
      <c r="T5" s="36">
        <v>3.9800000000000002E-2</v>
      </c>
      <c r="U5" s="36">
        <v>5.7200000000000001E-2</v>
      </c>
      <c r="V5" s="36">
        <v>2.92E-2</v>
      </c>
      <c r="W5" s="36">
        <v>6.8099999999999994E-2</v>
      </c>
      <c r="X5" s="200">
        <v>6.7400000000000002E-2</v>
      </c>
      <c r="Y5" s="139">
        <v>9.3700000000000006E-2</v>
      </c>
      <c r="Z5" s="36">
        <v>7.0499999999999993E-2</v>
      </c>
      <c r="AA5" s="36">
        <v>4.7500000000000001E-2</v>
      </c>
      <c r="AB5" s="140">
        <v>0.20200000000000001</v>
      </c>
      <c r="AC5" s="36">
        <v>6.9500000000000006E-2</v>
      </c>
    </row>
    <row r="6" spans="1:29">
      <c r="A6" s="215" t="s">
        <v>263</v>
      </c>
      <c r="B6" s="36">
        <v>6.8599999999999994E-2</v>
      </c>
      <c r="C6" s="36">
        <v>7.46E-2</v>
      </c>
      <c r="D6" s="36">
        <v>7.5899999999999995E-2</v>
      </c>
      <c r="E6" s="5"/>
      <c r="F6" s="36">
        <v>0.105</v>
      </c>
      <c r="G6" s="36">
        <v>0.16600000000000001</v>
      </c>
      <c r="H6" s="36">
        <v>9.2700000000000005E-2</v>
      </c>
      <c r="I6" s="36">
        <v>8.3299999999999999E-2</v>
      </c>
      <c r="J6" s="5"/>
      <c r="K6" s="36">
        <v>6.9599999999999995E-2</v>
      </c>
      <c r="L6" s="36">
        <v>5.2299999999999999E-2</v>
      </c>
      <c r="M6" s="36">
        <v>0.10299999999999999</v>
      </c>
      <c r="N6" s="36">
        <v>0.224</v>
      </c>
      <c r="O6" s="5"/>
      <c r="P6" s="36">
        <v>6.0699999999999997E-2</v>
      </c>
      <c r="Q6" s="36">
        <v>0.11600000000000001</v>
      </c>
      <c r="R6" s="36">
        <v>8.4699999999999998E-2</v>
      </c>
      <c r="S6" s="36">
        <v>9.3200000000000005E-2</v>
      </c>
      <c r="T6" s="36">
        <v>3.3500000000000002E-2</v>
      </c>
      <c r="U6" s="36">
        <v>7.0099999999999996E-2</v>
      </c>
      <c r="V6" s="36">
        <v>5.2900000000000003E-2</v>
      </c>
      <c r="W6" s="36">
        <v>0.129</v>
      </c>
      <c r="X6" s="200">
        <v>0.20799999999999999</v>
      </c>
      <c r="Y6" s="139">
        <v>0.34100000000000003</v>
      </c>
      <c r="Z6" s="36">
        <v>6.9800000000000001E-2</v>
      </c>
      <c r="AA6" s="36">
        <v>6.0900000000000003E-2</v>
      </c>
      <c r="AB6" s="140">
        <v>0.182</v>
      </c>
      <c r="AC6" s="36">
        <v>6.8599999999999994E-2</v>
      </c>
    </row>
    <row r="7" spans="1:29">
      <c r="A7" s="205" t="s">
        <v>276</v>
      </c>
      <c r="B7" s="35">
        <v>3.47</v>
      </c>
      <c r="C7" s="35">
        <v>2.17</v>
      </c>
      <c r="D7" s="35">
        <v>0.76700000000000002</v>
      </c>
      <c r="E7" s="35">
        <v>1.1599999999999999</v>
      </c>
      <c r="F7" s="35">
        <v>1.59</v>
      </c>
      <c r="G7" s="35">
        <v>4.13</v>
      </c>
      <c r="H7" s="35">
        <v>3.51</v>
      </c>
      <c r="I7" s="35">
        <v>4.6100000000000003</v>
      </c>
      <c r="J7" s="35">
        <v>4.75</v>
      </c>
      <c r="K7" s="35">
        <v>8.73</v>
      </c>
      <c r="L7" s="35">
        <v>3.22</v>
      </c>
      <c r="M7" s="35">
        <v>2.5</v>
      </c>
      <c r="N7" s="35">
        <v>2.68</v>
      </c>
      <c r="O7" s="35">
        <v>2.76</v>
      </c>
      <c r="P7" s="35">
        <v>2.38</v>
      </c>
      <c r="Q7" s="35">
        <v>5.19</v>
      </c>
      <c r="R7" s="35">
        <v>3.73</v>
      </c>
      <c r="S7" s="35">
        <v>3.77</v>
      </c>
      <c r="T7" s="35">
        <v>13.1</v>
      </c>
      <c r="U7" s="35">
        <v>6.9</v>
      </c>
      <c r="V7" s="35">
        <v>3.18</v>
      </c>
      <c r="W7" s="35">
        <v>4.0199999999999996</v>
      </c>
      <c r="X7" s="202">
        <v>4.9000000000000004</v>
      </c>
      <c r="Y7" s="204">
        <v>2.37</v>
      </c>
      <c r="Z7" s="35">
        <v>5.17</v>
      </c>
      <c r="AA7" s="35">
        <v>5.15</v>
      </c>
      <c r="AB7" s="138">
        <v>2.61</v>
      </c>
      <c r="AC7" s="35">
        <v>3.47</v>
      </c>
    </row>
    <row r="8" spans="1:29">
      <c r="A8" s="215" t="s">
        <v>306</v>
      </c>
      <c r="B8" s="35">
        <v>0.12</v>
      </c>
      <c r="C8" s="35">
        <v>2.75E-2</v>
      </c>
      <c r="D8" s="35">
        <v>1.8800000000000001E-2</v>
      </c>
      <c r="E8" s="3"/>
      <c r="F8" s="35">
        <v>1.2999999999999999E-2</v>
      </c>
      <c r="G8" s="35">
        <v>6.1600000000000002E-2</v>
      </c>
      <c r="H8" s="35">
        <v>6.6400000000000001E-2</v>
      </c>
      <c r="I8" s="35">
        <v>3.95E-2</v>
      </c>
      <c r="J8" s="3"/>
      <c r="K8" s="35">
        <v>0.215</v>
      </c>
      <c r="L8" s="35">
        <v>0.23</v>
      </c>
      <c r="M8" s="35">
        <v>0.159</v>
      </c>
      <c r="N8" s="35">
        <v>8.2500000000000004E-2</v>
      </c>
      <c r="O8" s="3"/>
      <c r="P8" s="35">
        <v>2.6599999999999999E-2</v>
      </c>
      <c r="Q8" s="35">
        <v>0.10199999999999999</v>
      </c>
      <c r="R8" s="35">
        <v>2.6599999999999999E-2</v>
      </c>
      <c r="S8" s="35">
        <v>5.7500000000000002E-2</v>
      </c>
      <c r="T8" s="35">
        <v>6.9199999999999998E-2</v>
      </c>
      <c r="U8" s="3"/>
      <c r="V8" s="35">
        <v>1.7500000000000002E-2</v>
      </c>
      <c r="W8" s="35">
        <v>8.2699999999999996E-2</v>
      </c>
      <c r="X8" s="202">
        <v>7.8200000000000006E-2</v>
      </c>
      <c r="Y8" s="204">
        <v>1.8100000000000002E-2</v>
      </c>
      <c r="Z8" s="35">
        <v>6.9500000000000006E-2</v>
      </c>
      <c r="AA8" s="35">
        <v>4.7699999999999999E-2</v>
      </c>
      <c r="AB8" s="138">
        <v>0.14899999999999999</v>
      </c>
      <c r="AC8" s="35">
        <v>0.12</v>
      </c>
    </row>
    <row r="9" spans="1:29">
      <c r="A9" s="215" t="s">
        <v>311</v>
      </c>
      <c r="B9" s="36">
        <v>0.126</v>
      </c>
      <c r="C9" s="5"/>
      <c r="D9" s="5"/>
      <c r="E9" s="5"/>
      <c r="F9" s="36">
        <v>0.107</v>
      </c>
      <c r="G9" s="5"/>
      <c r="H9" s="5"/>
      <c r="I9" s="5"/>
      <c r="J9" s="5"/>
      <c r="K9" s="5"/>
      <c r="L9" s="5"/>
      <c r="M9" s="5"/>
      <c r="N9" s="5"/>
      <c r="O9" s="5"/>
      <c r="P9" s="36">
        <v>5.7299999999999997E-2</v>
      </c>
      <c r="Q9" s="36">
        <v>3.7299999999999998E-3</v>
      </c>
      <c r="R9" s="36">
        <v>4.82E-2</v>
      </c>
      <c r="S9" s="36">
        <v>7.3800000000000003E-3</v>
      </c>
      <c r="T9" s="5"/>
      <c r="U9" s="36">
        <v>2.1700000000000001E-3</v>
      </c>
      <c r="V9" s="5"/>
      <c r="W9" s="5"/>
      <c r="X9" s="200">
        <v>5.7999999999999996E-3</v>
      </c>
      <c r="Y9" s="139">
        <v>0.27100000000000002</v>
      </c>
      <c r="Z9" s="36">
        <v>6.9500000000000006E-2</v>
      </c>
      <c r="AA9" s="36">
        <v>0.11899999999999999</v>
      </c>
      <c r="AB9" s="140">
        <v>0.192</v>
      </c>
      <c r="AC9" s="36">
        <v>0.126</v>
      </c>
    </row>
    <row r="10" spans="1:29">
      <c r="A10" s="205" t="s">
        <v>312</v>
      </c>
      <c r="B10" s="35">
        <v>0.22900000000000001</v>
      </c>
      <c r="C10" s="35">
        <v>9.7699999999999995E-2</v>
      </c>
      <c r="D10" s="35">
        <v>8.7599999999999997E-2</v>
      </c>
      <c r="E10" s="35">
        <v>0.23599999999999999</v>
      </c>
      <c r="F10" s="35">
        <v>0.184</v>
      </c>
      <c r="G10" s="35">
        <v>0.185</v>
      </c>
      <c r="H10" s="35">
        <v>0.17699999999999999</v>
      </c>
      <c r="I10" s="35">
        <v>0.13500000000000001</v>
      </c>
      <c r="J10" s="3"/>
      <c r="K10" s="35">
        <v>0.28999999999999998</v>
      </c>
      <c r="L10" s="35">
        <v>0.152</v>
      </c>
      <c r="M10" s="35">
        <v>0.24</v>
      </c>
      <c r="N10" s="35">
        <v>0.32</v>
      </c>
      <c r="O10" s="35">
        <v>0.30599999999999999</v>
      </c>
      <c r="P10" s="35">
        <v>0.17699999999999999</v>
      </c>
      <c r="Q10" s="35">
        <v>0.14299999999999999</v>
      </c>
      <c r="R10" s="35">
        <v>0.14000000000000001</v>
      </c>
      <c r="S10" s="35">
        <v>0.376</v>
      </c>
      <c r="T10" s="35">
        <v>0.189</v>
      </c>
      <c r="U10" s="35">
        <v>0.20300000000000001</v>
      </c>
      <c r="V10" s="35">
        <v>7.8899999999999998E-2</v>
      </c>
      <c r="W10" s="35">
        <v>0.2</v>
      </c>
      <c r="X10" s="202">
        <v>0.23100000000000001</v>
      </c>
      <c r="Y10" s="204">
        <v>0.156</v>
      </c>
      <c r="Z10" s="35">
        <v>0.16800000000000001</v>
      </c>
      <c r="AA10" s="35">
        <v>0.151</v>
      </c>
      <c r="AB10" s="138">
        <v>0.14699999999999999</v>
      </c>
      <c r="AC10" s="35">
        <v>0.22900000000000001</v>
      </c>
    </row>
    <row r="11" spans="1:29">
      <c r="A11" s="205" t="s">
        <v>317</v>
      </c>
      <c r="B11" s="5"/>
      <c r="C11" s="36">
        <v>1.9900000000000001E-2</v>
      </c>
      <c r="D11" s="5"/>
      <c r="E11" s="5"/>
      <c r="F11" s="5"/>
      <c r="G11" s="5"/>
      <c r="H11" s="36">
        <v>1.5599999999999999E-2</v>
      </c>
      <c r="I11" s="5"/>
      <c r="J11" s="5"/>
      <c r="K11" s="5"/>
      <c r="L11" s="5"/>
      <c r="M11" s="5"/>
      <c r="N11" s="5"/>
      <c r="O11" s="5"/>
      <c r="P11" s="5"/>
      <c r="Q11" s="5"/>
      <c r="R11" s="5"/>
      <c r="S11" s="5"/>
      <c r="T11" s="5"/>
      <c r="U11" s="5"/>
      <c r="V11" s="5"/>
      <c r="W11" s="5"/>
      <c r="X11" s="201"/>
      <c r="Y11" s="113"/>
      <c r="Z11" s="5"/>
      <c r="AA11" s="5"/>
      <c r="AB11" s="114"/>
      <c r="AC11" s="5"/>
    </row>
    <row r="12" spans="1:29">
      <c r="A12" s="215" t="s">
        <v>318</v>
      </c>
      <c r="B12" s="3"/>
      <c r="C12" s="35">
        <v>1.01E-2</v>
      </c>
      <c r="D12" s="35">
        <v>4.6100000000000004E-3</v>
      </c>
      <c r="E12" s="3"/>
      <c r="F12" s="3"/>
      <c r="G12" s="35">
        <v>2.9399999999999999E-3</v>
      </c>
      <c r="H12" s="35">
        <v>4.8900000000000002E-3</v>
      </c>
      <c r="I12" s="3"/>
      <c r="J12" s="3"/>
      <c r="K12" s="3"/>
      <c r="L12" s="3"/>
      <c r="M12" s="3"/>
      <c r="N12" s="3"/>
      <c r="O12" s="3"/>
      <c r="P12" s="3"/>
      <c r="Q12" s="3"/>
      <c r="R12" s="3"/>
      <c r="S12" s="3"/>
      <c r="T12" s="3"/>
      <c r="U12" s="3"/>
      <c r="V12" s="3"/>
      <c r="W12" s="3"/>
      <c r="X12" s="203"/>
      <c r="Y12" s="141"/>
      <c r="Z12" s="3"/>
      <c r="AA12" s="3"/>
      <c r="AB12" s="142"/>
      <c r="AC12" s="3"/>
    </row>
    <row r="13" spans="1:29">
      <c r="A13" s="205" t="s">
        <v>321</v>
      </c>
      <c r="B13" s="36">
        <v>5.2200000000000003E-2</v>
      </c>
      <c r="C13" s="36">
        <v>2.7300000000000001E-2</v>
      </c>
      <c r="D13" s="36">
        <v>1.04E-2</v>
      </c>
      <c r="E13" s="5"/>
      <c r="F13" s="36">
        <v>1.8700000000000001E-2</v>
      </c>
      <c r="G13" s="36">
        <v>5.4199999999999998E-2</v>
      </c>
      <c r="H13" s="36">
        <v>4.8099999999999997E-2</v>
      </c>
      <c r="I13" s="36">
        <v>3.2599999999999997E-2</v>
      </c>
      <c r="J13" s="36">
        <v>9.6600000000000005E-2</v>
      </c>
      <c r="K13" s="36">
        <v>7.6200000000000004E-2</v>
      </c>
      <c r="L13" s="36">
        <v>2.1600000000000001E-2</v>
      </c>
      <c r="M13" s="36">
        <v>2.46E-2</v>
      </c>
      <c r="N13" s="36">
        <v>2.6700000000000002E-2</v>
      </c>
      <c r="O13" s="36">
        <v>1.4500000000000001E-2</v>
      </c>
      <c r="P13" s="36">
        <v>2.2200000000000001E-2</v>
      </c>
      <c r="Q13" s="36">
        <v>0.13400000000000001</v>
      </c>
      <c r="R13" s="36">
        <v>0.23300000000000001</v>
      </c>
      <c r="S13" s="36">
        <v>6.5699999999999995E-2</v>
      </c>
      <c r="T13" s="36">
        <v>7.2499999999999995E-2</v>
      </c>
      <c r="U13" s="36">
        <v>2.6700000000000002E-2</v>
      </c>
      <c r="V13" s="36">
        <v>3.6400000000000002E-2</v>
      </c>
      <c r="W13" s="36">
        <v>4.6600000000000003E-2</v>
      </c>
      <c r="X13" s="200">
        <v>6.7900000000000002E-2</v>
      </c>
      <c r="Y13" s="139">
        <v>1.46E-2</v>
      </c>
      <c r="Z13" s="36">
        <v>0.222</v>
      </c>
      <c r="AA13" s="36">
        <v>1.45</v>
      </c>
      <c r="AB13" s="140">
        <v>1.47</v>
      </c>
      <c r="AC13" s="36">
        <v>5.2200000000000003E-2</v>
      </c>
    </row>
    <row r="14" spans="1:29">
      <c r="A14" s="205" t="s">
        <v>322</v>
      </c>
      <c r="B14" s="35">
        <v>0.51400000000000001</v>
      </c>
      <c r="C14" s="35">
        <v>0.17599999999999999</v>
      </c>
      <c r="D14" s="35">
        <v>2.8799999999999999E-2</v>
      </c>
      <c r="E14" s="35">
        <v>5.5E-2</v>
      </c>
      <c r="F14" s="3"/>
      <c r="G14" s="35">
        <v>0.624</v>
      </c>
      <c r="H14" s="35">
        <v>0.61699999999999999</v>
      </c>
      <c r="I14" s="35">
        <v>0.32300000000000001</v>
      </c>
      <c r="J14" s="35">
        <v>0.66800000000000004</v>
      </c>
      <c r="K14" s="35">
        <v>0.68</v>
      </c>
      <c r="L14" s="35">
        <v>0.25600000000000001</v>
      </c>
      <c r="M14" s="35">
        <v>0.34499999999999997</v>
      </c>
      <c r="N14" s="35">
        <v>0.27700000000000002</v>
      </c>
      <c r="O14" s="35">
        <v>0.14599999999999999</v>
      </c>
      <c r="P14" s="35">
        <v>0.17799999999999999</v>
      </c>
      <c r="Q14" s="35">
        <v>0.97399999999999998</v>
      </c>
      <c r="R14" s="35">
        <v>0.159</v>
      </c>
      <c r="S14" s="35">
        <v>0.80400000000000005</v>
      </c>
      <c r="T14" s="35">
        <v>0.623</v>
      </c>
      <c r="U14" s="35">
        <v>0.40400000000000003</v>
      </c>
      <c r="V14" s="35">
        <v>0.40600000000000003</v>
      </c>
      <c r="W14" s="35">
        <v>0.60499999999999998</v>
      </c>
      <c r="X14" s="202">
        <v>0.71799999999999997</v>
      </c>
      <c r="Y14" s="204">
        <v>0.24199999999999999</v>
      </c>
      <c r="Z14" s="35">
        <v>0.33200000000000002</v>
      </c>
      <c r="AA14" s="35">
        <v>0.26300000000000001</v>
      </c>
      <c r="AB14" s="138">
        <v>0.45400000000000001</v>
      </c>
      <c r="AC14" s="35">
        <v>0.51400000000000001</v>
      </c>
    </row>
    <row r="15" spans="1:29">
      <c r="A15" s="215" t="s">
        <v>334</v>
      </c>
      <c r="B15" s="35">
        <v>0.50600000000000001</v>
      </c>
      <c r="C15" s="35">
        <v>0.1</v>
      </c>
      <c r="D15" s="35">
        <v>7.2499999999999995E-2</v>
      </c>
      <c r="E15" s="3"/>
      <c r="F15" s="35">
        <v>4.4299999999999999E-2</v>
      </c>
      <c r="G15" s="35">
        <v>0.377</v>
      </c>
      <c r="H15" s="35">
        <v>0.33900000000000002</v>
      </c>
      <c r="I15" s="35">
        <v>0.13300000000000001</v>
      </c>
      <c r="J15" s="3"/>
      <c r="K15" s="35">
        <v>0.73499999999999999</v>
      </c>
      <c r="L15" s="35">
        <v>0.70099999999999996</v>
      </c>
      <c r="M15" s="35">
        <v>0.55100000000000005</v>
      </c>
      <c r="N15" s="35">
        <v>0.44</v>
      </c>
      <c r="O15" s="35">
        <v>0.17499999999999999</v>
      </c>
      <c r="P15" s="35">
        <v>8.9200000000000002E-2</v>
      </c>
      <c r="Q15" s="35">
        <v>0.45200000000000001</v>
      </c>
      <c r="R15" s="35">
        <v>0.13800000000000001</v>
      </c>
      <c r="S15" s="35">
        <v>0.30099999999999999</v>
      </c>
      <c r="T15" s="35">
        <v>0.40899999999999997</v>
      </c>
      <c r="U15" s="35">
        <v>0.154</v>
      </c>
      <c r="V15" s="35">
        <v>0.14099999999999999</v>
      </c>
      <c r="W15" s="35">
        <v>0.59699999999999998</v>
      </c>
      <c r="X15" s="202">
        <v>0.44</v>
      </c>
      <c r="Y15" s="204">
        <v>0.21</v>
      </c>
      <c r="Z15" s="35">
        <v>0.23599999999999999</v>
      </c>
      <c r="AA15" s="35">
        <v>0.17299999999999999</v>
      </c>
      <c r="AB15" s="138">
        <v>0.78900000000000003</v>
      </c>
      <c r="AC15" s="35">
        <v>0.50600000000000001</v>
      </c>
    </row>
    <row r="16" spans="1:29">
      <c r="A16" s="215" t="s">
        <v>338</v>
      </c>
      <c r="B16" s="35">
        <v>9.75E-3</v>
      </c>
      <c r="C16" s="35">
        <v>1.09E-2</v>
      </c>
      <c r="D16" s="3"/>
      <c r="E16" s="3"/>
      <c r="F16" s="3"/>
      <c r="G16" s="35">
        <v>1.0200000000000001E-2</v>
      </c>
      <c r="H16" s="35">
        <v>1.0200000000000001E-2</v>
      </c>
      <c r="I16" s="3"/>
      <c r="J16" s="35">
        <v>5.0999999999999997E-2</v>
      </c>
      <c r="K16" s="35">
        <v>3.2300000000000002E-2</v>
      </c>
      <c r="L16" s="35">
        <v>5.4900000000000001E-3</v>
      </c>
      <c r="M16" s="35">
        <v>4.9100000000000003E-3</v>
      </c>
      <c r="N16" s="35">
        <v>5.0600000000000003E-3</v>
      </c>
      <c r="O16" s="35">
        <v>8.4100000000000008E-3</v>
      </c>
      <c r="P16" s="35">
        <v>5.8599999999999998E-3</v>
      </c>
      <c r="Q16" s="35">
        <v>1.2500000000000001E-2</v>
      </c>
      <c r="R16" s="3"/>
      <c r="S16" s="35">
        <v>1.77E-2</v>
      </c>
      <c r="T16" s="35">
        <v>2.1899999999999999E-2</v>
      </c>
      <c r="U16" s="35">
        <v>8.4899999999999993E-3</v>
      </c>
      <c r="V16" s="35">
        <v>8.0499999999999999E-3</v>
      </c>
      <c r="W16" s="35">
        <v>7.9799999999999992E-3</v>
      </c>
      <c r="X16" s="202">
        <v>2.1299999999999999E-2</v>
      </c>
      <c r="Y16" s="204">
        <v>6.6299999999999996E-3</v>
      </c>
      <c r="Z16" s="35">
        <v>2.1600000000000001E-2</v>
      </c>
      <c r="AA16" s="35">
        <v>3.9199999999999999E-2</v>
      </c>
      <c r="AB16" s="138">
        <v>7.2999999999999995E-2</v>
      </c>
      <c r="AC16" s="35">
        <v>9.75E-3</v>
      </c>
    </row>
    <row r="17" spans="1:29">
      <c r="A17" s="205" t="s">
        <v>368</v>
      </c>
      <c r="B17" s="35">
        <v>5.5399999999999998E-2</v>
      </c>
      <c r="C17" s="35">
        <v>1.9099999999999999E-2</v>
      </c>
      <c r="D17" s="35">
        <v>8.8500000000000002E-3</v>
      </c>
      <c r="E17" s="3"/>
      <c r="F17" s="35">
        <v>2.8400000000000002E-2</v>
      </c>
      <c r="G17" s="35">
        <v>3.8300000000000001E-2</v>
      </c>
      <c r="H17" s="35">
        <v>3.1899999999999998E-2</v>
      </c>
      <c r="I17" s="35">
        <v>3.6400000000000002E-2</v>
      </c>
      <c r="J17" s="3"/>
      <c r="K17" s="35">
        <v>1.4800000000000001E-2</v>
      </c>
      <c r="L17" s="35">
        <v>7.7200000000000003E-3</v>
      </c>
      <c r="M17" s="35">
        <v>1.09E-2</v>
      </c>
      <c r="N17" s="35">
        <v>1.46E-2</v>
      </c>
      <c r="O17" s="3"/>
      <c r="P17" s="35">
        <v>2.6700000000000002E-2</v>
      </c>
      <c r="Q17" s="35">
        <v>4.6800000000000001E-2</v>
      </c>
      <c r="R17" s="35">
        <v>3.6999999999999998E-2</v>
      </c>
      <c r="S17" s="35">
        <v>5.9799999999999999E-2</v>
      </c>
      <c r="T17" s="35">
        <v>9.8599999999999993E-2</v>
      </c>
      <c r="U17" s="35">
        <v>4.8500000000000001E-2</v>
      </c>
      <c r="V17" s="35">
        <v>4.4400000000000002E-2</v>
      </c>
      <c r="W17" s="35">
        <v>8.14E-2</v>
      </c>
      <c r="X17" s="202">
        <v>9.6799999999999997E-2</v>
      </c>
      <c r="Y17" s="204">
        <v>2.5399999999999999E-2</v>
      </c>
      <c r="Z17" s="35">
        <v>2.8000000000000001E-2</v>
      </c>
      <c r="AA17" s="35">
        <v>3.8300000000000001E-2</v>
      </c>
      <c r="AB17" s="142"/>
      <c r="AC17" s="35">
        <v>5.5399999999999998E-2</v>
      </c>
    </row>
    <row r="18" spans="1:29">
      <c r="A18" s="215" t="s">
        <v>374</v>
      </c>
      <c r="B18" s="35">
        <v>0.128</v>
      </c>
      <c r="C18" s="35">
        <v>5.2999999999999999E-2</v>
      </c>
      <c r="D18" s="35">
        <v>5.1999999999999998E-2</v>
      </c>
      <c r="E18" s="35">
        <v>0.29699999999999999</v>
      </c>
      <c r="F18" s="35">
        <v>0.221</v>
      </c>
      <c r="G18" s="35">
        <v>9.3200000000000005E-2</v>
      </c>
      <c r="H18" s="35">
        <v>6.7199999999999996E-2</v>
      </c>
      <c r="I18" s="35">
        <v>0.106</v>
      </c>
      <c r="J18" s="3"/>
      <c r="K18" s="35">
        <v>9.4100000000000003E-2</v>
      </c>
      <c r="L18" s="35">
        <v>8.3500000000000005E-2</v>
      </c>
      <c r="M18" s="35">
        <v>0.108</v>
      </c>
      <c r="N18" s="35">
        <v>0.109</v>
      </c>
      <c r="O18" s="35">
        <v>7.0999999999999994E-2</v>
      </c>
      <c r="P18" s="35">
        <v>4.1300000000000003E-2</v>
      </c>
      <c r="Q18" s="35">
        <v>4.1099999999999998E-2</v>
      </c>
      <c r="R18" s="35">
        <v>6.46</v>
      </c>
      <c r="S18" s="35">
        <v>0.36599999999999999</v>
      </c>
      <c r="T18" s="35">
        <v>0.36499999999999999</v>
      </c>
      <c r="U18" s="35">
        <v>0.54</v>
      </c>
      <c r="V18" s="35">
        <v>0.192</v>
      </c>
      <c r="W18" s="35">
        <v>0.29899999999999999</v>
      </c>
      <c r="X18" s="202">
        <v>0.57999999999999996</v>
      </c>
      <c r="Y18" s="204">
        <v>0.14699999999999999</v>
      </c>
      <c r="Z18" s="35">
        <v>6.7500000000000004E-2</v>
      </c>
      <c r="AA18" s="35">
        <v>7.0999999999999994E-2</v>
      </c>
      <c r="AB18" s="138">
        <v>0.16800000000000001</v>
      </c>
      <c r="AC18" s="35">
        <v>0.128</v>
      </c>
    </row>
    <row r="19" spans="1:29">
      <c r="A19" s="215" t="s">
        <v>375</v>
      </c>
      <c r="B19" s="36">
        <v>3.6200000000000003E-2</v>
      </c>
      <c r="C19" s="36">
        <v>1.37E-2</v>
      </c>
      <c r="D19" s="5"/>
      <c r="E19" s="5"/>
      <c r="F19" s="5"/>
      <c r="G19" s="5"/>
      <c r="H19" s="5"/>
      <c r="I19" s="5"/>
      <c r="J19" s="5"/>
      <c r="K19" s="36">
        <v>1.2800000000000001E-2</v>
      </c>
      <c r="L19" s="36">
        <v>6.8300000000000001E-3</v>
      </c>
      <c r="M19" s="36">
        <v>6.8500000000000002E-3</v>
      </c>
      <c r="N19" s="36">
        <v>1.15E-2</v>
      </c>
      <c r="O19" s="5"/>
      <c r="P19" s="5"/>
      <c r="Q19" s="36">
        <v>1.89E-2</v>
      </c>
      <c r="R19" s="36">
        <v>0.69199999999999995</v>
      </c>
      <c r="S19" s="36">
        <v>0.10199999999999999</v>
      </c>
      <c r="T19" s="36">
        <v>0.11600000000000001</v>
      </c>
      <c r="U19" s="36">
        <v>0.18099999999999999</v>
      </c>
      <c r="V19" s="36">
        <v>7.1499999999999994E-2</v>
      </c>
      <c r="W19" s="36">
        <v>0.107</v>
      </c>
      <c r="X19" s="200">
        <v>0.17699999999999999</v>
      </c>
      <c r="Y19" s="139">
        <v>3.78E-2</v>
      </c>
      <c r="Z19" s="5"/>
      <c r="AA19" s="36">
        <v>1.8499999999999999E-2</v>
      </c>
      <c r="AB19" s="140">
        <v>7.9000000000000001E-2</v>
      </c>
      <c r="AC19" s="36">
        <v>3.6200000000000003E-2</v>
      </c>
    </row>
    <row r="20" spans="1:29">
      <c r="A20" s="205" t="s">
        <v>378</v>
      </c>
      <c r="B20" s="35">
        <v>5.6000000000000001E-2</v>
      </c>
      <c r="C20" s="35">
        <v>2.1499999999999998E-2</v>
      </c>
      <c r="D20" s="35">
        <v>1.03E-2</v>
      </c>
      <c r="E20" s="3"/>
      <c r="F20" s="3"/>
      <c r="G20" s="35">
        <v>2.0799999999999999E-2</v>
      </c>
      <c r="H20" s="35">
        <v>2.01E-2</v>
      </c>
      <c r="I20" s="35">
        <v>2.87E-2</v>
      </c>
      <c r="J20" s="3"/>
      <c r="K20" s="35">
        <v>2.9899999999999999E-2</v>
      </c>
      <c r="L20" s="35">
        <v>1.09E-2</v>
      </c>
      <c r="M20" s="35">
        <v>6.5199999999999998E-3</v>
      </c>
      <c r="N20" s="35">
        <v>1.9300000000000001E-2</v>
      </c>
      <c r="O20" s="3"/>
      <c r="P20" s="3"/>
      <c r="Q20" s="35">
        <v>3.4599999999999999E-2</v>
      </c>
      <c r="R20" s="35">
        <v>2.3900000000000001E-2</v>
      </c>
      <c r="S20" s="35">
        <v>1.2500000000000001E-2</v>
      </c>
      <c r="T20" s="35">
        <v>1.9400000000000001E-2</v>
      </c>
      <c r="U20" s="35">
        <v>3.5200000000000002E-2</v>
      </c>
      <c r="V20" s="35">
        <v>2.07E-2</v>
      </c>
      <c r="W20" s="35">
        <v>3.6799999999999999E-2</v>
      </c>
      <c r="X20" s="202">
        <v>5.16E-2</v>
      </c>
      <c r="Y20" s="141"/>
      <c r="Z20" s="3"/>
      <c r="AA20" s="3"/>
      <c r="AB20" s="142"/>
      <c r="AC20" s="35">
        <v>5.6000000000000001E-2</v>
      </c>
    </row>
    <row r="21" spans="1:29">
      <c r="A21" s="205" t="s">
        <v>381</v>
      </c>
      <c r="B21" s="36">
        <v>0.51</v>
      </c>
      <c r="C21" s="36">
        <v>0.31</v>
      </c>
      <c r="D21" s="36">
        <v>0.21199999999999999</v>
      </c>
      <c r="E21" s="5"/>
      <c r="F21" s="36">
        <v>0.29699999999999999</v>
      </c>
      <c r="G21" s="36">
        <v>0.374</v>
      </c>
      <c r="H21" s="36">
        <v>0.377</v>
      </c>
      <c r="I21" s="36">
        <v>0.377</v>
      </c>
      <c r="J21" s="5"/>
      <c r="K21" s="36">
        <v>0.73799999999999999</v>
      </c>
      <c r="L21" s="36">
        <v>0.51100000000000001</v>
      </c>
      <c r="M21" s="36">
        <v>0.46400000000000002</v>
      </c>
      <c r="N21" s="36">
        <v>0.59</v>
      </c>
      <c r="O21" s="36">
        <v>0.41099999999999998</v>
      </c>
      <c r="P21" s="36">
        <v>0.18099999999999999</v>
      </c>
      <c r="Q21" s="36">
        <v>0.77700000000000002</v>
      </c>
      <c r="R21" s="36">
        <v>0.65800000000000003</v>
      </c>
      <c r="S21" s="36">
        <v>0.41299999999999998</v>
      </c>
      <c r="T21" s="36">
        <v>0.60799999999999998</v>
      </c>
      <c r="U21" s="36">
        <v>0.41399999999999998</v>
      </c>
      <c r="V21" s="36">
        <v>0.56899999999999995</v>
      </c>
      <c r="W21" s="36">
        <v>0.69399999999999995</v>
      </c>
      <c r="X21" s="200">
        <v>0.82299999999999995</v>
      </c>
      <c r="Y21" s="139">
        <v>0.42299999999999999</v>
      </c>
      <c r="Z21" s="36">
        <v>0.48</v>
      </c>
      <c r="AA21" s="36">
        <v>0.61699999999999999</v>
      </c>
      <c r="AB21" s="140">
        <v>0.90100000000000002</v>
      </c>
      <c r="AC21" s="36">
        <v>0.51</v>
      </c>
    </row>
    <row r="22" spans="1:29">
      <c r="A22" s="215" t="s">
        <v>382</v>
      </c>
      <c r="B22" s="35">
        <v>6.3500000000000001E-2</v>
      </c>
      <c r="C22" s="35">
        <v>1.2E-2</v>
      </c>
      <c r="D22" s="35">
        <v>7.3499999999999998E-3</v>
      </c>
      <c r="E22" s="3"/>
      <c r="F22" s="35">
        <v>7.6100000000000001E-2</v>
      </c>
      <c r="G22" s="35">
        <v>4.5600000000000002E-2</v>
      </c>
      <c r="H22" s="35">
        <v>3.2399999999999998E-2</v>
      </c>
      <c r="I22" s="35">
        <v>1.55E-2</v>
      </c>
      <c r="J22" s="3"/>
      <c r="K22" s="35">
        <v>0.04</v>
      </c>
      <c r="L22" s="35">
        <v>2.0400000000000001E-2</v>
      </c>
      <c r="M22" s="35">
        <v>1.6899999999999998E-2</v>
      </c>
      <c r="N22" s="35">
        <v>2.9000000000000001E-2</v>
      </c>
      <c r="O22" s="35">
        <v>0.16400000000000001</v>
      </c>
      <c r="P22" s="35">
        <v>8.9399999999999993E-2</v>
      </c>
      <c r="Q22" s="35">
        <v>6.4100000000000004E-2</v>
      </c>
      <c r="R22" s="35">
        <v>0.157</v>
      </c>
      <c r="S22" s="35">
        <v>7.2300000000000003E-2</v>
      </c>
      <c r="T22" s="35">
        <v>6.6699999999999995E-2</v>
      </c>
      <c r="U22" s="35">
        <v>7.9799999999999996E-2</v>
      </c>
      <c r="V22" s="35">
        <v>3.6499999999999998E-2</v>
      </c>
      <c r="W22" s="35">
        <v>8.7599999999999997E-2</v>
      </c>
      <c r="X22" s="202">
        <v>7.0000000000000007E-2</v>
      </c>
      <c r="Y22" s="204">
        <v>7.6899999999999996E-2</v>
      </c>
      <c r="Z22" s="35">
        <v>8.5800000000000001E-2</v>
      </c>
      <c r="AA22" s="35">
        <v>0.13100000000000001</v>
      </c>
      <c r="AB22" s="138">
        <v>0.124</v>
      </c>
      <c r="AC22" s="35">
        <v>6.3500000000000001E-2</v>
      </c>
    </row>
    <row r="23" spans="1:29">
      <c r="A23" s="215" t="s">
        <v>383</v>
      </c>
      <c r="B23" s="36">
        <v>4.3900000000000002E-2</v>
      </c>
      <c r="C23" s="36">
        <v>3.2500000000000001E-2</v>
      </c>
      <c r="D23" s="36">
        <v>1.2699999999999999E-2</v>
      </c>
      <c r="E23" s="5"/>
      <c r="F23" s="36">
        <v>0.21299999999999999</v>
      </c>
      <c r="G23" s="36">
        <v>5.0200000000000002E-2</v>
      </c>
      <c r="H23" s="36">
        <v>3.39E-2</v>
      </c>
      <c r="I23" s="36">
        <v>6.5500000000000003E-2</v>
      </c>
      <c r="J23" s="5"/>
      <c r="K23" s="36">
        <v>5.45E-2</v>
      </c>
      <c r="L23" s="36">
        <v>5.0599999999999999E-2</v>
      </c>
      <c r="M23" s="36">
        <v>6.6600000000000006E-2</v>
      </c>
      <c r="N23" s="36">
        <v>4.82E-2</v>
      </c>
      <c r="O23" s="36">
        <v>6.8000000000000005E-2</v>
      </c>
      <c r="P23" s="36">
        <v>1.5299999999999999E-2</v>
      </c>
      <c r="Q23" s="36">
        <v>3.5299999999999998E-2</v>
      </c>
      <c r="R23" s="36">
        <v>0.63500000000000001</v>
      </c>
      <c r="S23" s="36">
        <v>0.14899999999999999</v>
      </c>
      <c r="T23" s="36">
        <v>0.21099999999999999</v>
      </c>
      <c r="U23" s="36">
        <v>0.105</v>
      </c>
      <c r="V23" s="36">
        <v>7.4499999999999997E-2</v>
      </c>
      <c r="W23" s="36">
        <v>7.6200000000000004E-2</v>
      </c>
      <c r="X23" s="200">
        <v>8.4599999999999995E-2</v>
      </c>
      <c r="Y23" s="139">
        <v>6.0499999999999998E-2</v>
      </c>
      <c r="Z23" s="36">
        <v>1.5599999999999999E-2</v>
      </c>
      <c r="AA23" s="36">
        <v>0.02</v>
      </c>
      <c r="AB23" s="140">
        <v>3.2099999999999997E-2</v>
      </c>
      <c r="AC23" s="36">
        <v>4.3900000000000002E-2</v>
      </c>
    </row>
    <row r="24" spans="1:29">
      <c r="A24" s="215" t="s">
        <v>384</v>
      </c>
      <c r="B24" s="35">
        <v>0.18099999999999999</v>
      </c>
      <c r="C24" s="35">
        <v>7.3999999999999996E-2</v>
      </c>
      <c r="D24" s="35">
        <v>4.9000000000000002E-2</v>
      </c>
      <c r="E24" s="35">
        <v>8.7999999999999995E-2</v>
      </c>
      <c r="F24" s="35">
        <v>0.85299999999999998</v>
      </c>
      <c r="G24" s="35">
        <v>0.193</v>
      </c>
      <c r="H24" s="35">
        <v>0.13500000000000001</v>
      </c>
      <c r="I24" s="35">
        <v>0.24</v>
      </c>
      <c r="J24" s="35">
        <v>0.182</v>
      </c>
      <c r="K24" s="35">
        <v>0.16400000000000001</v>
      </c>
      <c r="L24" s="35">
        <v>0.17899999999999999</v>
      </c>
      <c r="M24" s="35">
        <v>0.248</v>
      </c>
      <c r="N24" s="35">
        <v>0.16</v>
      </c>
      <c r="O24" s="35">
        <v>0.315</v>
      </c>
      <c r="P24" s="35">
        <v>0.112</v>
      </c>
      <c r="Q24" s="35">
        <v>0.245</v>
      </c>
      <c r="R24" s="35">
        <v>0.80800000000000005</v>
      </c>
      <c r="S24" s="35">
        <v>0.28899999999999998</v>
      </c>
      <c r="T24" s="35">
        <v>0.29499999999999998</v>
      </c>
      <c r="U24" s="35">
        <v>0.216</v>
      </c>
      <c r="V24" s="35">
        <v>0.112</v>
      </c>
      <c r="W24" s="35">
        <v>0.246</v>
      </c>
      <c r="X24" s="202">
        <v>0.22900000000000001</v>
      </c>
      <c r="Y24" s="204">
        <v>0.28100000000000003</v>
      </c>
      <c r="Z24" s="35">
        <v>0.127</v>
      </c>
      <c r="AA24" s="35">
        <v>0.17399999999999999</v>
      </c>
      <c r="AB24" s="138">
        <v>6.6400000000000001E-2</v>
      </c>
      <c r="AC24" s="35">
        <v>0.18099999999999999</v>
      </c>
    </row>
    <row r="25" spans="1:29">
      <c r="A25" s="215" t="s">
        <v>386</v>
      </c>
      <c r="B25" s="35">
        <v>8.3199999999999993E-3</v>
      </c>
      <c r="C25" s="3"/>
      <c r="D25" s="35">
        <v>2.6200000000000001E-2</v>
      </c>
      <c r="E25" s="3"/>
      <c r="F25" s="3"/>
      <c r="G25" s="35">
        <v>1.8200000000000001E-2</v>
      </c>
      <c r="H25" s="35">
        <v>7.7600000000000004E-3</v>
      </c>
      <c r="I25" s="3"/>
      <c r="J25" s="3"/>
      <c r="K25" s="35">
        <v>3.3600000000000001E-3</v>
      </c>
      <c r="L25" s="3"/>
      <c r="M25" s="3"/>
      <c r="N25" s="35">
        <v>6.7499999999999999E-3</v>
      </c>
      <c r="O25" s="3"/>
      <c r="P25" s="3"/>
      <c r="Q25" s="3"/>
      <c r="R25" s="3"/>
      <c r="S25" s="3"/>
      <c r="T25" s="3"/>
      <c r="U25" s="3"/>
      <c r="V25" s="3"/>
      <c r="W25" s="3"/>
      <c r="X25" s="203"/>
      <c r="Y25" s="141"/>
      <c r="Z25" s="3"/>
      <c r="AA25" s="3"/>
      <c r="AB25" s="142"/>
      <c r="AC25" s="35">
        <v>8.3199999999999993E-3</v>
      </c>
    </row>
    <row r="26" spans="1:29">
      <c r="A26" s="205" t="s">
        <v>387</v>
      </c>
      <c r="B26" s="36">
        <v>3.4700000000000002E-2</v>
      </c>
      <c r="C26" s="5"/>
      <c r="D26" s="5"/>
      <c r="E26" s="5"/>
      <c r="F26" s="5"/>
      <c r="G26" s="5"/>
      <c r="H26" s="5"/>
      <c r="I26" s="5"/>
      <c r="J26" s="5"/>
      <c r="K26" s="5"/>
      <c r="L26" s="5"/>
      <c r="M26" s="5"/>
      <c r="N26" s="5"/>
      <c r="O26" s="5"/>
      <c r="P26" s="5"/>
      <c r="Q26" s="5"/>
      <c r="R26" s="5"/>
      <c r="S26" s="5"/>
      <c r="T26" s="5"/>
      <c r="U26" s="5"/>
      <c r="V26" s="5"/>
      <c r="W26" s="5"/>
      <c r="X26" s="201"/>
      <c r="Y26" s="113"/>
      <c r="Z26" s="5"/>
      <c r="AA26" s="5"/>
      <c r="AB26" s="114"/>
      <c r="AC26" s="36">
        <v>3.4700000000000002E-2</v>
      </c>
    </row>
    <row r="27" spans="1:29">
      <c r="A27" s="205" t="s">
        <v>388</v>
      </c>
      <c r="B27" s="3"/>
      <c r="C27" s="35">
        <v>7.7799999999999996E-3</v>
      </c>
      <c r="D27" s="3"/>
      <c r="E27" s="3"/>
      <c r="F27" s="3"/>
      <c r="G27" s="3"/>
      <c r="H27" s="35">
        <v>1.3100000000000001E-2</v>
      </c>
      <c r="I27" s="3"/>
      <c r="J27" s="3"/>
      <c r="K27" s="35">
        <v>2.0200000000000001E-3</v>
      </c>
      <c r="L27" s="3"/>
      <c r="M27" s="3"/>
      <c r="N27" s="3"/>
      <c r="O27" s="3"/>
      <c r="P27" s="35">
        <v>4.6199999999999998E-2</v>
      </c>
      <c r="Q27" s="35">
        <v>0.66800000000000004</v>
      </c>
      <c r="R27" s="35">
        <v>1.5900000000000001E-2</v>
      </c>
      <c r="S27" s="35">
        <v>1.67E-2</v>
      </c>
      <c r="T27" s="3"/>
      <c r="U27" s="3"/>
      <c r="V27" s="3"/>
      <c r="W27" s="3"/>
      <c r="X27" s="203"/>
      <c r="Y27" s="204">
        <v>8.9800000000000001E-3</v>
      </c>
      <c r="Z27" s="3"/>
      <c r="AA27" s="3"/>
      <c r="AB27" s="142"/>
      <c r="AC27" s="3"/>
    </row>
    <row r="28" spans="1:29">
      <c r="A28" s="215" t="s">
        <v>389</v>
      </c>
      <c r="B28" s="36">
        <v>0.222</v>
      </c>
      <c r="C28" s="36">
        <v>8.8499999999999995E-2</v>
      </c>
      <c r="D28" s="36">
        <v>6.7799999999999999E-2</v>
      </c>
      <c r="E28" s="36">
        <v>0.21</v>
      </c>
      <c r="F28" s="36">
        <v>0.86899999999999999</v>
      </c>
      <c r="G28" s="36">
        <v>0.18</v>
      </c>
      <c r="H28" s="36">
        <v>0.14599999999999999</v>
      </c>
      <c r="I28" s="36">
        <v>0.27200000000000002</v>
      </c>
      <c r="J28" s="5"/>
      <c r="K28" s="36">
        <v>0.187</v>
      </c>
      <c r="L28" s="36">
        <v>0.10299999999999999</v>
      </c>
      <c r="M28" s="36">
        <v>0.16400000000000001</v>
      </c>
      <c r="N28" s="36">
        <v>0.17899999999999999</v>
      </c>
      <c r="O28" s="36">
        <v>0.14599999999999999</v>
      </c>
      <c r="P28" s="36">
        <v>6.13E-2</v>
      </c>
      <c r="Q28" s="36">
        <v>0.126</v>
      </c>
      <c r="R28" s="36">
        <v>0.33400000000000002</v>
      </c>
      <c r="S28" s="36">
        <v>0.34599999999999997</v>
      </c>
      <c r="T28" s="36">
        <v>0.26500000000000001</v>
      </c>
      <c r="U28" s="36">
        <v>0.14199999999999999</v>
      </c>
      <c r="V28" s="36">
        <v>0.122</v>
      </c>
      <c r="W28" s="36">
        <v>0.34300000000000003</v>
      </c>
      <c r="X28" s="200">
        <v>1.67</v>
      </c>
      <c r="Y28" s="139">
        <v>0.182</v>
      </c>
      <c r="Z28" s="36">
        <v>0.154</v>
      </c>
      <c r="AA28" s="36">
        <v>0.125</v>
      </c>
      <c r="AB28" s="140">
        <v>0.19800000000000001</v>
      </c>
      <c r="AC28" s="36">
        <v>0.222</v>
      </c>
    </row>
    <row r="29" spans="1:29">
      <c r="A29" s="205" t="s">
        <v>395</v>
      </c>
      <c r="B29" s="36">
        <v>6.28E-3</v>
      </c>
      <c r="C29" s="36">
        <v>1.7299999999999999E-2</v>
      </c>
      <c r="D29" s="36">
        <v>1.0699999999999999E-2</v>
      </c>
      <c r="E29" s="5"/>
      <c r="F29" s="5"/>
      <c r="G29" s="36">
        <v>7.7099999999999998E-3</v>
      </c>
      <c r="H29" s="36">
        <v>1.38E-2</v>
      </c>
      <c r="I29" s="36">
        <v>7.8100000000000001E-3</v>
      </c>
      <c r="J29" s="5"/>
      <c r="K29" s="36">
        <v>5.0899999999999999E-3</v>
      </c>
      <c r="L29" s="36">
        <v>2.7399999999999998E-3</v>
      </c>
      <c r="M29" s="36">
        <v>3.8E-3</v>
      </c>
      <c r="N29" s="36">
        <v>4.3499999999999997E-3</v>
      </c>
      <c r="O29" s="5"/>
      <c r="P29" s="5"/>
      <c r="Q29" s="36">
        <v>6.7400000000000003E-3</v>
      </c>
      <c r="R29" s="36">
        <v>7.9900000000000006E-3</v>
      </c>
      <c r="S29" s="36">
        <v>8.3800000000000003E-3</v>
      </c>
      <c r="T29" s="36">
        <v>1.12E-2</v>
      </c>
      <c r="U29" s="36">
        <v>5.1999999999999998E-3</v>
      </c>
      <c r="V29" s="36">
        <v>4.5599999999999998E-3</v>
      </c>
      <c r="W29" s="36">
        <v>5.9699999999999996E-3</v>
      </c>
      <c r="X29" s="200">
        <v>7.2899999999999996E-3</v>
      </c>
      <c r="Y29" s="139">
        <v>4.5799999999999999E-3</v>
      </c>
      <c r="Z29" s="36">
        <v>5.2599999999999999E-3</v>
      </c>
      <c r="AA29" s="36">
        <v>6.1999999999999998E-3</v>
      </c>
      <c r="AB29" s="114"/>
      <c r="AC29" s="36">
        <v>6.28E-3</v>
      </c>
    </row>
    <row r="30" spans="1:29">
      <c r="A30" s="215" t="s">
        <v>399</v>
      </c>
      <c r="B30" s="36">
        <v>2.5899999999999999E-2</v>
      </c>
      <c r="C30" s="36">
        <v>1.3299999999999999E-2</v>
      </c>
      <c r="D30" s="5"/>
      <c r="E30" s="5"/>
      <c r="F30" s="36">
        <v>1.47E-2</v>
      </c>
      <c r="G30" s="36">
        <v>3.0700000000000002E-2</v>
      </c>
      <c r="H30" s="36">
        <v>2.0299999999999999E-2</v>
      </c>
      <c r="I30" s="36">
        <v>2.7900000000000001E-2</v>
      </c>
      <c r="J30" s="5"/>
      <c r="K30" s="36">
        <v>2.8199999999999999E-2</v>
      </c>
      <c r="L30" s="36">
        <v>6.5900000000000004E-3</v>
      </c>
      <c r="M30" s="36">
        <v>6.5500000000000003E-2</v>
      </c>
      <c r="N30" s="36">
        <v>5.0999999999999997E-2</v>
      </c>
      <c r="O30" s="5"/>
      <c r="P30" s="5"/>
      <c r="Q30" s="36">
        <v>3.4200000000000001E-2</v>
      </c>
      <c r="R30" s="36">
        <v>0.46899999999999997</v>
      </c>
      <c r="S30" s="36">
        <v>5.62E-2</v>
      </c>
      <c r="T30" s="36">
        <v>1.4200000000000001E-2</v>
      </c>
      <c r="U30" s="36">
        <v>1.26E-2</v>
      </c>
      <c r="V30" s="5"/>
      <c r="W30" s="36">
        <v>4.3999999999999997E-2</v>
      </c>
      <c r="X30" s="200">
        <v>4.9299999999999997E-2</v>
      </c>
      <c r="Y30" s="139">
        <v>0.14599999999999999</v>
      </c>
      <c r="Z30" s="5"/>
      <c r="AA30" s="5"/>
      <c r="AB30" s="114"/>
      <c r="AC30" s="36">
        <v>2.5899999999999999E-2</v>
      </c>
    </row>
    <row r="31" spans="1:29">
      <c r="A31" s="205" t="s">
        <v>423</v>
      </c>
      <c r="B31" s="36">
        <v>0.28999999999999998</v>
      </c>
      <c r="C31" s="36">
        <v>0.13700000000000001</v>
      </c>
      <c r="D31" s="36">
        <v>0.158</v>
      </c>
      <c r="E31" s="36">
        <v>0.497</v>
      </c>
      <c r="F31" s="36">
        <v>0.16500000000000001</v>
      </c>
      <c r="G31" s="36">
        <v>0.20799999999999999</v>
      </c>
      <c r="H31" s="36">
        <v>0.13200000000000001</v>
      </c>
      <c r="I31" s="36">
        <v>0.25</v>
      </c>
      <c r="J31" s="36">
        <v>0.36699999999999999</v>
      </c>
      <c r="K31" s="36">
        <v>0.14499999999999999</v>
      </c>
      <c r="L31" s="36">
        <v>0.12</v>
      </c>
      <c r="M31" s="36">
        <v>0.223</v>
      </c>
      <c r="N31" s="36">
        <v>0.21199999999999999</v>
      </c>
      <c r="O31" s="36">
        <v>0.56200000000000006</v>
      </c>
      <c r="P31" s="36">
        <v>0.34499999999999997</v>
      </c>
      <c r="Q31" s="36">
        <v>0.115</v>
      </c>
      <c r="R31" s="36">
        <v>0.104</v>
      </c>
      <c r="S31" s="36">
        <v>8.9499999999999996E-2</v>
      </c>
      <c r="T31" s="36">
        <v>0.152</v>
      </c>
      <c r="U31" s="36">
        <v>0.254</v>
      </c>
      <c r="V31" s="36">
        <v>0.2</v>
      </c>
      <c r="W31" s="36">
        <v>0.26800000000000002</v>
      </c>
      <c r="X31" s="200">
        <v>0.15</v>
      </c>
      <c r="Y31" s="139">
        <v>0.17299999999999999</v>
      </c>
      <c r="Z31" s="36">
        <v>0.50600000000000001</v>
      </c>
      <c r="AA31" s="36">
        <v>0.20300000000000001</v>
      </c>
      <c r="AB31" s="140">
        <v>1.24</v>
      </c>
      <c r="AC31" s="36">
        <v>0.28999999999999998</v>
      </c>
    </row>
    <row r="32" spans="1:29">
      <c r="A32" s="205" t="s">
        <v>430</v>
      </c>
      <c r="B32" s="35">
        <v>4.5700000000000003E-3</v>
      </c>
      <c r="C32" s="3"/>
      <c r="D32" s="3"/>
      <c r="E32" s="35">
        <v>7.9000000000000008E-3</v>
      </c>
      <c r="F32" s="35">
        <v>6.1199999999999996E-3</v>
      </c>
      <c r="G32" s="3"/>
      <c r="H32" s="3"/>
      <c r="I32" s="3"/>
      <c r="J32" s="3"/>
      <c r="K32" s="35">
        <v>3.7799999999999999E-3</v>
      </c>
      <c r="L32" s="35">
        <v>4.9500000000000004E-3</v>
      </c>
      <c r="M32" s="35">
        <v>4.2399999999999998E-3</v>
      </c>
      <c r="N32" s="35">
        <v>2.9199999999999999E-3</v>
      </c>
      <c r="O32" s="35">
        <v>3.7499999999999999E-3</v>
      </c>
      <c r="P32" s="35">
        <v>4.4600000000000004E-3</v>
      </c>
      <c r="Q32" s="3"/>
      <c r="R32" s="3"/>
      <c r="S32" s="3"/>
      <c r="T32" s="3"/>
      <c r="U32" s="3"/>
      <c r="V32" s="3"/>
      <c r="W32" s="3"/>
      <c r="X32" s="203"/>
      <c r="Y32" s="204">
        <v>3.4499999999999999E-3</v>
      </c>
      <c r="Z32" s="35">
        <v>3.6900000000000001E-3</v>
      </c>
      <c r="AA32" s="35">
        <v>4.45E-3</v>
      </c>
      <c r="AB32" s="138">
        <v>2.3600000000000001E-3</v>
      </c>
      <c r="AC32" s="35">
        <v>4.5700000000000003E-3</v>
      </c>
    </row>
    <row r="33" spans="1:29">
      <c r="A33" s="205" t="s">
        <v>434</v>
      </c>
      <c r="B33" s="35">
        <v>1.9499999999999999E-3</v>
      </c>
      <c r="C33" s="35">
        <v>4.4799999999999996E-3</v>
      </c>
      <c r="D33" s="35">
        <v>3.2299999999999998E-3</v>
      </c>
      <c r="E33" s="3"/>
      <c r="F33" s="3"/>
      <c r="G33" s="35">
        <v>3.15E-3</v>
      </c>
      <c r="H33" s="35">
        <v>2.1700000000000001E-3</v>
      </c>
      <c r="I33" s="3"/>
      <c r="J33" s="35">
        <v>3.2100000000000002E-3</v>
      </c>
      <c r="K33" s="3"/>
      <c r="L33" s="3"/>
      <c r="M33" s="3"/>
      <c r="N33" s="3"/>
      <c r="O33" s="3"/>
      <c r="P33" s="3"/>
      <c r="Q33" s="3"/>
      <c r="R33" s="3"/>
      <c r="S33" s="3"/>
      <c r="T33" s="3"/>
      <c r="U33" s="35">
        <v>3.0000000000000001E-3</v>
      </c>
      <c r="V33" s="3"/>
      <c r="W33" s="3"/>
      <c r="X33" s="203"/>
      <c r="Y33" s="204">
        <v>3.82E-3</v>
      </c>
      <c r="Z33" s="35">
        <v>2.5799999999999998E-3</v>
      </c>
      <c r="AA33" s="3"/>
      <c r="AB33" s="138">
        <v>9.8700000000000003E-4</v>
      </c>
      <c r="AC33" s="35">
        <v>1.9499999999999999E-3</v>
      </c>
    </row>
    <row r="34" spans="1:29">
      <c r="A34" s="205" t="s">
        <v>438</v>
      </c>
      <c r="B34" s="35">
        <v>0.32</v>
      </c>
      <c r="C34" s="35">
        <v>0.22700000000000001</v>
      </c>
      <c r="D34" s="35">
        <v>0.159</v>
      </c>
      <c r="E34" s="35">
        <v>0.42299999999999999</v>
      </c>
      <c r="F34" s="35">
        <v>0.14299999999999999</v>
      </c>
      <c r="G34" s="35">
        <v>0.33</v>
      </c>
      <c r="H34" s="35">
        <v>0.24399999999999999</v>
      </c>
      <c r="I34" s="35">
        <v>0.38900000000000001</v>
      </c>
      <c r="J34" s="35">
        <v>0.374</v>
      </c>
      <c r="K34" s="35">
        <v>0.3</v>
      </c>
      <c r="L34" s="35">
        <v>0.189</v>
      </c>
      <c r="M34" s="35">
        <v>0.219</v>
      </c>
      <c r="N34" s="35">
        <v>0.23699999999999999</v>
      </c>
      <c r="O34" s="35">
        <v>0.60599999999999998</v>
      </c>
      <c r="P34" s="35">
        <v>0.36699999999999999</v>
      </c>
      <c r="Q34" s="35">
        <v>0.24199999999999999</v>
      </c>
      <c r="R34" s="35">
        <v>0.28299999999999997</v>
      </c>
      <c r="S34" s="35">
        <v>0.189</v>
      </c>
      <c r="T34" s="35">
        <v>0.30299999999999999</v>
      </c>
      <c r="U34" s="35">
        <v>0.28699999999999998</v>
      </c>
      <c r="V34" s="35">
        <v>0.216</v>
      </c>
      <c r="W34" s="35">
        <v>0.28699999999999998</v>
      </c>
      <c r="X34" s="202">
        <v>0.21</v>
      </c>
      <c r="Y34" s="204">
        <v>0.18099999999999999</v>
      </c>
      <c r="Z34" s="35">
        <v>0.47499999999999998</v>
      </c>
      <c r="AA34" s="35">
        <v>0.308</v>
      </c>
      <c r="AB34" s="138">
        <v>0.95899999999999996</v>
      </c>
      <c r="AC34" s="35">
        <v>0.32</v>
      </c>
    </row>
    <row r="35" spans="1:29">
      <c r="A35" s="205" t="s">
        <v>440</v>
      </c>
      <c r="B35" s="35">
        <v>9.6500000000000006E-3</v>
      </c>
      <c r="C35" s="35">
        <v>3.44E-2</v>
      </c>
      <c r="D35" s="35">
        <v>2.6599999999999999E-2</v>
      </c>
      <c r="E35" s="3"/>
      <c r="F35" s="35">
        <v>2.2499999999999998E-3</v>
      </c>
      <c r="G35" s="35">
        <v>2.3099999999999999E-2</v>
      </c>
      <c r="H35" s="35">
        <v>1.8800000000000001E-2</v>
      </c>
      <c r="I35" s="3"/>
      <c r="J35" s="35">
        <v>2.0500000000000001E-2</v>
      </c>
      <c r="K35" s="3"/>
      <c r="L35" s="3"/>
      <c r="M35" s="3"/>
      <c r="N35" s="3"/>
      <c r="O35" s="3"/>
      <c r="P35" s="35">
        <v>5.2100000000000002E-3</v>
      </c>
      <c r="Q35" s="3"/>
      <c r="R35" s="3"/>
      <c r="S35" s="3"/>
      <c r="T35" s="3"/>
      <c r="U35" s="35">
        <v>8.7299999999999999E-3</v>
      </c>
      <c r="V35" s="3"/>
      <c r="W35" s="3"/>
      <c r="X35" s="202">
        <v>1.2500000000000001E-2</v>
      </c>
      <c r="Y35" s="204">
        <v>1.52E-2</v>
      </c>
      <c r="Z35" s="35">
        <v>1.17E-2</v>
      </c>
      <c r="AA35" s="35">
        <v>1.03E-2</v>
      </c>
      <c r="AB35" s="142"/>
      <c r="AC35" s="35">
        <v>9.6500000000000006E-3</v>
      </c>
    </row>
    <row r="36" spans="1:29">
      <c r="A36" s="205" t="s">
        <v>455</v>
      </c>
      <c r="B36" s="5"/>
      <c r="C36" s="36">
        <v>1.29E-2</v>
      </c>
      <c r="D36" s="5"/>
      <c r="E36" s="5"/>
      <c r="F36" s="5"/>
      <c r="G36" s="5"/>
      <c r="H36" s="5"/>
      <c r="I36" s="5"/>
      <c r="J36" s="36">
        <v>4.4999999999999997E-3</v>
      </c>
      <c r="K36" s="5"/>
      <c r="L36" s="5"/>
      <c r="M36" s="5"/>
      <c r="N36" s="5"/>
      <c r="O36" s="5"/>
      <c r="P36" s="5"/>
      <c r="Q36" s="5"/>
      <c r="R36" s="5"/>
      <c r="S36" s="5"/>
      <c r="T36" s="5"/>
      <c r="U36" s="5"/>
      <c r="V36" s="5"/>
      <c r="W36" s="5"/>
      <c r="X36" s="201"/>
      <c r="Y36" s="139">
        <v>4.6100000000000004E-3</v>
      </c>
      <c r="Z36" s="5"/>
      <c r="AA36" s="5"/>
      <c r="AB36" s="114"/>
      <c r="AC36" s="5"/>
    </row>
    <row r="37" spans="1:29">
      <c r="A37" s="205" t="s">
        <v>456</v>
      </c>
      <c r="B37" s="35">
        <v>5.94E-3</v>
      </c>
      <c r="C37" s="3"/>
      <c r="D37" s="35">
        <v>1.0999999999999999E-2</v>
      </c>
      <c r="E37" s="3"/>
      <c r="F37" s="3"/>
      <c r="G37" s="35">
        <v>1.34E-2</v>
      </c>
      <c r="H37" s="35">
        <v>9.9799999999999993E-3</v>
      </c>
      <c r="I37" s="3"/>
      <c r="J37" s="35">
        <v>1.18E-2</v>
      </c>
      <c r="K37" s="3"/>
      <c r="L37" s="3"/>
      <c r="M37" s="3"/>
      <c r="N37" s="3"/>
      <c r="O37" s="3"/>
      <c r="P37" s="3"/>
      <c r="Q37" s="3"/>
      <c r="R37" s="3"/>
      <c r="S37" s="3"/>
      <c r="T37" s="3"/>
      <c r="U37" s="3"/>
      <c r="V37" s="3"/>
      <c r="W37" s="3"/>
      <c r="X37" s="203"/>
      <c r="Y37" s="204">
        <v>5.7800000000000004E-3</v>
      </c>
      <c r="Z37" s="3"/>
      <c r="AA37" s="3"/>
      <c r="AB37" s="142"/>
      <c r="AC37" s="35">
        <v>5.94E-3</v>
      </c>
    </row>
    <row r="38" spans="1:29">
      <c r="A38" s="205" t="s">
        <v>459</v>
      </c>
      <c r="B38" s="36">
        <v>0.309</v>
      </c>
      <c r="C38" s="36">
        <v>0.11600000000000001</v>
      </c>
      <c r="D38" s="36">
        <v>0.12</v>
      </c>
      <c r="E38" s="36">
        <v>0.41599999999999998</v>
      </c>
      <c r="F38" s="36">
        <v>0.114</v>
      </c>
      <c r="G38" s="36">
        <v>0.17699999999999999</v>
      </c>
      <c r="H38" s="36">
        <v>8.5000000000000006E-2</v>
      </c>
      <c r="I38" s="36">
        <v>0.222</v>
      </c>
      <c r="J38" s="36">
        <v>0.34799999999999998</v>
      </c>
      <c r="K38" s="36">
        <v>0.13600000000000001</v>
      </c>
      <c r="L38" s="36">
        <v>0.13800000000000001</v>
      </c>
      <c r="M38" s="36">
        <v>0.33100000000000002</v>
      </c>
      <c r="N38" s="36">
        <v>0.33</v>
      </c>
      <c r="O38" s="36">
        <v>0.50600000000000001</v>
      </c>
      <c r="P38" s="36">
        <v>0.498</v>
      </c>
      <c r="Q38" s="36">
        <v>0.112</v>
      </c>
      <c r="R38" s="36">
        <v>0.1</v>
      </c>
      <c r="S38" s="36">
        <v>8.3900000000000002E-2</v>
      </c>
      <c r="T38" s="36">
        <v>0.19900000000000001</v>
      </c>
      <c r="U38" s="36">
        <v>0.45400000000000001</v>
      </c>
      <c r="V38" s="36">
        <v>0.29299999999999998</v>
      </c>
      <c r="W38" s="36">
        <v>0.57499999999999996</v>
      </c>
      <c r="X38" s="200">
        <v>0.218</v>
      </c>
      <c r="Y38" s="139">
        <v>0.20399999999999999</v>
      </c>
      <c r="Z38" s="36">
        <v>0.70299999999999996</v>
      </c>
      <c r="AA38" s="36">
        <v>0.19</v>
      </c>
      <c r="AB38" s="140">
        <v>0.752</v>
      </c>
      <c r="AC38" s="36">
        <v>0.309</v>
      </c>
    </row>
    <row r="39" spans="1:29">
      <c r="A39" s="205" t="s">
        <v>466</v>
      </c>
      <c r="B39" s="35">
        <v>7.5199999999999998E-3</v>
      </c>
      <c r="C39" s="35">
        <v>9.4699999999999993E-3</v>
      </c>
      <c r="D39" s="35">
        <v>1.0699999999999999E-2</v>
      </c>
      <c r="E39" s="3"/>
      <c r="F39" s="35">
        <v>1.44E-2</v>
      </c>
      <c r="G39" s="35">
        <v>8.9499999999999996E-3</v>
      </c>
      <c r="H39" s="35">
        <v>7.2399999999999999E-3</v>
      </c>
      <c r="I39" s="35">
        <v>7.4000000000000003E-3</v>
      </c>
      <c r="J39" s="35">
        <v>8.6599999999999993E-3</v>
      </c>
      <c r="K39" s="3"/>
      <c r="L39" s="35">
        <v>3.7599999999999999E-3</v>
      </c>
      <c r="M39" s="35">
        <v>4.1200000000000004E-3</v>
      </c>
      <c r="N39" s="35">
        <v>6.4799999999999996E-3</v>
      </c>
      <c r="O39" s="3"/>
      <c r="P39" s="35">
        <v>9.4699999999999993E-3</v>
      </c>
      <c r="Q39" s="35">
        <v>2.81E-3</v>
      </c>
      <c r="R39" s="35">
        <v>4.1399999999999996E-3</v>
      </c>
      <c r="S39" s="35">
        <v>3.4499999999999999E-3</v>
      </c>
      <c r="T39" s="35">
        <v>6.2399999999999999E-3</v>
      </c>
      <c r="U39" s="35">
        <v>5.5900000000000004E-3</v>
      </c>
      <c r="V39" s="35">
        <v>3.6800000000000001E-3</v>
      </c>
      <c r="W39" s="35">
        <v>4.2700000000000004E-3</v>
      </c>
      <c r="X39" s="202">
        <v>3.46E-3</v>
      </c>
      <c r="Y39" s="204">
        <v>1.09E-2</v>
      </c>
      <c r="Z39" s="35">
        <v>6.94E-3</v>
      </c>
      <c r="AA39" s="35">
        <v>7.6899999999999998E-3</v>
      </c>
      <c r="AB39" s="142"/>
      <c r="AC39" s="35">
        <v>7.5199999999999998E-3</v>
      </c>
    </row>
    <row r="40" spans="1:29">
      <c r="A40" s="205" t="s">
        <v>474</v>
      </c>
      <c r="B40" s="35">
        <v>9.4200000000000006E-2</v>
      </c>
      <c r="C40" s="35">
        <v>9.3799999999999994E-2</v>
      </c>
      <c r="D40" s="35">
        <v>5.5100000000000003E-2</v>
      </c>
      <c r="E40" s="35">
        <v>7.4499999999999997E-2</v>
      </c>
      <c r="F40" s="35">
        <v>4.24E-2</v>
      </c>
      <c r="G40" s="35">
        <v>0.11899999999999999</v>
      </c>
      <c r="H40" s="35">
        <v>0.10199999999999999</v>
      </c>
      <c r="I40" s="35">
        <v>0.128</v>
      </c>
      <c r="J40" s="35">
        <v>0.159</v>
      </c>
      <c r="K40" s="35">
        <v>0.13200000000000001</v>
      </c>
      <c r="L40" s="35">
        <v>6.93E-2</v>
      </c>
      <c r="M40" s="35">
        <v>8.1000000000000003E-2</v>
      </c>
      <c r="N40" s="35">
        <v>9.2399999999999996E-2</v>
      </c>
      <c r="O40" s="35">
        <v>8.2299999999999998E-2</v>
      </c>
      <c r="P40" s="35">
        <v>0.114</v>
      </c>
      <c r="Q40" s="35">
        <v>0.108</v>
      </c>
      <c r="R40" s="35">
        <v>4.0399999999999998E-2</v>
      </c>
      <c r="S40" s="35">
        <v>9.4700000000000006E-2</v>
      </c>
      <c r="T40" s="35">
        <v>0.10199999999999999</v>
      </c>
      <c r="U40" s="35">
        <v>0.14299999999999999</v>
      </c>
      <c r="V40" s="35">
        <v>0.105</v>
      </c>
      <c r="W40" s="35">
        <v>0.125</v>
      </c>
      <c r="X40" s="202">
        <v>8.2199999999999995E-2</v>
      </c>
      <c r="Y40" s="204">
        <v>6.2899999999999998E-2</v>
      </c>
      <c r="Z40" s="35">
        <v>0.156</v>
      </c>
      <c r="AA40" s="35">
        <v>9.8199999999999996E-2</v>
      </c>
      <c r="AB40" s="138">
        <v>0.109</v>
      </c>
      <c r="AC40" s="35">
        <v>9.4200000000000006E-2</v>
      </c>
    </row>
    <row r="41" spans="1:29">
      <c r="A41" s="205" t="s">
        <v>478</v>
      </c>
      <c r="B41" s="35">
        <v>0.20100000000000001</v>
      </c>
      <c r="C41" s="35">
        <v>0.13100000000000001</v>
      </c>
      <c r="D41" s="35">
        <v>7.9899999999999999E-2</v>
      </c>
      <c r="E41" s="35">
        <v>9.64E-2</v>
      </c>
      <c r="F41" s="35">
        <v>0.14699999999999999</v>
      </c>
      <c r="G41" s="35">
        <v>0.159</v>
      </c>
      <c r="H41" s="35">
        <v>0.14199999999999999</v>
      </c>
      <c r="I41" s="35">
        <v>0.17799999999999999</v>
      </c>
      <c r="J41" s="35">
        <v>0.155</v>
      </c>
      <c r="K41" s="35">
        <v>0.20799999999999999</v>
      </c>
      <c r="L41" s="35">
        <v>0.155</v>
      </c>
      <c r="M41" s="35">
        <v>0.22600000000000001</v>
      </c>
      <c r="N41" s="35">
        <v>0.16600000000000001</v>
      </c>
      <c r="O41" s="35">
        <v>0.21199999999999999</v>
      </c>
      <c r="P41" s="35">
        <v>0.23599999999999999</v>
      </c>
      <c r="Q41" s="35">
        <v>0.14799999999999999</v>
      </c>
      <c r="R41" s="35">
        <v>0.17499999999999999</v>
      </c>
      <c r="S41" s="35">
        <v>0.17</v>
      </c>
      <c r="T41" s="35">
        <v>0.25800000000000001</v>
      </c>
      <c r="U41" s="35">
        <v>0.20599999999999999</v>
      </c>
      <c r="V41" s="35">
        <v>0.156</v>
      </c>
      <c r="W41" s="35">
        <v>0.191</v>
      </c>
      <c r="X41" s="202">
        <v>0.17100000000000001</v>
      </c>
      <c r="Y41" s="204">
        <v>0.1</v>
      </c>
      <c r="Z41" s="35">
        <v>0.25800000000000001</v>
      </c>
      <c r="AA41" s="35">
        <v>0.223</v>
      </c>
      <c r="AB41" s="138">
        <v>0.26700000000000002</v>
      </c>
      <c r="AC41" s="35">
        <v>0.20100000000000001</v>
      </c>
    </row>
    <row r="42" spans="1:29">
      <c r="A42" s="205" t="s">
        <v>482</v>
      </c>
      <c r="B42" s="35">
        <v>9.1699999999999993E-3</v>
      </c>
      <c r="C42" s="35">
        <v>2.7E-2</v>
      </c>
      <c r="D42" s="35">
        <v>1.37E-2</v>
      </c>
      <c r="E42" s="3"/>
      <c r="F42" s="35">
        <v>6.1399999999999996E-3</v>
      </c>
      <c r="G42" s="35">
        <v>2.81E-2</v>
      </c>
      <c r="H42" s="35">
        <v>1.5299999999999999E-2</v>
      </c>
      <c r="I42" s="35">
        <v>1.5299999999999999E-2</v>
      </c>
      <c r="J42" s="35">
        <v>2.1999999999999999E-2</v>
      </c>
      <c r="K42" s="35">
        <v>6.9199999999999999E-3</v>
      </c>
      <c r="L42" s="35">
        <v>5.7400000000000003E-3</v>
      </c>
      <c r="M42" s="35">
        <v>4.6600000000000001E-3</v>
      </c>
      <c r="N42" s="35">
        <v>5.4599999999999996E-3</v>
      </c>
      <c r="O42" s="3"/>
      <c r="P42" s="35">
        <v>8.2900000000000005E-3</v>
      </c>
      <c r="Q42" s="3"/>
      <c r="R42" s="35">
        <v>4.5399999999999998E-3</v>
      </c>
      <c r="S42" s="35">
        <v>8.9700000000000005E-3</v>
      </c>
      <c r="T42" s="35">
        <v>7.6299999999999996E-3</v>
      </c>
      <c r="U42" s="35">
        <v>1.06E-2</v>
      </c>
      <c r="V42" s="35">
        <v>7.3099999999999997E-3</v>
      </c>
      <c r="W42" s="35">
        <v>7.1700000000000002E-3</v>
      </c>
      <c r="X42" s="202">
        <v>9.92E-3</v>
      </c>
      <c r="Y42" s="204">
        <v>9.8300000000000002E-3</v>
      </c>
      <c r="Z42" s="35">
        <v>1.0699999999999999E-2</v>
      </c>
      <c r="AA42" s="35">
        <v>9.4599999999999997E-3</v>
      </c>
      <c r="AB42" s="142"/>
      <c r="AC42" s="35">
        <v>9.1699999999999993E-3</v>
      </c>
    </row>
    <row r="43" spans="1:29">
      <c r="A43" s="205" t="s">
        <v>484</v>
      </c>
      <c r="B43" s="35">
        <v>0.14799999999999999</v>
      </c>
      <c r="C43" s="35">
        <v>0.112</v>
      </c>
      <c r="D43" s="35">
        <v>8.6999999999999994E-2</v>
      </c>
      <c r="E43" s="35">
        <v>0.17100000000000001</v>
      </c>
      <c r="F43" s="35">
        <v>6.0100000000000001E-2</v>
      </c>
      <c r="G43" s="35">
        <v>0.11700000000000001</v>
      </c>
      <c r="H43" s="35">
        <v>8.8800000000000004E-2</v>
      </c>
      <c r="I43" s="35">
        <v>0.13700000000000001</v>
      </c>
      <c r="J43" s="35">
        <v>0.14599999999999999</v>
      </c>
      <c r="K43" s="35">
        <v>0.11600000000000001</v>
      </c>
      <c r="L43" s="35">
        <v>8.4900000000000003E-2</v>
      </c>
      <c r="M43" s="35">
        <v>9.98E-2</v>
      </c>
      <c r="N43" s="35">
        <v>0.109</v>
      </c>
      <c r="O43" s="35">
        <v>0.23100000000000001</v>
      </c>
      <c r="P43" s="35">
        <v>0.16200000000000001</v>
      </c>
      <c r="Q43" s="35">
        <v>8.7499999999999994E-2</v>
      </c>
      <c r="R43" s="35">
        <v>6.5299999999999997E-2</v>
      </c>
      <c r="S43" s="35">
        <v>3.5900000000000001E-2</v>
      </c>
      <c r="T43" s="35">
        <v>6.2199999999999998E-2</v>
      </c>
      <c r="U43" s="35">
        <v>0.115</v>
      </c>
      <c r="V43" s="35">
        <v>9.2499999999999999E-2</v>
      </c>
      <c r="W43" s="35">
        <v>0.14299999999999999</v>
      </c>
      <c r="X43" s="202">
        <v>0.127</v>
      </c>
      <c r="Y43" s="204">
        <v>7.0499999999999993E-2</v>
      </c>
      <c r="Z43" s="35">
        <v>0.23200000000000001</v>
      </c>
      <c r="AA43" s="35">
        <v>0.17499999999999999</v>
      </c>
      <c r="AB43" s="138">
        <v>0.40100000000000002</v>
      </c>
      <c r="AC43" s="35">
        <v>0.14799999999999999</v>
      </c>
    </row>
    <row r="44" spans="1:29">
      <c r="A44" s="205" t="s">
        <v>498</v>
      </c>
      <c r="B44" s="35">
        <v>3.5900000000000001E-2</v>
      </c>
      <c r="C44" s="35">
        <v>4.7100000000000003E-2</v>
      </c>
      <c r="D44" s="35">
        <v>3.9300000000000002E-2</v>
      </c>
      <c r="E44" s="35">
        <v>3.7499999999999999E-2</v>
      </c>
      <c r="F44" s="35">
        <v>5.9299999999999999E-2</v>
      </c>
      <c r="G44" s="35">
        <v>5.28E-2</v>
      </c>
      <c r="H44" s="35">
        <v>5.62E-2</v>
      </c>
      <c r="I44" s="35">
        <v>3.61E-2</v>
      </c>
      <c r="J44" s="35">
        <v>8.1799999999999998E-2</v>
      </c>
      <c r="K44" s="35">
        <v>2.2800000000000001E-2</v>
      </c>
      <c r="L44" s="35">
        <v>1.4800000000000001E-2</v>
      </c>
      <c r="M44" s="35">
        <v>1.83E-2</v>
      </c>
      <c r="N44" s="35">
        <v>3.6499999999999998E-2</v>
      </c>
      <c r="O44" s="35">
        <v>1.2999999999999999E-2</v>
      </c>
      <c r="P44" s="35">
        <v>1.5299999999999999E-2</v>
      </c>
      <c r="Q44" s="35">
        <v>7.7400000000000004E-3</v>
      </c>
      <c r="R44" s="3"/>
      <c r="S44" s="35">
        <v>0.107</v>
      </c>
      <c r="T44" s="35">
        <v>5.7499999999999999E-3</v>
      </c>
      <c r="U44" s="35">
        <v>2.9000000000000001E-2</v>
      </c>
      <c r="V44" s="35">
        <v>5.7000000000000002E-3</v>
      </c>
      <c r="W44" s="35">
        <v>1.06E-2</v>
      </c>
      <c r="X44" s="202">
        <v>3.7600000000000001E-2</v>
      </c>
      <c r="Y44" s="204">
        <v>3.9300000000000002E-2</v>
      </c>
      <c r="Z44" s="35">
        <v>2.3599999999999999E-2</v>
      </c>
      <c r="AA44" s="35">
        <v>2.3800000000000002E-2</v>
      </c>
      <c r="AB44" s="138">
        <v>1.7399999999999999E-2</v>
      </c>
      <c r="AC44" s="35">
        <v>3.5900000000000001E-2</v>
      </c>
    </row>
    <row r="45" spans="1:29">
      <c r="A45" s="205" t="s">
        <v>515</v>
      </c>
      <c r="B45" s="36">
        <v>6.2599999999999999E-3</v>
      </c>
      <c r="C45" s="5"/>
      <c r="D45" s="36">
        <v>1.6899999999999998E-2</v>
      </c>
      <c r="E45" s="5"/>
      <c r="F45" s="5"/>
      <c r="G45" s="36">
        <v>1.2699999999999999E-2</v>
      </c>
      <c r="H45" s="36">
        <v>1.41E-2</v>
      </c>
      <c r="I45" s="5"/>
      <c r="J45" s="36">
        <v>8.5900000000000004E-3</v>
      </c>
      <c r="K45" s="5"/>
      <c r="L45" s="5"/>
      <c r="M45" s="5"/>
      <c r="N45" s="5"/>
      <c r="O45" s="5"/>
      <c r="P45" s="5"/>
      <c r="Q45" s="5"/>
      <c r="R45" s="5"/>
      <c r="S45" s="5"/>
      <c r="T45" s="5"/>
      <c r="U45" s="5"/>
      <c r="V45" s="5"/>
      <c r="W45" s="5"/>
      <c r="X45" s="201"/>
      <c r="Y45" s="139">
        <v>1.1299999999999999E-2</v>
      </c>
      <c r="Z45" s="5"/>
      <c r="AA45" s="5"/>
      <c r="AB45" s="114"/>
      <c r="AC45" s="36">
        <v>6.2599999999999999E-3</v>
      </c>
    </row>
    <row r="46" spans="1:29" s="211" customFormat="1">
      <c r="A46" s="205" t="s">
        <v>520</v>
      </c>
      <c r="B46" s="206">
        <v>3.3099999999999997E-2</v>
      </c>
      <c r="C46" s="206">
        <v>3.1300000000000001E-2</v>
      </c>
      <c r="D46" s="206">
        <v>2.98E-2</v>
      </c>
      <c r="E46" s="207"/>
      <c r="F46" s="207"/>
      <c r="G46" s="206">
        <v>2.53E-2</v>
      </c>
      <c r="H46" s="206">
        <v>1.5800000000000002E-2</v>
      </c>
      <c r="I46" s="206">
        <v>2.64E-2</v>
      </c>
      <c r="J46" s="206">
        <v>4.1599999999999998E-2</v>
      </c>
      <c r="K46" s="207"/>
      <c r="L46" s="206">
        <v>1.14E-2</v>
      </c>
      <c r="M46" s="206">
        <v>2.9000000000000001E-2</v>
      </c>
      <c r="N46" s="206">
        <v>3.3700000000000001E-2</v>
      </c>
      <c r="O46" s="207"/>
      <c r="P46" s="207"/>
      <c r="Q46" s="207"/>
      <c r="R46" s="206">
        <v>4.7899999999999998E-2</v>
      </c>
      <c r="S46" s="207"/>
      <c r="T46" s="207"/>
      <c r="U46" s="206">
        <v>1.21E-2</v>
      </c>
      <c r="V46" s="206">
        <v>0.11799999999999999</v>
      </c>
      <c r="W46" s="206">
        <v>3.4000000000000002E-2</v>
      </c>
      <c r="X46" s="208"/>
      <c r="Y46" s="209"/>
      <c r="Z46" s="207"/>
      <c r="AA46" s="207"/>
      <c r="AB46" s="210"/>
      <c r="AC46" s="206">
        <v>3.3099999999999997E-2</v>
      </c>
    </row>
    <row r="47" spans="1:29" s="211" customFormat="1">
      <c r="A47" s="205" t="s">
        <v>521</v>
      </c>
      <c r="B47" s="206">
        <v>0.114</v>
      </c>
      <c r="C47" s="206">
        <v>8.5800000000000001E-2</v>
      </c>
      <c r="D47" s="206">
        <v>5.4600000000000003E-2</v>
      </c>
      <c r="E47" s="207"/>
      <c r="F47" s="207"/>
      <c r="G47" s="206">
        <v>0.107</v>
      </c>
      <c r="H47" s="206">
        <v>8.9700000000000002E-2</v>
      </c>
      <c r="I47" s="206">
        <v>9.6699999999999994E-2</v>
      </c>
      <c r="J47" s="206">
        <v>0.113</v>
      </c>
      <c r="K47" s="206">
        <v>0.127</v>
      </c>
      <c r="L47" s="206">
        <v>6.7900000000000002E-2</v>
      </c>
      <c r="M47" s="206">
        <v>0.123</v>
      </c>
      <c r="N47" s="206">
        <v>0.104</v>
      </c>
      <c r="O47" s="207"/>
      <c r="P47" s="207"/>
      <c r="Q47" s="206">
        <v>0.114</v>
      </c>
      <c r="R47" s="206">
        <v>6.8199999999999997E-2</v>
      </c>
      <c r="S47" s="206">
        <v>8.3000000000000004E-2</v>
      </c>
      <c r="T47" s="206">
        <v>0.124</v>
      </c>
      <c r="U47" s="206">
        <v>0.14799999999999999</v>
      </c>
      <c r="V47" s="207"/>
      <c r="W47" s="206">
        <v>0.11899999999999999</v>
      </c>
      <c r="X47" s="212">
        <v>0.11700000000000001</v>
      </c>
      <c r="Y47" s="209"/>
      <c r="Z47" s="207"/>
      <c r="AA47" s="207"/>
      <c r="AB47" s="210"/>
      <c r="AC47" s="206">
        <v>0.114</v>
      </c>
    </row>
    <row r="48" spans="1:29" s="211" customFormat="1">
      <c r="A48" s="205" t="s">
        <v>524</v>
      </c>
      <c r="B48" s="206">
        <v>0.112</v>
      </c>
      <c r="C48" s="206">
        <v>8.2100000000000006E-2</v>
      </c>
      <c r="D48" s="206">
        <v>4.82E-2</v>
      </c>
      <c r="E48" s="206">
        <v>7.1800000000000003E-2</v>
      </c>
      <c r="F48" s="206">
        <v>5.0200000000000002E-2</v>
      </c>
      <c r="G48" s="206">
        <v>0.104</v>
      </c>
      <c r="H48" s="206">
        <v>9.4E-2</v>
      </c>
      <c r="I48" s="206">
        <v>0.10199999999999999</v>
      </c>
      <c r="J48" s="206">
        <v>0.105</v>
      </c>
      <c r="K48" s="206">
        <v>0.111</v>
      </c>
      <c r="L48" s="206">
        <v>7.5800000000000006E-2</v>
      </c>
      <c r="M48" s="206">
        <v>4.8800000000000003E-2</v>
      </c>
      <c r="N48" s="206">
        <v>8.4000000000000005E-2</v>
      </c>
      <c r="O48" s="206">
        <v>0.17899999999999999</v>
      </c>
      <c r="P48" s="206">
        <v>0.13200000000000001</v>
      </c>
      <c r="Q48" s="206">
        <v>0.107</v>
      </c>
      <c r="R48" s="206">
        <v>0.20699999999999999</v>
      </c>
      <c r="S48" s="206">
        <v>7.5700000000000003E-2</v>
      </c>
      <c r="T48" s="206">
        <v>0.13400000000000001</v>
      </c>
      <c r="U48" s="206">
        <v>0.11799999999999999</v>
      </c>
      <c r="V48" s="206">
        <v>8.3699999999999997E-2</v>
      </c>
      <c r="W48" s="206">
        <v>0.109</v>
      </c>
      <c r="X48" s="212">
        <v>0.11700000000000001</v>
      </c>
      <c r="Y48" s="213">
        <v>5.8900000000000001E-2</v>
      </c>
      <c r="Z48" s="206">
        <v>0.16300000000000001</v>
      </c>
      <c r="AA48" s="206">
        <v>0.10100000000000001</v>
      </c>
      <c r="AB48" s="214">
        <v>0.22700000000000001</v>
      </c>
      <c r="AC48" s="206">
        <v>0.112</v>
      </c>
    </row>
    <row r="49" spans="1:29">
      <c r="A49" s="205" t="s">
        <v>530</v>
      </c>
      <c r="B49" s="35">
        <v>0.32900000000000001</v>
      </c>
      <c r="C49" s="35">
        <v>0.17299999999999999</v>
      </c>
      <c r="D49" s="35">
        <v>9.4E-2</v>
      </c>
      <c r="E49" s="35">
        <v>0.28899999999999998</v>
      </c>
      <c r="F49" s="35">
        <v>0.155</v>
      </c>
      <c r="G49" s="35">
        <v>0.30199999999999999</v>
      </c>
      <c r="H49" s="35">
        <v>0.24299999999999999</v>
      </c>
      <c r="I49" s="35">
        <v>0.32200000000000001</v>
      </c>
      <c r="J49" s="35">
        <v>0.32300000000000001</v>
      </c>
      <c r="K49" s="35">
        <v>0.23899999999999999</v>
      </c>
      <c r="L49" s="35">
        <v>0.19</v>
      </c>
      <c r="M49" s="35">
        <v>0.20399999999999999</v>
      </c>
      <c r="N49" s="35">
        <v>0.26600000000000001</v>
      </c>
      <c r="O49" s="35">
        <v>0.36</v>
      </c>
      <c r="P49" s="35">
        <v>0.434</v>
      </c>
      <c r="Q49" s="35">
        <v>0.24</v>
      </c>
      <c r="R49" s="35">
        <v>0.36399999999999999</v>
      </c>
      <c r="S49" s="35">
        <v>0.20300000000000001</v>
      </c>
      <c r="T49" s="35">
        <v>0.318</v>
      </c>
      <c r="U49" s="35">
        <v>0.371</v>
      </c>
      <c r="V49" s="35">
        <v>0.28799999999999998</v>
      </c>
      <c r="W49" s="35">
        <v>0.36399999999999999</v>
      </c>
      <c r="X49" s="202">
        <v>0.372</v>
      </c>
      <c r="Y49" s="204">
        <v>0.16800000000000001</v>
      </c>
      <c r="Z49" s="35">
        <v>0.46600000000000003</v>
      </c>
      <c r="AA49" s="35">
        <v>0.34799999999999998</v>
      </c>
      <c r="AB49" s="138">
        <v>0.78200000000000003</v>
      </c>
      <c r="AC49" s="35">
        <v>0.32900000000000001</v>
      </c>
    </row>
    <row r="50" spans="1:29">
      <c r="A50" s="205" t="s">
        <v>534</v>
      </c>
      <c r="B50" s="35">
        <v>0.158</v>
      </c>
      <c r="C50" s="35">
        <v>7.0999999999999994E-2</v>
      </c>
      <c r="D50" s="35">
        <v>9.4399999999999998E-2</v>
      </c>
      <c r="E50" s="35">
        <v>0.21</v>
      </c>
      <c r="F50" s="35">
        <v>0.12</v>
      </c>
      <c r="G50" s="35">
        <v>7.5300000000000006E-2</v>
      </c>
      <c r="H50" s="35">
        <v>6.6600000000000006E-2</v>
      </c>
      <c r="I50" s="35">
        <v>4.36E-2</v>
      </c>
      <c r="J50" s="35">
        <v>8.3500000000000005E-2</v>
      </c>
      <c r="K50" s="35">
        <v>0.16600000000000001</v>
      </c>
      <c r="L50" s="35">
        <v>0.11700000000000001</v>
      </c>
      <c r="M50" s="35">
        <v>8.3799999999999999E-2</v>
      </c>
      <c r="N50" s="35">
        <v>0.16400000000000001</v>
      </c>
      <c r="O50" s="35">
        <v>0.18</v>
      </c>
      <c r="P50" s="35">
        <v>0.14199999999999999</v>
      </c>
      <c r="Q50" s="35">
        <v>6.13E-2</v>
      </c>
      <c r="R50" s="35">
        <v>5.4599999999999996E-3</v>
      </c>
      <c r="S50" s="35">
        <v>3.6999999999999998E-2</v>
      </c>
      <c r="T50" s="35">
        <v>9.0300000000000005E-2</v>
      </c>
      <c r="U50" s="35">
        <v>2.63E-2</v>
      </c>
      <c r="V50" s="35">
        <v>5.11E-2</v>
      </c>
      <c r="W50" s="35">
        <v>5.6899999999999999E-2</v>
      </c>
      <c r="X50" s="202">
        <v>4.0500000000000001E-2</v>
      </c>
      <c r="Y50" s="204">
        <v>0.10199999999999999</v>
      </c>
      <c r="Z50" s="35">
        <v>0.17599999999999999</v>
      </c>
      <c r="AA50" s="35">
        <v>0.20899999999999999</v>
      </c>
      <c r="AB50" s="138">
        <v>0.22700000000000001</v>
      </c>
      <c r="AC50" s="35">
        <v>0.158</v>
      </c>
    </row>
    <row r="51" spans="1:29">
      <c r="A51" s="205" t="s">
        <v>552</v>
      </c>
      <c r="B51" s="35">
        <v>0.64100000000000001</v>
      </c>
      <c r="C51" s="35">
        <v>0.21099999999999999</v>
      </c>
      <c r="D51" s="35">
        <v>4.99E-2</v>
      </c>
      <c r="E51" s="35">
        <v>0.248</v>
      </c>
      <c r="F51" s="35">
        <v>9.1899999999999996E-2</v>
      </c>
      <c r="G51" s="35">
        <v>0.45500000000000002</v>
      </c>
      <c r="H51" s="35">
        <v>0.439</v>
      </c>
      <c r="I51" s="35">
        <v>0.55700000000000005</v>
      </c>
      <c r="J51" s="35">
        <v>0.40100000000000002</v>
      </c>
      <c r="K51" s="35">
        <v>1.35</v>
      </c>
      <c r="L51" s="35">
        <v>0.79400000000000004</v>
      </c>
      <c r="M51" s="35">
        <v>0.33600000000000002</v>
      </c>
      <c r="N51" s="35">
        <v>0.23499999999999999</v>
      </c>
      <c r="O51" s="35">
        <v>1.59</v>
      </c>
      <c r="P51" s="35">
        <v>0.371</v>
      </c>
      <c r="Q51" s="35">
        <v>0.755</v>
      </c>
      <c r="R51" s="35">
        <v>0.71499999999999997</v>
      </c>
      <c r="S51" s="35">
        <v>0.60399999999999998</v>
      </c>
      <c r="T51" s="35">
        <v>0.79400000000000004</v>
      </c>
      <c r="U51" s="35">
        <v>0.48899999999999999</v>
      </c>
      <c r="V51" s="35">
        <v>0.42799999999999999</v>
      </c>
      <c r="W51" s="35">
        <v>0.47199999999999998</v>
      </c>
      <c r="X51" s="202">
        <v>0.73099999999999998</v>
      </c>
      <c r="Y51" s="204">
        <v>0.157</v>
      </c>
      <c r="Z51" s="35">
        <v>0.307</v>
      </c>
      <c r="AA51" s="35">
        <v>0.40300000000000002</v>
      </c>
      <c r="AB51" s="138">
        <v>0.70799999999999996</v>
      </c>
      <c r="AC51" s="35">
        <v>0.64100000000000001</v>
      </c>
    </row>
    <row r="52" spans="1:29">
      <c r="A52" s="205" t="s">
        <v>554</v>
      </c>
      <c r="B52" s="35">
        <v>0.33500000000000002</v>
      </c>
      <c r="C52" s="35">
        <v>0.217</v>
      </c>
      <c r="D52" s="35">
        <v>0.13500000000000001</v>
      </c>
      <c r="E52" s="35">
        <v>9.11E-2</v>
      </c>
      <c r="F52" s="35">
        <v>0.35099999999999998</v>
      </c>
      <c r="G52" s="35">
        <v>0.27200000000000002</v>
      </c>
      <c r="H52" s="35">
        <v>0.30199999999999999</v>
      </c>
      <c r="I52" s="35">
        <v>0.30399999999999999</v>
      </c>
      <c r="J52" s="35">
        <v>0.26800000000000002</v>
      </c>
      <c r="K52" s="35">
        <v>0.42499999999999999</v>
      </c>
      <c r="L52" s="35">
        <v>0.29099999999999998</v>
      </c>
      <c r="M52" s="35">
        <v>0.246</v>
      </c>
      <c r="N52" s="35">
        <v>0.29499999999999998</v>
      </c>
      <c r="O52" s="35">
        <v>0.20300000000000001</v>
      </c>
      <c r="P52" s="35">
        <v>0.377</v>
      </c>
      <c r="Q52" s="35">
        <v>0.42399999999999999</v>
      </c>
      <c r="R52" s="35">
        <v>1.5</v>
      </c>
      <c r="S52" s="35">
        <v>0.28399999999999997</v>
      </c>
      <c r="T52" s="35">
        <v>0.40500000000000003</v>
      </c>
      <c r="U52" s="35">
        <v>0.39200000000000002</v>
      </c>
      <c r="V52" s="35">
        <v>0.28199999999999997</v>
      </c>
      <c r="W52" s="35">
        <v>0.32500000000000001</v>
      </c>
      <c r="X52" s="202">
        <v>0.27200000000000002</v>
      </c>
      <c r="Y52" s="204">
        <v>0.35</v>
      </c>
      <c r="Z52" s="35">
        <v>0.34699999999999998</v>
      </c>
      <c r="AA52" s="35">
        <v>0.32</v>
      </c>
      <c r="AB52" s="138">
        <v>0.18099999999999999</v>
      </c>
      <c r="AC52" s="35">
        <v>0.33500000000000002</v>
      </c>
    </row>
    <row r="53" spans="1:29">
      <c r="A53" s="205" t="s">
        <v>563</v>
      </c>
      <c r="B53" s="36">
        <v>3.1800000000000002E-2</v>
      </c>
      <c r="C53" s="36">
        <v>2.06E-2</v>
      </c>
      <c r="D53" s="36">
        <v>1.8100000000000002E-2</v>
      </c>
      <c r="E53" s="36">
        <v>2.3199999999999998E-2</v>
      </c>
      <c r="F53" s="36">
        <v>3.6799999999999999E-2</v>
      </c>
      <c r="G53" s="36">
        <v>2.41E-2</v>
      </c>
      <c r="H53" s="5"/>
      <c r="I53" s="36">
        <v>4.4499999999999998E-2</v>
      </c>
      <c r="J53" s="36">
        <v>2.3900000000000001E-2</v>
      </c>
      <c r="K53" s="36">
        <v>2.8799999999999999E-2</v>
      </c>
      <c r="L53" s="36">
        <v>2.5999999999999999E-2</v>
      </c>
      <c r="M53" s="36">
        <v>2.5899999999999999E-2</v>
      </c>
      <c r="N53" s="36">
        <v>2.35E-2</v>
      </c>
      <c r="O53" s="36">
        <v>3.44E-2</v>
      </c>
      <c r="P53" s="36">
        <v>3.1699999999999999E-2</v>
      </c>
      <c r="Q53" s="36">
        <v>4.2799999999999998E-2</v>
      </c>
      <c r="R53" s="36">
        <v>5.1200000000000002E-2</v>
      </c>
      <c r="S53" s="36">
        <v>3.8600000000000002E-2</v>
      </c>
      <c r="T53" s="36">
        <v>4.41E-2</v>
      </c>
      <c r="U53" s="36">
        <v>2.5999999999999999E-2</v>
      </c>
      <c r="V53" s="36">
        <v>3.2800000000000003E-2</v>
      </c>
      <c r="W53" s="36">
        <v>3.1399999999999997E-2</v>
      </c>
      <c r="X53" s="200">
        <v>3.6700000000000003E-2</v>
      </c>
      <c r="Y53" s="139">
        <v>1.6400000000000001E-2</v>
      </c>
      <c r="Z53" s="36">
        <v>6.2899999999999998E-2</v>
      </c>
      <c r="AA53" s="36">
        <v>7.1499999999999994E-2</v>
      </c>
      <c r="AB53" s="140">
        <v>8.4900000000000003E-2</v>
      </c>
      <c r="AC53" s="36">
        <v>3.1800000000000002E-2</v>
      </c>
    </row>
    <row r="54" spans="1:29">
      <c r="A54" s="205" t="s">
        <v>569</v>
      </c>
      <c r="B54" s="36">
        <v>5.8599999999999999E-2</v>
      </c>
      <c r="C54" s="36">
        <v>6.8199999999999997E-2</v>
      </c>
      <c r="D54" s="36">
        <v>9.1800000000000007E-2</v>
      </c>
      <c r="E54" s="36">
        <v>9.1399999999999995E-2</v>
      </c>
      <c r="F54" s="36">
        <v>8.4599999999999995E-2</v>
      </c>
      <c r="G54" s="36">
        <v>5.6500000000000002E-2</v>
      </c>
      <c r="H54" s="36">
        <v>5.3499999999999999E-2</v>
      </c>
      <c r="I54" s="36">
        <v>4.9000000000000002E-2</v>
      </c>
      <c r="J54" s="36">
        <v>5.7000000000000002E-2</v>
      </c>
      <c r="K54" s="36">
        <v>2.7199999999999998E-2</v>
      </c>
      <c r="L54" s="36">
        <v>3.7699999999999997E-2</v>
      </c>
      <c r="M54" s="36">
        <v>2.1700000000000001E-2</v>
      </c>
      <c r="N54" s="36">
        <v>6.5600000000000006E-2</v>
      </c>
      <c r="O54" s="36">
        <v>6.08E-2</v>
      </c>
      <c r="P54" s="36">
        <v>5.3199999999999997E-2</v>
      </c>
      <c r="Q54" s="36">
        <v>3.7699999999999997E-2</v>
      </c>
      <c r="R54" s="36">
        <v>1.06E-2</v>
      </c>
      <c r="S54" s="36">
        <v>3.4599999999999999E-2</v>
      </c>
      <c r="T54" s="36">
        <v>3.8300000000000001E-2</v>
      </c>
      <c r="U54" s="36">
        <v>3.9100000000000003E-2</v>
      </c>
      <c r="V54" s="36">
        <v>5.3900000000000003E-2</v>
      </c>
      <c r="W54" s="36">
        <v>5.0999999999999997E-2</v>
      </c>
      <c r="X54" s="200">
        <v>4.7199999999999999E-2</v>
      </c>
      <c r="Y54" s="139">
        <v>4.41E-2</v>
      </c>
      <c r="Z54" s="36">
        <v>7.9299999999999995E-2</v>
      </c>
      <c r="AA54" s="36">
        <v>6.5199999999999994E-2</v>
      </c>
      <c r="AB54" s="140">
        <v>0.114</v>
      </c>
      <c r="AC54" s="36">
        <v>5.8599999999999999E-2</v>
      </c>
    </row>
    <row r="55" spans="1:29">
      <c r="A55" s="205" t="s">
        <v>576</v>
      </c>
      <c r="B55" s="35">
        <v>7.85E-2</v>
      </c>
      <c r="C55" s="35">
        <v>3.7999999999999999E-2</v>
      </c>
      <c r="D55" s="35">
        <v>2.6700000000000002E-2</v>
      </c>
      <c r="E55" s="35">
        <v>6.3600000000000004E-2</v>
      </c>
      <c r="F55" s="35">
        <v>3.0499999999999999E-2</v>
      </c>
      <c r="G55" s="35">
        <v>3.8100000000000002E-2</v>
      </c>
      <c r="H55" s="35">
        <v>3.1899999999999998E-2</v>
      </c>
      <c r="I55" s="35">
        <v>3.7199999999999997E-2</v>
      </c>
      <c r="J55" s="35">
        <v>5.6399999999999999E-2</v>
      </c>
      <c r="K55" s="35">
        <v>4.3700000000000003E-2</v>
      </c>
      <c r="L55" s="35">
        <v>4.2900000000000001E-2</v>
      </c>
      <c r="M55" s="35">
        <v>5.8599999999999999E-2</v>
      </c>
      <c r="N55" s="35">
        <v>6.9800000000000001E-2</v>
      </c>
      <c r="O55" s="35">
        <v>0.13900000000000001</v>
      </c>
      <c r="P55" s="35">
        <v>7.0300000000000001E-2</v>
      </c>
      <c r="Q55" s="35">
        <v>3.5299999999999998E-2</v>
      </c>
      <c r="R55" s="35">
        <v>4.6399999999999997E-2</v>
      </c>
      <c r="S55" s="35">
        <v>3.3700000000000001E-2</v>
      </c>
      <c r="T55" s="35">
        <v>6.8199999999999997E-2</v>
      </c>
      <c r="U55" s="35">
        <v>9.6100000000000005E-2</v>
      </c>
      <c r="V55" s="35">
        <v>7.1099999999999997E-2</v>
      </c>
      <c r="W55" s="35">
        <v>0.105</v>
      </c>
      <c r="X55" s="202">
        <v>6.13E-2</v>
      </c>
      <c r="Y55" s="204">
        <v>4.6300000000000001E-2</v>
      </c>
      <c r="Z55" s="35">
        <v>9.2499999999999999E-2</v>
      </c>
      <c r="AA55" s="35">
        <v>3.4299999999999997E-2</v>
      </c>
      <c r="AB55" s="138">
        <v>0.16800000000000001</v>
      </c>
      <c r="AC55" s="35">
        <v>7.85E-2</v>
      </c>
    </row>
    <row r="56" spans="1:29">
      <c r="A56" s="205" t="s">
        <v>597</v>
      </c>
      <c r="B56" s="36">
        <v>5.6300000000000003E-2</v>
      </c>
      <c r="C56" s="36">
        <v>5.3100000000000001E-2</v>
      </c>
      <c r="D56" s="36">
        <v>4.0399999999999998E-2</v>
      </c>
      <c r="E56" s="36">
        <v>0.125</v>
      </c>
      <c r="F56" s="36">
        <v>5.9799999999999999E-2</v>
      </c>
      <c r="G56" s="36">
        <v>0.05</v>
      </c>
      <c r="H56" s="36">
        <v>4.3900000000000002E-2</v>
      </c>
      <c r="I56" s="36">
        <v>4.8500000000000001E-2</v>
      </c>
      <c r="J56" s="36">
        <v>6.0299999999999999E-2</v>
      </c>
      <c r="K56" s="36">
        <v>4.3099999999999999E-2</v>
      </c>
      <c r="L56" s="36">
        <v>4.7E-2</v>
      </c>
      <c r="M56" s="36">
        <v>8.4400000000000003E-2</v>
      </c>
      <c r="N56" s="36">
        <v>5.2699999999999997E-2</v>
      </c>
      <c r="O56" s="36">
        <v>6.5600000000000006E-2</v>
      </c>
      <c r="P56" s="36">
        <v>6.6500000000000004E-2</v>
      </c>
      <c r="Q56" s="36">
        <v>4.1000000000000002E-2</v>
      </c>
      <c r="R56" s="36">
        <v>4.6600000000000003E-2</v>
      </c>
      <c r="S56" s="36">
        <v>3.61E-2</v>
      </c>
      <c r="T56" s="36">
        <v>4.6899999999999997E-2</v>
      </c>
      <c r="U56" s="36">
        <v>6.6699999999999995E-2</v>
      </c>
      <c r="V56" s="36">
        <v>4.7899999999999998E-2</v>
      </c>
      <c r="W56" s="36">
        <v>6.13E-2</v>
      </c>
      <c r="X56" s="200">
        <v>4.6100000000000002E-2</v>
      </c>
      <c r="Y56" s="139">
        <v>4.4699999999999997E-2</v>
      </c>
      <c r="Z56" s="36">
        <v>6.4799999999999996E-2</v>
      </c>
      <c r="AA56" s="36">
        <v>4.4400000000000002E-2</v>
      </c>
      <c r="AB56" s="140">
        <v>5.6399999999999999E-2</v>
      </c>
      <c r="AC56" s="36">
        <v>5.6300000000000003E-2</v>
      </c>
    </row>
    <row r="57" spans="1:29">
      <c r="A57" s="205" t="s">
        <v>610</v>
      </c>
      <c r="B57" s="35">
        <v>5.6800000000000003E-2</v>
      </c>
      <c r="C57" s="35">
        <v>5.3900000000000003E-2</v>
      </c>
      <c r="D57" s="35">
        <v>3.1E-2</v>
      </c>
      <c r="E57" s="35">
        <v>4.1799999999999997E-2</v>
      </c>
      <c r="F57" s="35">
        <v>2.2499999999999999E-2</v>
      </c>
      <c r="G57" s="35">
        <v>6.4600000000000005E-2</v>
      </c>
      <c r="H57" s="35">
        <v>6.54E-2</v>
      </c>
      <c r="I57" s="35">
        <v>6.4299999999999996E-2</v>
      </c>
      <c r="J57" s="35">
        <v>5.2999999999999999E-2</v>
      </c>
      <c r="K57" s="35">
        <v>8.0600000000000005E-2</v>
      </c>
      <c r="L57" s="35">
        <v>5.1499999999999997E-2</v>
      </c>
      <c r="M57" s="35">
        <v>3.7100000000000001E-2</v>
      </c>
      <c r="N57" s="35">
        <v>7.8100000000000003E-2</v>
      </c>
      <c r="O57" s="35">
        <v>2.8000000000000001E-2</v>
      </c>
      <c r="P57" s="35">
        <v>5.1700000000000003E-2</v>
      </c>
      <c r="Q57" s="35">
        <v>9.5899999999999999E-2</v>
      </c>
      <c r="R57" s="35">
        <v>0.13600000000000001</v>
      </c>
      <c r="S57" s="35">
        <v>7.2099999999999997E-2</v>
      </c>
      <c r="T57" s="35">
        <v>7.4899999999999994E-2</v>
      </c>
      <c r="U57" s="35">
        <v>0.111</v>
      </c>
      <c r="V57" s="35">
        <v>9.2799999999999994E-2</v>
      </c>
      <c r="W57" s="35">
        <v>9.3700000000000006E-2</v>
      </c>
      <c r="X57" s="202">
        <v>0.09</v>
      </c>
      <c r="Y57" s="204">
        <v>3.73E-2</v>
      </c>
      <c r="Z57" s="35">
        <v>6.9000000000000006E-2</v>
      </c>
      <c r="AA57" s="35">
        <v>6.5199999999999994E-2</v>
      </c>
      <c r="AB57" s="138">
        <v>0.14699999999999999</v>
      </c>
      <c r="AC57" s="35">
        <v>5.6800000000000003E-2</v>
      </c>
    </row>
    <row r="58" spans="1:29">
      <c r="A58" s="205" t="s">
        <v>623</v>
      </c>
      <c r="B58" s="36">
        <v>4.1200000000000001E-2</v>
      </c>
      <c r="C58" s="36">
        <v>2.5399999999999999E-2</v>
      </c>
      <c r="D58" s="36">
        <v>1.6299999999999999E-2</v>
      </c>
      <c r="E58" s="5"/>
      <c r="F58" s="36">
        <v>1.5800000000000002E-2</v>
      </c>
      <c r="G58" s="36">
        <v>2.3400000000000001E-2</v>
      </c>
      <c r="H58" s="36">
        <v>2.2100000000000002E-2</v>
      </c>
      <c r="I58" s="36">
        <v>1.66E-2</v>
      </c>
      <c r="J58" s="36">
        <v>2.01E-2</v>
      </c>
      <c r="K58" s="5"/>
      <c r="L58" s="5"/>
      <c r="M58" s="5"/>
      <c r="N58" s="5"/>
      <c r="O58" s="5"/>
      <c r="P58" s="36">
        <v>1.5299999999999999E-2</v>
      </c>
      <c r="Q58" s="5"/>
      <c r="R58" s="36">
        <v>1.5299999999999999E-2</v>
      </c>
      <c r="S58" s="36">
        <v>2.98E-2</v>
      </c>
      <c r="T58" s="36">
        <v>2.3699999999999999E-2</v>
      </c>
      <c r="U58" s="36">
        <v>3.7199999999999997E-2</v>
      </c>
      <c r="V58" s="36">
        <v>2.6100000000000002E-2</v>
      </c>
      <c r="W58" s="36">
        <v>2.2700000000000001E-2</v>
      </c>
      <c r="X58" s="200">
        <v>1.9199999999999998E-2</v>
      </c>
      <c r="Y58" s="139">
        <v>2.7900000000000001E-2</v>
      </c>
      <c r="Z58" s="36">
        <v>2.9100000000000001E-2</v>
      </c>
      <c r="AA58" s="36">
        <v>3.1699999999999999E-2</v>
      </c>
      <c r="AB58" s="114"/>
      <c r="AC58" s="36">
        <v>4.1200000000000001E-2</v>
      </c>
    </row>
    <row r="59" spans="1:29">
      <c r="A59" s="205" t="s">
        <v>628</v>
      </c>
      <c r="B59" s="35">
        <v>3.4500000000000003E-2</v>
      </c>
      <c r="C59" s="35">
        <v>2.5399999999999999E-2</v>
      </c>
      <c r="D59" s="35">
        <v>1.7899999999999999E-2</v>
      </c>
      <c r="E59" s="35">
        <v>0.28499999999999998</v>
      </c>
      <c r="F59" s="35">
        <v>4.58E-2</v>
      </c>
      <c r="G59" s="35">
        <v>2.5100000000000001E-2</v>
      </c>
      <c r="H59" s="35">
        <v>2.1100000000000001E-2</v>
      </c>
      <c r="I59" s="35">
        <v>2.7699999999999999E-2</v>
      </c>
      <c r="J59" s="35">
        <v>3.8800000000000001E-2</v>
      </c>
      <c r="K59" s="35">
        <v>2.7400000000000001E-2</v>
      </c>
      <c r="L59" s="35">
        <v>3.09E-2</v>
      </c>
      <c r="M59" s="35">
        <v>5.7200000000000001E-2</v>
      </c>
      <c r="N59" s="35">
        <v>3.1199999999999999E-2</v>
      </c>
      <c r="O59" s="35">
        <v>3.8600000000000002E-2</v>
      </c>
      <c r="P59" s="35">
        <v>4.7300000000000002E-2</v>
      </c>
      <c r="Q59" s="35">
        <v>2.29E-2</v>
      </c>
      <c r="R59" s="35">
        <v>6.2E-2</v>
      </c>
      <c r="S59" s="35">
        <v>2.01E-2</v>
      </c>
      <c r="T59" s="35">
        <v>2.93E-2</v>
      </c>
      <c r="U59" s="35">
        <v>4.4200000000000003E-2</v>
      </c>
      <c r="V59" s="35">
        <v>2.8500000000000001E-2</v>
      </c>
      <c r="W59" s="35">
        <v>4.0800000000000003E-2</v>
      </c>
      <c r="X59" s="202">
        <v>1.9E-2</v>
      </c>
      <c r="Y59" s="204">
        <v>2.3300000000000001E-2</v>
      </c>
      <c r="Z59" s="35">
        <v>5.5599999999999997E-2</v>
      </c>
      <c r="AA59" s="35">
        <v>3.7100000000000001E-2</v>
      </c>
      <c r="AB59" s="138">
        <v>9.6299999999999997E-2</v>
      </c>
      <c r="AC59" s="35">
        <v>3.4500000000000003E-2</v>
      </c>
    </row>
    <row r="60" spans="1:29">
      <c r="A60" s="205" t="s">
        <v>657</v>
      </c>
      <c r="B60" s="36">
        <v>1.0699999999999999E-2</v>
      </c>
      <c r="C60" s="36">
        <v>9.2300000000000004E-3</v>
      </c>
      <c r="D60" s="36">
        <v>6.6400000000000001E-3</v>
      </c>
      <c r="E60" s="36">
        <v>1.6500000000000001E-2</v>
      </c>
      <c r="F60" s="36">
        <v>1.26E-2</v>
      </c>
      <c r="G60" s="36">
        <v>8.3800000000000003E-3</v>
      </c>
      <c r="H60" s="36">
        <v>6.5100000000000002E-3</v>
      </c>
      <c r="I60" s="36">
        <v>1.18E-2</v>
      </c>
      <c r="J60" s="36">
        <v>8.9999999999999993E-3</v>
      </c>
      <c r="K60" s="5"/>
      <c r="L60" s="36">
        <v>5.5199999999999997E-3</v>
      </c>
      <c r="M60" s="36">
        <v>1.0200000000000001E-2</v>
      </c>
      <c r="N60" s="36">
        <v>8.0099999999999998E-3</v>
      </c>
      <c r="O60" s="5"/>
      <c r="P60" s="36">
        <v>1.4999999999999999E-2</v>
      </c>
      <c r="Q60" s="5"/>
      <c r="R60" s="36">
        <v>1.9699999999999999E-2</v>
      </c>
      <c r="S60" s="36">
        <v>6.7400000000000003E-3</v>
      </c>
      <c r="T60" s="36">
        <v>8.3300000000000006E-3</v>
      </c>
      <c r="U60" s="36">
        <v>1.1900000000000001E-2</v>
      </c>
      <c r="V60" s="36">
        <v>6.5199999999999998E-3</v>
      </c>
      <c r="W60" s="36">
        <v>1.3599999999999999E-2</v>
      </c>
      <c r="X60" s="200">
        <v>7.5900000000000004E-3</v>
      </c>
      <c r="Y60" s="139">
        <v>9.2700000000000005E-3</v>
      </c>
      <c r="Z60" s="36">
        <v>1.47E-2</v>
      </c>
      <c r="AA60" s="5"/>
      <c r="AB60" s="140">
        <v>1.52E-2</v>
      </c>
      <c r="AC60" s="36">
        <v>1.0699999999999999E-2</v>
      </c>
    </row>
    <row r="61" spans="1:29">
      <c r="A61" s="205" t="s">
        <v>669</v>
      </c>
      <c r="B61" s="5"/>
      <c r="C61" s="36">
        <v>4.5699999999999998E-2</v>
      </c>
      <c r="D61" s="36">
        <v>4.2200000000000001E-2</v>
      </c>
      <c r="E61" s="5"/>
      <c r="F61" s="5"/>
      <c r="G61" s="36">
        <v>3.4200000000000001E-2</v>
      </c>
      <c r="H61" s="36">
        <v>3.2399999999999998E-2</v>
      </c>
      <c r="I61" s="5"/>
      <c r="J61" s="5"/>
      <c r="K61" s="5"/>
      <c r="L61" s="5"/>
      <c r="M61" s="5"/>
      <c r="N61" s="5"/>
      <c r="O61" s="5"/>
      <c r="P61" s="5"/>
      <c r="Q61" s="5"/>
      <c r="R61" s="5"/>
      <c r="S61" s="5"/>
      <c r="T61" s="5"/>
      <c r="U61" s="5"/>
      <c r="V61" s="5"/>
      <c r="W61" s="5"/>
      <c r="X61" s="201"/>
      <c r="Y61" s="139">
        <v>5.9200000000000003E-2</v>
      </c>
      <c r="Z61" s="36">
        <v>8.2900000000000001E-2</v>
      </c>
      <c r="AA61" s="5"/>
      <c r="AB61" s="114"/>
      <c r="AC61" s="5"/>
    </row>
    <row r="62" spans="1:29">
      <c r="A62" s="205" t="s">
        <v>687</v>
      </c>
      <c r="B62" s="36">
        <v>6.2399999999999999E-3</v>
      </c>
      <c r="C62" s="36">
        <v>1.6299999999999999E-2</v>
      </c>
      <c r="D62" s="36">
        <v>1.06E-2</v>
      </c>
      <c r="E62" s="5"/>
      <c r="F62" s="5"/>
      <c r="G62" s="36">
        <v>1.01E-2</v>
      </c>
      <c r="H62" s="36">
        <v>9.5600000000000008E-3</v>
      </c>
      <c r="I62" s="36">
        <v>4.2100000000000002E-3</v>
      </c>
      <c r="J62" s="36">
        <v>9.7999999999999997E-3</v>
      </c>
      <c r="K62" s="5"/>
      <c r="L62" s="5"/>
      <c r="M62" s="5"/>
      <c r="N62" s="36">
        <v>3.46E-3</v>
      </c>
      <c r="O62" s="5"/>
      <c r="P62" s="5"/>
      <c r="Q62" s="5"/>
      <c r="R62" s="36">
        <v>3.8600000000000001E-3</v>
      </c>
      <c r="S62" s="36">
        <v>2.7000000000000001E-3</v>
      </c>
      <c r="T62" s="36">
        <v>5.6800000000000002E-3</v>
      </c>
      <c r="U62" s="36">
        <v>4.1099999999999999E-3</v>
      </c>
      <c r="V62" s="36">
        <v>2.2399999999999998E-3</v>
      </c>
      <c r="W62" s="36">
        <v>3.0400000000000002E-3</v>
      </c>
      <c r="X62" s="201"/>
      <c r="Y62" s="139">
        <v>1.11E-2</v>
      </c>
      <c r="Z62" s="36">
        <v>7.7499999999999999E-3</v>
      </c>
      <c r="AA62" s="36">
        <v>7.0600000000000003E-3</v>
      </c>
      <c r="AB62" s="114"/>
      <c r="AC62" s="36">
        <v>6.2399999999999999E-3</v>
      </c>
    </row>
    <row r="63" spans="1:29">
      <c r="A63" s="205" t="s">
        <v>705</v>
      </c>
      <c r="B63" s="36">
        <v>8.3699999999999997E-2</v>
      </c>
      <c r="C63" s="36">
        <v>7.1400000000000005E-2</v>
      </c>
      <c r="D63" s="36">
        <v>5.4800000000000001E-2</v>
      </c>
      <c r="E63" s="36">
        <v>7.6200000000000004E-2</v>
      </c>
      <c r="F63" s="36">
        <v>5.21E-2</v>
      </c>
      <c r="G63" s="36">
        <v>8.8499999999999995E-2</v>
      </c>
      <c r="H63" s="36">
        <v>6.6799999999999998E-2</v>
      </c>
      <c r="I63" s="36">
        <v>6.3299999999999995E-2</v>
      </c>
      <c r="J63" s="36">
        <v>4.6699999999999998E-2</v>
      </c>
      <c r="K63" s="36">
        <v>4.9299999999999997E-2</v>
      </c>
      <c r="L63" s="36">
        <v>6.0100000000000001E-2</v>
      </c>
      <c r="M63" s="36">
        <v>3.5099999999999999E-2</v>
      </c>
      <c r="N63" s="36">
        <v>7.3899999999999993E-2</v>
      </c>
      <c r="O63" s="36">
        <v>8.0799999999999997E-2</v>
      </c>
      <c r="P63" s="36">
        <v>7.8100000000000003E-2</v>
      </c>
      <c r="Q63" s="36">
        <v>6.1899999999999997E-2</v>
      </c>
      <c r="R63" s="36">
        <v>2.18E-2</v>
      </c>
      <c r="S63" s="36">
        <v>4.1700000000000001E-2</v>
      </c>
      <c r="T63" s="36">
        <v>0.10100000000000001</v>
      </c>
      <c r="U63" s="36">
        <v>4.1599999999999998E-2</v>
      </c>
      <c r="V63" s="36">
        <v>4.6899999999999997E-2</v>
      </c>
      <c r="W63" s="36">
        <v>6.88E-2</v>
      </c>
      <c r="X63" s="200">
        <v>4.3200000000000002E-2</v>
      </c>
      <c r="Y63" s="139">
        <v>0.11</v>
      </c>
      <c r="Z63" s="36">
        <v>8.7900000000000006E-2</v>
      </c>
      <c r="AA63" s="36">
        <v>8.8900000000000007E-2</v>
      </c>
      <c r="AB63" s="140">
        <v>8.4199999999999997E-2</v>
      </c>
      <c r="AC63" s="36">
        <v>8.3699999999999997E-2</v>
      </c>
    </row>
    <row r="64" spans="1:29">
      <c r="A64" s="205" t="s">
        <v>707</v>
      </c>
      <c r="B64" s="36">
        <v>3.4200000000000001E-2</v>
      </c>
      <c r="C64" s="36">
        <v>5.1900000000000002E-2</v>
      </c>
      <c r="D64" s="36">
        <v>9.11E-2</v>
      </c>
      <c r="E64" s="36">
        <v>0.19900000000000001</v>
      </c>
      <c r="F64" s="36">
        <v>6.7299999999999999E-2</v>
      </c>
      <c r="G64" s="36">
        <v>1.14E-2</v>
      </c>
      <c r="H64" s="36">
        <v>2.9100000000000001E-2</v>
      </c>
      <c r="I64" s="36">
        <v>2.7900000000000001E-2</v>
      </c>
      <c r="J64" s="36">
        <v>2.4E-2</v>
      </c>
      <c r="K64" s="36">
        <v>1.0699999999999999E-2</v>
      </c>
      <c r="L64" s="36">
        <v>2.41E-2</v>
      </c>
      <c r="M64" s="5"/>
      <c r="N64" s="36">
        <v>2.9100000000000001E-2</v>
      </c>
      <c r="O64" s="5"/>
      <c r="P64" s="36">
        <v>3.8899999999999997E-2</v>
      </c>
      <c r="Q64" s="36">
        <v>1.4999999999999999E-2</v>
      </c>
      <c r="R64" s="36">
        <v>1.29E-2</v>
      </c>
      <c r="S64" s="36">
        <v>2.6200000000000001E-2</v>
      </c>
      <c r="T64" s="36">
        <v>2.7099999999999999E-2</v>
      </c>
      <c r="U64" s="36">
        <v>2.47E-2</v>
      </c>
      <c r="V64" s="36">
        <v>3.09E-2</v>
      </c>
      <c r="W64" s="36">
        <v>2.4899999999999999E-2</v>
      </c>
      <c r="X64" s="200">
        <v>3.2300000000000002E-2</v>
      </c>
      <c r="Y64" s="139">
        <v>3.1800000000000002E-2</v>
      </c>
      <c r="Z64" s="36">
        <v>5.1900000000000002E-2</v>
      </c>
      <c r="AA64" s="36">
        <v>4.0599999999999997E-2</v>
      </c>
      <c r="AB64" s="140">
        <v>0.114</v>
      </c>
      <c r="AC64" s="36">
        <v>3.4200000000000001E-2</v>
      </c>
    </row>
    <row r="65" spans="1:29">
      <c r="A65" s="205" t="s">
        <v>710</v>
      </c>
      <c r="B65" s="35">
        <v>2.93E-2</v>
      </c>
      <c r="C65" s="35">
        <v>4.1500000000000002E-2</v>
      </c>
      <c r="D65" s="35">
        <v>5.3900000000000003E-2</v>
      </c>
      <c r="E65" s="35">
        <v>7.5600000000000001E-2</v>
      </c>
      <c r="F65" s="35">
        <v>5.2200000000000003E-2</v>
      </c>
      <c r="G65" s="35">
        <v>2.8500000000000001E-2</v>
      </c>
      <c r="H65" s="35">
        <v>2.63E-2</v>
      </c>
      <c r="I65" s="35">
        <v>2.3599999999999999E-2</v>
      </c>
      <c r="J65" s="35">
        <v>2.4799999999999999E-2</v>
      </c>
      <c r="K65" s="35">
        <v>1.23E-2</v>
      </c>
      <c r="L65" s="35">
        <v>2.07E-2</v>
      </c>
      <c r="M65" s="35">
        <v>9.8200000000000006E-3</v>
      </c>
      <c r="N65" s="35">
        <v>2.8500000000000001E-2</v>
      </c>
      <c r="O65" s="35">
        <v>2.7699999999999999E-2</v>
      </c>
      <c r="P65" s="35">
        <v>3.8300000000000001E-2</v>
      </c>
      <c r="Q65" s="35">
        <v>1.8100000000000002E-2</v>
      </c>
      <c r="R65" s="35">
        <v>1.46E-2</v>
      </c>
      <c r="S65" s="35">
        <v>1.9099999999999999E-2</v>
      </c>
      <c r="T65" s="35">
        <v>2.53E-2</v>
      </c>
      <c r="U65" s="35">
        <v>2.1600000000000001E-2</v>
      </c>
      <c r="V65" s="35">
        <v>2.1899999999999999E-2</v>
      </c>
      <c r="W65" s="35">
        <v>2.2599999999999999E-2</v>
      </c>
      <c r="X65" s="202">
        <v>2.1600000000000001E-2</v>
      </c>
      <c r="Y65" s="204">
        <v>3.9699999999999999E-2</v>
      </c>
      <c r="Z65" s="35">
        <v>4.8899999999999999E-2</v>
      </c>
      <c r="AA65" s="35">
        <v>5.0700000000000002E-2</v>
      </c>
      <c r="AB65" s="138">
        <v>5.62E-2</v>
      </c>
      <c r="AC65" s="35">
        <v>2.93E-2</v>
      </c>
    </row>
    <row r="66" spans="1:29">
      <c r="A66" s="205" t="s">
        <v>717</v>
      </c>
      <c r="B66" s="36">
        <v>7.91</v>
      </c>
      <c r="C66" s="36">
        <v>2.19</v>
      </c>
      <c r="D66" s="36">
        <v>0.159</v>
      </c>
      <c r="E66" s="36">
        <v>4.54</v>
      </c>
      <c r="F66" s="36">
        <v>4.33</v>
      </c>
      <c r="G66" s="36">
        <v>2.3199999999999998</v>
      </c>
      <c r="H66" s="36">
        <v>6.53</v>
      </c>
      <c r="I66" s="36">
        <v>2.25</v>
      </c>
      <c r="J66" s="36">
        <v>7.3099999999999998E-2</v>
      </c>
      <c r="K66" s="36">
        <v>22.1</v>
      </c>
      <c r="L66" s="36">
        <v>9.4700000000000006</v>
      </c>
      <c r="M66" s="36">
        <v>6.31</v>
      </c>
      <c r="N66" s="36">
        <v>10.7</v>
      </c>
      <c r="O66" s="36">
        <v>0.22800000000000001</v>
      </c>
      <c r="P66" s="36">
        <v>8.15</v>
      </c>
      <c r="Q66" s="36">
        <v>18.5</v>
      </c>
      <c r="R66" s="36">
        <v>10.5</v>
      </c>
      <c r="S66" s="36">
        <v>2.72</v>
      </c>
      <c r="T66" s="36">
        <v>10.9</v>
      </c>
      <c r="U66" s="36">
        <v>15</v>
      </c>
      <c r="V66" s="36">
        <v>11.7</v>
      </c>
      <c r="W66" s="36">
        <v>10.9</v>
      </c>
      <c r="X66" s="200">
        <v>13.5</v>
      </c>
      <c r="Y66" s="139">
        <v>15.5</v>
      </c>
      <c r="Z66" s="36">
        <v>10.5</v>
      </c>
      <c r="AA66" s="36">
        <v>9.1999999999999993</v>
      </c>
      <c r="AB66" s="140">
        <v>1.31</v>
      </c>
      <c r="AC66" s="36">
        <v>7.91</v>
      </c>
    </row>
    <row r="67" spans="1:29">
      <c r="A67" s="205" t="s">
        <v>725</v>
      </c>
      <c r="B67" s="36">
        <v>0.13</v>
      </c>
      <c r="C67" s="36">
        <v>7.5499999999999998E-2</v>
      </c>
      <c r="D67" s="36">
        <v>4.0899999999999999E-2</v>
      </c>
      <c r="E67" s="36">
        <v>8.8800000000000004E-2</v>
      </c>
      <c r="F67" s="36">
        <v>7.9500000000000001E-2</v>
      </c>
      <c r="G67" s="36">
        <v>6.7599999999999993E-2</v>
      </c>
      <c r="H67" s="36">
        <v>8.0500000000000002E-2</v>
      </c>
      <c r="I67" s="36">
        <v>6.9199999999999998E-2</v>
      </c>
      <c r="J67" s="36">
        <v>3.9699999999999999E-2</v>
      </c>
      <c r="K67" s="36">
        <v>0.14499999999999999</v>
      </c>
      <c r="L67" s="36">
        <v>0.14699999999999999</v>
      </c>
      <c r="M67" s="36">
        <v>8.4000000000000005E-2</v>
      </c>
      <c r="N67" s="36">
        <v>0.104</v>
      </c>
      <c r="O67" s="36">
        <v>0.157</v>
      </c>
      <c r="P67" s="36">
        <v>7.9600000000000004E-2</v>
      </c>
      <c r="Q67" s="36">
        <v>0.13100000000000001</v>
      </c>
      <c r="R67" s="36">
        <v>0.11700000000000001</v>
      </c>
      <c r="S67" s="36">
        <v>2.8799999999999999E-2</v>
      </c>
      <c r="T67" s="36">
        <v>8.9800000000000005E-2</v>
      </c>
      <c r="U67" s="36">
        <v>7.0199999999999999E-2</v>
      </c>
      <c r="V67" s="36">
        <v>6.9800000000000001E-2</v>
      </c>
      <c r="W67" s="36">
        <v>5.7099999999999998E-2</v>
      </c>
      <c r="X67" s="200">
        <v>9.5699999999999993E-2</v>
      </c>
      <c r="Y67" s="139">
        <v>7.8299999999999995E-2</v>
      </c>
      <c r="Z67" s="36">
        <v>0.122</v>
      </c>
      <c r="AA67" s="36">
        <v>0.1</v>
      </c>
      <c r="AB67" s="140">
        <v>0.29299999999999998</v>
      </c>
      <c r="AC67" s="36">
        <v>0.13</v>
      </c>
    </row>
    <row r="68" spans="1:29">
      <c r="A68" s="215" t="s">
        <v>343</v>
      </c>
      <c r="B68" s="5"/>
      <c r="C68" s="36">
        <v>2.4799999999999999E-2</v>
      </c>
      <c r="D68" s="36">
        <v>3.9199999999999999E-2</v>
      </c>
      <c r="E68" s="36">
        <v>1.6199999999999999E-3</v>
      </c>
      <c r="F68" s="36">
        <v>2.3099999999999999E-2</v>
      </c>
      <c r="G68" s="36">
        <v>4.6600000000000003E-2</v>
      </c>
      <c r="H68" s="36">
        <v>3.1800000000000002E-2</v>
      </c>
      <c r="I68" s="36">
        <v>5.1799999999999999E-2</v>
      </c>
      <c r="J68" s="5"/>
      <c r="K68" s="5"/>
      <c r="L68" s="5"/>
      <c r="M68" s="5"/>
      <c r="N68" s="5"/>
      <c r="O68" s="5"/>
      <c r="P68" s="5"/>
      <c r="Q68" s="5"/>
      <c r="R68" s="36">
        <v>9.2200000000000004E-2</v>
      </c>
      <c r="S68" s="36">
        <v>4.1300000000000003E-2</v>
      </c>
      <c r="T68" s="36">
        <v>3.4299999999999997E-2</v>
      </c>
      <c r="U68" s="5"/>
      <c r="V68" s="5"/>
      <c r="W68" s="5"/>
      <c r="X68" s="200">
        <v>2.93E-2</v>
      </c>
      <c r="Y68" s="113"/>
      <c r="Z68" s="5"/>
      <c r="AA68" s="5"/>
      <c r="AB68" s="114"/>
      <c r="AC68" s="5"/>
    </row>
    <row r="69" spans="1:29">
      <c r="A69" s="215" t="s">
        <v>740</v>
      </c>
      <c r="B69" s="36">
        <v>9.9500000000000005E-2</v>
      </c>
      <c r="C69" s="36">
        <v>2.1399999999999999E-2</v>
      </c>
      <c r="D69" s="36">
        <v>1.37E-2</v>
      </c>
      <c r="E69" s="36">
        <v>0.34599999999999997</v>
      </c>
      <c r="F69" s="36">
        <v>8.4699999999999998E-2</v>
      </c>
      <c r="G69" s="36">
        <v>3.8100000000000002E-2</v>
      </c>
      <c r="H69" s="36">
        <v>3.3099999999999997E-2</v>
      </c>
      <c r="I69" s="36">
        <v>2.9399999999999999E-2</v>
      </c>
      <c r="J69" s="36">
        <v>3.4799999999999998E-2</v>
      </c>
      <c r="K69" s="36">
        <v>0.216</v>
      </c>
      <c r="L69" s="36">
        <v>7.4300000000000005E-2</v>
      </c>
      <c r="M69" s="36">
        <v>6.7599999999999993E-2</v>
      </c>
      <c r="N69" s="36">
        <v>0.14199999999999999</v>
      </c>
      <c r="O69" s="36">
        <v>0.11600000000000001</v>
      </c>
      <c r="P69" s="36">
        <v>7.6499999999999999E-2</v>
      </c>
      <c r="Q69" s="36">
        <v>3.2099999999999997E-2</v>
      </c>
      <c r="R69" s="5"/>
      <c r="S69" s="36">
        <v>0.64600000000000002</v>
      </c>
      <c r="T69" s="36">
        <v>3.0300000000000001E-2</v>
      </c>
      <c r="U69" s="36">
        <v>1.83E-2</v>
      </c>
      <c r="V69" s="36">
        <v>1.7299999999999999E-2</v>
      </c>
      <c r="W69" s="36">
        <v>3.5999999999999997E-2</v>
      </c>
      <c r="X69" s="200">
        <v>3.4099999999999998E-2</v>
      </c>
      <c r="Y69" s="139">
        <v>4.1200000000000001E-2</v>
      </c>
      <c r="Z69" s="36">
        <v>3.6200000000000003E-2</v>
      </c>
      <c r="AA69" s="36">
        <v>6.3200000000000006E-2</v>
      </c>
      <c r="AB69" s="140">
        <v>4.2799999999999998E-2</v>
      </c>
      <c r="AC69" s="36">
        <v>9.9500000000000005E-2</v>
      </c>
    </row>
    <row r="70" spans="1:29">
      <c r="A70" s="215" t="s">
        <v>742</v>
      </c>
      <c r="B70" s="36">
        <v>6.4899999999999999E-2</v>
      </c>
      <c r="C70" s="5"/>
      <c r="D70" s="5"/>
      <c r="E70" s="5"/>
      <c r="F70" s="5"/>
      <c r="G70" s="5"/>
      <c r="H70" s="5"/>
      <c r="I70" s="5"/>
      <c r="J70" s="5"/>
      <c r="K70" s="5"/>
      <c r="L70" s="5"/>
      <c r="M70" s="5"/>
      <c r="N70" s="5"/>
      <c r="O70" s="5"/>
      <c r="P70" s="5"/>
      <c r="Q70" s="5"/>
      <c r="R70" s="5"/>
      <c r="S70" s="5"/>
      <c r="T70" s="5"/>
      <c r="U70" s="5"/>
      <c r="V70" s="5"/>
      <c r="W70" s="5"/>
      <c r="X70" s="201"/>
      <c r="Y70" s="139">
        <v>6.4899999999999999E-2</v>
      </c>
      <c r="Z70" s="36">
        <v>6.4899999999999999E-2</v>
      </c>
      <c r="AA70" s="36">
        <v>6.4899999999999999E-2</v>
      </c>
      <c r="AB70" s="140">
        <v>6.4899999999999999E-2</v>
      </c>
      <c r="AC70" s="36">
        <v>6.4899999999999999E-2</v>
      </c>
    </row>
    <row r="71" spans="1:29">
      <c r="A71" s="215" t="s">
        <v>743</v>
      </c>
      <c r="B71" s="35">
        <v>0.187</v>
      </c>
      <c r="C71" s="35">
        <v>8.9099999999999999E-2</v>
      </c>
      <c r="D71" s="35">
        <v>0.108</v>
      </c>
      <c r="E71" s="35">
        <v>0.27100000000000002</v>
      </c>
      <c r="F71" s="35">
        <v>0.161</v>
      </c>
      <c r="G71" s="35">
        <v>0.155</v>
      </c>
      <c r="H71" s="35">
        <v>0.123</v>
      </c>
      <c r="I71" s="35">
        <v>0.13400000000000001</v>
      </c>
      <c r="J71" s="35">
        <v>0.123</v>
      </c>
      <c r="K71" s="35">
        <v>0.35399999999999998</v>
      </c>
      <c r="L71" s="35">
        <v>0.13300000000000001</v>
      </c>
      <c r="M71" s="35">
        <v>0.14399999999999999</v>
      </c>
      <c r="N71" s="35">
        <v>0.28899999999999998</v>
      </c>
      <c r="O71" s="35">
        <v>0.32400000000000001</v>
      </c>
      <c r="P71" s="35">
        <v>0.14799999999999999</v>
      </c>
      <c r="Q71" s="35">
        <v>0.123</v>
      </c>
      <c r="R71" s="35">
        <v>0.12</v>
      </c>
      <c r="S71" s="35">
        <v>0.504</v>
      </c>
      <c r="T71" s="35">
        <v>0.14599999999999999</v>
      </c>
      <c r="U71" s="35">
        <v>9.5699999999999993E-2</v>
      </c>
      <c r="V71" s="35">
        <v>9.3899999999999997E-2</v>
      </c>
      <c r="W71" s="35">
        <v>0.108</v>
      </c>
      <c r="X71" s="202">
        <v>0.11</v>
      </c>
      <c r="Y71" s="204">
        <v>0.10299999999999999</v>
      </c>
      <c r="Z71" s="35">
        <v>0.115</v>
      </c>
      <c r="AA71" s="35">
        <v>0.22800000000000001</v>
      </c>
      <c r="AB71" s="138">
        <v>0.32500000000000001</v>
      </c>
      <c r="AC71" s="35">
        <v>0.187</v>
      </c>
    </row>
    <row r="72" spans="1:29">
      <c r="A72" s="215" t="s">
        <v>747</v>
      </c>
      <c r="B72" s="35">
        <v>0.57099999999999995</v>
      </c>
      <c r="C72" s="35">
        <v>0.61199999999999999</v>
      </c>
      <c r="D72" s="35">
        <v>0.70899999999999996</v>
      </c>
      <c r="E72" s="35">
        <v>0.41799999999999998</v>
      </c>
      <c r="F72" s="35">
        <v>0.51200000000000001</v>
      </c>
      <c r="G72" s="35">
        <v>1.06</v>
      </c>
      <c r="H72" s="35">
        <v>0.71599999999999997</v>
      </c>
      <c r="I72" s="35">
        <v>0.76200000000000001</v>
      </c>
      <c r="J72" s="35">
        <v>0.54300000000000004</v>
      </c>
      <c r="K72" s="35">
        <v>0.65200000000000002</v>
      </c>
      <c r="L72" s="35">
        <v>0.36699999999999999</v>
      </c>
      <c r="M72" s="35">
        <v>0.33400000000000002</v>
      </c>
      <c r="N72" s="35">
        <v>0.74099999999999999</v>
      </c>
      <c r="O72" s="35">
        <v>0.39200000000000002</v>
      </c>
      <c r="P72" s="35">
        <v>0.40100000000000002</v>
      </c>
      <c r="Q72" s="35">
        <v>0.64100000000000001</v>
      </c>
      <c r="R72" s="35">
        <v>0.22</v>
      </c>
      <c r="S72" s="35">
        <v>0.51800000000000002</v>
      </c>
      <c r="T72" s="35">
        <v>0.78400000000000003</v>
      </c>
      <c r="U72" s="35">
        <v>0.39300000000000002</v>
      </c>
      <c r="V72" s="35">
        <v>0.52100000000000002</v>
      </c>
      <c r="W72" s="35">
        <v>0.67</v>
      </c>
      <c r="X72" s="202">
        <v>0.67400000000000004</v>
      </c>
      <c r="Y72" s="204">
        <v>0.53500000000000003</v>
      </c>
      <c r="Z72" s="35">
        <v>0.432</v>
      </c>
      <c r="AA72" s="35">
        <v>0.65300000000000002</v>
      </c>
      <c r="AB72" s="138">
        <v>1.46</v>
      </c>
      <c r="AC72" s="35">
        <v>0.57099999999999995</v>
      </c>
    </row>
    <row r="73" spans="1:29">
      <c r="A73" s="205" t="s">
        <v>748</v>
      </c>
      <c r="B73" s="36">
        <v>9.8900000000000002E-2</v>
      </c>
      <c r="C73" s="36">
        <v>9.64E-2</v>
      </c>
      <c r="D73" s="36">
        <v>0.11700000000000001</v>
      </c>
      <c r="E73" s="36">
        <v>6.6400000000000001E-2</v>
      </c>
      <c r="F73" s="36">
        <v>9.9400000000000002E-2</v>
      </c>
      <c r="G73" s="36">
        <v>0.158</v>
      </c>
      <c r="H73" s="36">
        <v>0.104</v>
      </c>
      <c r="I73" s="36">
        <v>0.128</v>
      </c>
      <c r="J73" s="36">
        <v>8.6900000000000005E-2</v>
      </c>
      <c r="K73" s="36">
        <v>0.11700000000000001</v>
      </c>
      <c r="L73" s="36">
        <v>5.8700000000000002E-2</v>
      </c>
      <c r="M73" s="36">
        <v>5.6399999999999999E-2</v>
      </c>
      <c r="N73" s="36">
        <v>0.127</v>
      </c>
      <c r="O73" s="36">
        <v>6.3100000000000003E-2</v>
      </c>
      <c r="P73" s="36">
        <v>6.9599999999999995E-2</v>
      </c>
      <c r="Q73" s="36">
        <v>9.8299999999999998E-2</v>
      </c>
      <c r="R73" s="36">
        <v>5.1400000000000001E-2</v>
      </c>
      <c r="S73" s="36">
        <v>8.2799999999999999E-2</v>
      </c>
      <c r="T73" s="36">
        <v>0.121</v>
      </c>
      <c r="U73" s="36">
        <v>6.4000000000000001E-2</v>
      </c>
      <c r="V73" s="36">
        <v>7.1800000000000003E-2</v>
      </c>
      <c r="W73" s="36">
        <v>9.7199999999999995E-2</v>
      </c>
      <c r="X73" s="200">
        <v>8.3599999999999994E-2</v>
      </c>
      <c r="Y73" s="139">
        <v>9.8100000000000007E-2</v>
      </c>
      <c r="Z73" s="36">
        <v>7.6799999999999993E-2</v>
      </c>
      <c r="AA73" s="36">
        <v>0.121</v>
      </c>
      <c r="AB73" s="140">
        <v>0.32500000000000001</v>
      </c>
      <c r="AC73" s="36">
        <v>9.8900000000000002E-2</v>
      </c>
    </row>
    <row r="74" spans="1:29">
      <c r="A74" s="205" t="s">
        <v>749</v>
      </c>
      <c r="B74" s="35">
        <v>6.1899999999999997E-2</v>
      </c>
      <c r="C74" s="35">
        <v>5.9400000000000001E-2</v>
      </c>
      <c r="D74" s="35">
        <v>6.2600000000000003E-2</v>
      </c>
      <c r="E74" s="35">
        <v>5.5399999999999998E-2</v>
      </c>
      <c r="F74" s="35">
        <v>6.8199999999999997E-2</v>
      </c>
      <c r="G74" s="35">
        <v>9.8799999999999999E-2</v>
      </c>
      <c r="H74" s="35">
        <v>7.3400000000000007E-2</v>
      </c>
      <c r="I74" s="35">
        <v>7.0499999999999993E-2</v>
      </c>
      <c r="J74" s="35">
        <v>5.3400000000000003E-2</v>
      </c>
      <c r="K74" s="35">
        <v>4.6699999999999998E-2</v>
      </c>
      <c r="L74" s="35">
        <v>5.57E-2</v>
      </c>
      <c r="M74" s="35">
        <v>3.7199999999999997E-2</v>
      </c>
      <c r="N74" s="35">
        <v>6.9500000000000006E-2</v>
      </c>
      <c r="O74" s="35">
        <v>4.5900000000000003E-2</v>
      </c>
      <c r="P74" s="35">
        <v>4.2700000000000002E-2</v>
      </c>
      <c r="Q74" s="35">
        <v>7.6100000000000001E-2</v>
      </c>
      <c r="R74" s="35">
        <v>2.01E-2</v>
      </c>
      <c r="S74" s="35">
        <v>5.8999999999999997E-2</v>
      </c>
      <c r="T74" s="35">
        <v>6.4199999999999993E-2</v>
      </c>
      <c r="U74" s="35">
        <v>2.9700000000000001E-2</v>
      </c>
      <c r="V74" s="35">
        <v>3.8899999999999997E-2</v>
      </c>
      <c r="W74" s="35">
        <v>5.1799999999999999E-2</v>
      </c>
      <c r="X74" s="202">
        <v>5.11E-2</v>
      </c>
      <c r="Y74" s="204">
        <v>5.91E-2</v>
      </c>
      <c r="Z74" s="35">
        <v>5.0799999999999998E-2</v>
      </c>
      <c r="AA74" s="35">
        <v>6.2E-2</v>
      </c>
      <c r="AB74" s="138">
        <v>0.23300000000000001</v>
      </c>
      <c r="AC74" s="35">
        <v>6.1899999999999997E-2</v>
      </c>
    </row>
    <row r="75" spans="1:29">
      <c r="A75" s="205" t="s">
        <v>754</v>
      </c>
      <c r="B75" s="36">
        <v>0.58499999999999996</v>
      </c>
      <c r="C75" s="36">
        <v>2.8400000000000002E-2</v>
      </c>
      <c r="D75" s="36">
        <v>4.0800000000000003E-2</v>
      </c>
      <c r="E75" s="36">
        <v>0.60599999999999998</v>
      </c>
      <c r="F75" s="36">
        <v>0.68100000000000005</v>
      </c>
      <c r="G75" s="36">
        <v>6.4299999999999996E-2</v>
      </c>
      <c r="H75" s="36">
        <v>5.9299999999999999E-2</v>
      </c>
      <c r="I75" s="36">
        <v>6.7199999999999996E-2</v>
      </c>
      <c r="J75" s="36">
        <v>4.41E-2</v>
      </c>
      <c r="K75" s="36">
        <v>1.18</v>
      </c>
      <c r="L75" s="36">
        <v>0.42299999999999999</v>
      </c>
      <c r="M75" s="36">
        <v>0.67800000000000005</v>
      </c>
      <c r="N75" s="36">
        <v>1.43</v>
      </c>
      <c r="O75" s="36">
        <v>0.52400000000000002</v>
      </c>
      <c r="P75" s="36">
        <v>0.371</v>
      </c>
      <c r="Q75" s="36">
        <v>0.09</v>
      </c>
      <c r="R75" s="36">
        <v>3.0099999999999998E-2</v>
      </c>
      <c r="S75" s="36">
        <v>0.13800000000000001</v>
      </c>
      <c r="T75" s="36">
        <v>0.13500000000000001</v>
      </c>
      <c r="U75" s="36">
        <v>6.2100000000000002E-2</v>
      </c>
      <c r="V75" s="36">
        <v>0.11700000000000001</v>
      </c>
      <c r="W75" s="36">
        <v>0.127</v>
      </c>
      <c r="X75" s="200">
        <v>0.14000000000000001</v>
      </c>
      <c r="Y75" s="139">
        <v>0.434</v>
      </c>
      <c r="Z75" s="36">
        <v>0.34699999999999998</v>
      </c>
      <c r="AA75" s="36">
        <v>0.44400000000000001</v>
      </c>
      <c r="AB75" s="140">
        <v>0.11899999999999999</v>
      </c>
      <c r="AC75" s="36">
        <v>0.58499999999999996</v>
      </c>
    </row>
    <row r="76" spans="1:29">
      <c r="A76" s="205" t="s">
        <v>755</v>
      </c>
      <c r="B76" s="35">
        <v>0.187</v>
      </c>
      <c r="C76" s="35">
        <v>9.5000000000000001E-2</v>
      </c>
      <c r="D76" s="35">
        <v>7.4399999999999994E-2</v>
      </c>
      <c r="E76" s="35">
        <v>0.14299999999999999</v>
      </c>
      <c r="F76" s="35">
        <v>0.24</v>
      </c>
      <c r="G76" s="35">
        <v>0.17899999999999999</v>
      </c>
      <c r="H76" s="35">
        <v>0.17</v>
      </c>
      <c r="I76" s="35">
        <v>0.216</v>
      </c>
      <c r="J76" s="35">
        <v>0.10100000000000001</v>
      </c>
      <c r="K76" s="35">
        <v>0.249</v>
      </c>
      <c r="L76" s="35">
        <v>9.7900000000000001E-2</v>
      </c>
      <c r="M76" s="35">
        <v>0.14399999999999999</v>
      </c>
      <c r="N76" s="35">
        <v>0.34100000000000003</v>
      </c>
      <c r="O76" s="35">
        <v>0.18099999999999999</v>
      </c>
      <c r="P76" s="35">
        <v>0.13500000000000001</v>
      </c>
      <c r="Q76" s="35">
        <v>0.122</v>
      </c>
      <c r="R76" s="35">
        <v>9.8400000000000001E-2</v>
      </c>
      <c r="S76" s="35">
        <v>0.20100000000000001</v>
      </c>
      <c r="T76" s="35">
        <v>0.16300000000000001</v>
      </c>
      <c r="U76" s="35">
        <v>0.13</v>
      </c>
      <c r="V76" s="35">
        <v>9.1499999999999998E-2</v>
      </c>
      <c r="W76" s="35">
        <v>0.13800000000000001</v>
      </c>
      <c r="X76" s="202">
        <v>0.13300000000000001</v>
      </c>
      <c r="Y76" s="204">
        <v>0.16300000000000001</v>
      </c>
      <c r="Z76" s="35">
        <v>0.13400000000000001</v>
      </c>
      <c r="AA76" s="35">
        <v>0.21099999999999999</v>
      </c>
      <c r="AB76" s="138">
        <v>0.20799999999999999</v>
      </c>
      <c r="AC76" s="35">
        <v>0.187</v>
      </c>
    </row>
    <row r="77" spans="1:29">
      <c r="A77" s="205" t="s">
        <v>756</v>
      </c>
      <c r="B77" s="36">
        <v>0.95299999999999996</v>
      </c>
      <c r="C77" s="36">
        <v>0.23</v>
      </c>
      <c r="D77" s="36">
        <v>0.224</v>
      </c>
      <c r="E77" s="36">
        <v>0.78700000000000003</v>
      </c>
      <c r="F77" s="36">
        <v>1.42</v>
      </c>
      <c r="G77" s="36">
        <v>0.51800000000000002</v>
      </c>
      <c r="H77" s="36">
        <v>0.497</v>
      </c>
      <c r="I77" s="36">
        <v>0.61499999999999999</v>
      </c>
      <c r="J77" s="36">
        <v>0.27700000000000002</v>
      </c>
      <c r="K77" s="36">
        <v>2.11</v>
      </c>
      <c r="L77" s="36">
        <v>0.77200000000000002</v>
      </c>
      <c r="M77" s="36">
        <v>1</v>
      </c>
      <c r="N77" s="36">
        <v>2.14</v>
      </c>
      <c r="O77" s="36">
        <v>1.38</v>
      </c>
      <c r="P77" s="36">
        <v>0.98699999999999999</v>
      </c>
      <c r="Q77" s="36">
        <v>0.41299999999999998</v>
      </c>
      <c r="R77" s="36">
        <v>0.26</v>
      </c>
      <c r="S77" s="36">
        <v>0.70299999999999996</v>
      </c>
      <c r="T77" s="36">
        <v>0.64400000000000002</v>
      </c>
      <c r="U77" s="36">
        <v>0.40600000000000003</v>
      </c>
      <c r="V77" s="36">
        <v>0.34399999999999997</v>
      </c>
      <c r="W77" s="36">
        <v>0.54300000000000004</v>
      </c>
      <c r="X77" s="200">
        <v>0.47599999999999998</v>
      </c>
      <c r="Y77" s="139">
        <v>0.70799999999999996</v>
      </c>
      <c r="Z77" s="36">
        <v>0.89400000000000002</v>
      </c>
      <c r="AA77" s="36">
        <v>1.51</v>
      </c>
      <c r="AB77" s="140">
        <v>0.51500000000000001</v>
      </c>
      <c r="AC77" s="36">
        <v>0.95299999999999996</v>
      </c>
    </row>
    <row r="78" spans="1:29">
      <c r="A78" s="215" t="s">
        <v>763</v>
      </c>
      <c r="B78" s="35">
        <v>0.56200000000000006</v>
      </c>
      <c r="C78" s="35">
        <v>0.32800000000000001</v>
      </c>
      <c r="D78" s="35">
        <v>0.374</v>
      </c>
      <c r="E78" s="35">
        <v>0.23699999999999999</v>
      </c>
      <c r="F78" s="35">
        <v>0.31900000000000001</v>
      </c>
      <c r="G78" s="35">
        <v>0.67</v>
      </c>
      <c r="H78" s="35">
        <v>0.67400000000000004</v>
      </c>
      <c r="I78" s="35">
        <v>0.70399999999999996</v>
      </c>
      <c r="J78" s="35">
        <v>0.55300000000000005</v>
      </c>
      <c r="K78" s="35">
        <v>0.66600000000000004</v>
      </c>
      <c r="L78" s="35">
        <v>0.308</v>
      </c>
      <c r="M78" s="35">
        <v>0.376</v>
      </c>
      <c r="N78" s="35">
        <v>0.71899999999999997</v>
      </c>
      <c r="O78" s="35">
        <v>0.32100000000000001</v>
      </c>
      <c r="P78" s="35">
        <v>0.246</v>
      </c>
      <c r="Q78" s="35">
        <v>0.624</v>
      </c>
      <c r="R78" s="35">
        <v>0.27300000000000002</v>
      </c>
      <c r="S78" s="35">
        <v>1.21</v>
      </c>
      <c r="T78" s="35">
        <v>0.92200000000000004</v>
      </c>
      <c r="U78" s="35">
        <v>0.58199999999999996</v>
      </c>
      <c r="V78" s="35">
        <v>0.36899999999999999</v>
      </c>
      <c r="W78" s="35">
        <v>0.53700000000000003</v>
      </c>
      <c r="X78" s="202">
        <v>0.51300000000000001</v>
      </c>
      <c r="Y78" s="204">
        <v>0.31900000000000001</v>
      </c>
      <c r="Z78" s="35">
        <v>0.23400000000000001</v>
      </c>
      <c r="AA78" s="35">
        <v>0.39100000000000001</v>
      </c>
      <c r="AB78" s="138">
        <v>0.96499999999999997</v>
      </c>
      <c r="AC78" s="35">
        <v>0.56200000000000006</v>
      </c>
    </row>
    <row r="79" spans="1:29">
      <c r="A79" s="205" t="s">
        <v>765</v>
      </c>
      <c r="B79" s="35">
        <v>7.8200000000000006E-2</v>
      </c>
      <c r="C79" s="35">
        <v>4.82E-2</v>
      </c>
      <c r="D79" s="35">
        <v>5.8500000000000003E-2</v>
      </c>
      <c r="E79" s="35">
        <v>3.1E-2</v>
      </c>
      <c r="F79" s="35">
        <v>4.8500000000000001E-2</v>
      </c>
      <c r="G79" s="35">
        <v>9.3399999999999997E-2</v>
      </c>
      <c r="H79" s="35">
        <v>9.3200000000000005E-2</v>
      </c>
      <c r="I79" s="35">
        <v>9.64E-2</v>
      </c>
      <c r="J79" s="35">
        <v>7.7499999999999999E-2</v>
      </c>
      <c r="K79" s="35">
        <v>9.6500000000000002E-2</v>
      </c>
      <c r="L79" s="35">
        <v>4.0599999999999997E-2</v>
      </c>
      <c r="M79" s="35">
        <v>4.8500000000000001E-2</v>
      </c>
      <c r="N79" s="35">
        <v>0.10199999999999999</v>
      </c>
      <c r="O79" s="35">
        <v>4.2200000000000001E-2</v>
      </c>
      <c r="P79" s="35">
        <v>3.9199999999999999E-2</v>
      </c>
      <c r="Q79" s="35">
        <v>8.3000000000000004E-2</v>
      </c>
      <c r="R79" s="35">
        <v>3.4500000000000003E-2</v>
      </c>
      <c r="S79" s="35">
        <v>0.13500000000000001</v>
      </c>
      <c r="T79" s="35">
        <v>0.109</v>
      </c>
      <c r="U79" s="35">
        <v>9.2700000000000005E-2</v>
      </c>
      <c r="V79" s="35">
        <v>5.91E-2</v>
      </c>
      <c r="W79" s="35">
        <v>8.3900000000000002E-2</v>
      </c>
      <c r="X79" s="202">
        <v>7.4200000000000002E-2</v>
      </c>
      <c r="Y79" s="204">
        <v>4.87E-2</v>
      </c>
      <c r="Z79" s="35">
        <v>3.4799999999999998E-2</v>
      </c>
      <c r="AA79" s="35">
        <v>5.67E-2</v>
      </c>
      <c r="AB79" s="138">
        <v>0.126</v>
      </c>
      <c r="AC79" s="35">
        <v>7.8200000000000006E-2</v>
      </c>
    </row>
    <row r="80" spans="1:29">
      <c r="A80" s="215" t="s">
        <v>767</v>
      </c>
      <c r="B80" s="35">
        <v>0.22900000000000001</v>
      </c>
      <c r="C80" s="35">
        <v>0.14399999999999999</v>
      </c>
      <c r="D80" s="35">
        <v>0.13900000000000001</v>
      </c>
      <c r="E80" s="35">
        <v>0.184</v>
      </c>
      <c r="F80" s="35">
        <v>0.13600000000000001</v>
      </c>
      <c r="G80" s="35">
        <v>0.248</v>
      </c>
      <c r="H80" s="35">
        <v>0.25</v>
      </c>
      <c r="I80" s="35">
        <v>0.23699999999999999</v>
      </c>
      <c r="J80" s="35">
        <v>0.20399999999999999</v>
      </c>
      <c r="K80" s="35">
        <v>0.2</v>
      </c>
      <c r="L80" s="35">
        <v>0.127</v>
      </c>
      <c r="M80" s="35">
        <v>0.11899999999999999</v>
      </c>
      <c r="N80" s="35">
        <v>0.2</v>
      </c>
      <c r="O80" s="35">
        <v>0.16</v>
      </c>
      <c r="P80" s="35">
        <v>9.4100000000000003E-2</v>
      </c>
      <c r="Q80" s="35">
        <v>0.214</v>
      </c>
      <c r="R80" s="35">
        <v>0.155</v>
      </c>
      <c r="S80" s="35">
        <v>0.35299999999999998</v>
      </c>
      <c r="T80" s="35">
        <v>0.27400000000000002</v>
      </c>
      <c r="U80" s="35">
        <v>0.21199999999999999</v>
      </c>
      <c r="V80" s="35">
        <v>0.14399999999999999</v>
      </c>
      <c r="W80" s="35">
        <v>0.19500000000000001</v>
      </c>
      <c r="X80" s="202">
        <v>0.19400000000000001</v>
      </c>
      <c r="Y80" s="204">
        <v>0.11899999999999999</v>
      </c>
      <c r="Z80" s="35">
        <v>0.108</v>
      </c>
      <c r="AA80" s="35">
        <v>0.156</v>
      </c>
      <c r="AB80" s="142"/>
      <c r="AC80" s="35">
        <v>0.22900000000000001</v>
      </c>
    </row>
    <row r="81" spans="1:29">
      <c r="A81" s="215" t="s">
        <v>768</v>
      </c>
      <c r="B81" s="36">
        <v>1.9900000000000001E-2</v>
      </c>
      <c r="C81" s="36">
        <v>1.38E-2</v>
      </c>
      <c r="D81" s="36">
        <v>1.6899999999999998E-2</v>
      </c>
      <c r="E81" s="36">
        <v>1.49E-2</v>
      </c>
      <c r="F81" s="36">
        <v>2.2800000000000001E-2</v>
      </c>
      <c r="G81" s="36">
        <v>1.7100000000000001E-2</v>
      </c>
      <c r="H81" s="36">
        <v>9.4000000000000004E-3</v>
      </c>
      <c r="I81" s="36">
        <v>7.7000000000000002E-3</v>
      </c>
      <c r="J81" s="36">
        <v>1.47E-2</v>
      </c>
      <c r="K81" s="36">
        <v>3.7600000000000001E-2</v>
      </c>
      <c r="L81" s="36">
        <v>8.77E-3</v>
      </c>
      <c r="M81" s="36">
        <v>1.0800000000000001E-2</v>
      </c>
      <c r="N81" s="36">
        <v>2.0299999999999999E-2</v>
      </c>
      <c r="O81" s="36">
        <v>2.0500000000000001E-2</v>
      </c>
      <c r="P81" s="36">
        <v>1.34E-2</v>
      </c>
      <c r="Q81" s="36">
        <v>2.1700000000000001E-2</v>
      </c>
      <c r="R81" s="36">
        <v>2.0799999999999999E-2</v>
      </c>
      <c r="S81" s="36">
        <v>3.0099999999999998E-2</v>
      </c>
      <c r="T81" s="36">
        <v>1.7600000000000001E-2</v>
      </c>
      <c r="U81" s="36">
        <v>2.5899999999999999E-2</v>
      </c>
      <c r="V81" s="36">
        <v>1.0699999999999999E-2</v>
      </c>
      <c r="W81" s="36">
        <v>1.4200000000000001E-2</v>
      </c>
      <c r="X81" s="201"/>
      <c r="Y81" s="139">
        <v>1.24E-2</v>
      </c>
      <c r="Z81" s="36">
        <v>9.2700000000000005E-3</v>
      </c>
      <c r="AA81" s="36">
        <v>1.34E-2</v>
      </c>
      <c r="AB81" s="140">
        <v>1.5599999999999999E-2</v>
      </c>
      <c r="AC81" s="36">
        <v>1.9900000000000001E-2</v>
      </c>
    </row>
    <row r="82" spans="1:29">
      <c r="A82" s="205" t="s">
        <v>771</v>
      </c>
      <c r="B82" s="35">
        <v>0.107</v>
      </c>
      <c r="C82" s="35">
        <v>5.0999999999999997E-2</v>
      </c>
      <c r="D82" s="35">
        <v>4.5999999999999999E-2</v>
      </c>
      <c r="E82" s="35">
        <v>2.07E-2</v>
      </c>
      <c r="F82" s="35">
        <v>2.5999999999999999E-2</v>
      </c>
      <c r="G82" s="35">
        <v>0.13300000000000001</v>
      </c>
      <c r="H82" s="35">
        <v>0.159</v>
      </c>
      <c r="I82" s="35">
        <v>0.17899999999999999</v>
      </c>
      <c r="J82" s="35">
        <v>0.127</v>
      </c>
      <c r="K82" s="35">
        <v>0.114</v>
      </c>
      <c r="L82" s="35">
        <v>3.6900000000000002E-2</v>
      </c>
      <c r="M82" s="35">
        <v>5.1299999999999998E-2</v>
      </c>
      <c r="N82" s="35">
        <v>0.127</v>
      </c>
      <c r="O82" s="35">
        <v>4.5699999999999998E-2</v>
      </c>
      <c r="P82" s="35">
        <v>2.23E-2</v>
      </c>
      <c r="Q82" s="35">
        <v>0.13200000000000001</v>
      </c>
      <c r="R82" s="35">
        <v>7.46E-2</v>
      </c>
      <c r="S82" s="35">
        <v>0.21099999999999999</v>
      </c>
      <c r="T82" s="35">
        <v>0.156</v>
      </c>
      <c r="U82" s="35">
        <v>0.19</v>
      </c>
      <c r="V82" s="35">
        <v>0.11</v>
      </c>
      <c r="W82" s="35">
        <v>0.14899999999999999</v>
      </c>
      <c r="X82" s="202">
        <v>0.14499999999999999</v>
      </c>
      <c r="Y82" s="204">
        <v>3.4000000000000002E-2</v>
      </c>
      <c r="Z82" s="35">
        <v>3.1399999999999997E-2</v>
      </c>
      <c r="AA82" s="35">
        <v>3.5099999999999999E-2</v>
      </c>
      <c r="AB82" s="138">
        <v>6.8000000000000005E-2</v>
      </c>
      <c r="AC82" s="35">
        <v>0.107</v>
      </c>
    </row>
    <row r="83" spans="1:29">
      <c r="A83" s="205" t="s">
        <v>772</v>
      </c>
      <c r="B83" s="36">
        <v>0.25900000000000001</v>
      </c>
      <c r="C83" s="36">
        <v>0.14000000000000001</v>
      </c>
      <c r="D83" s="36">
        <v>7.0199999999999999E-2</v>
      </c>
      <c r="E83" s="36">
        <v>4.0300000000000002E-2</v>
      </c>
      <c r="F83" s="36">
        <v>0.104</v>
      </c>
      <c r="G83" s="36">
        <v>0.32</v>
      </c>
      <c r="H83" s="36">
        <v>0.40200000000000002</v>
      </c>
      <c r="I83" s="36">
        <v>0.46600000000000003</v>
      </c>
      <c r="J83" s="36">
        <v>0.29399999999999998</v>
      </c>
      <c r="K83" s="36">
        <v>0.309</v>
      </c>
      <c r="L83" s="36">
        <v>9.5699999999999993E-2</v>
      </c>
      <c r="M83" s="36">
        <v>0.157</v>
      </c>
      <c r="N83" s="36">
        <v>0.32100000000000001</v>
      </c>
      <c r="O83" s="36">
        <v>0.11799999999999999</v>
      </c>
      <c r="P83" s="36">
        <v>7.4099999999999999E-2</v>
      </c>
      <c r="Q83" s="36">
        <v>0.316</v>
      </c>
      <c r="R83" s="36">
        <v>0.35399999999999998</v>
      </c>
      <c r="S83" s="36">
        <v>0.504</v>
      </c>
      <c r="T83" s="36">
        <v>0.4</v>
      </c>
      <c r="U83" s="36">
        <v>0.61499999999999999</v>
      </c>
      <c r="V83" s="36">
        <v>0.32100000000000001</v>
      </c>
      <c r="W83" s="36">
        <v>0.40799999999999997</v>
      </c>
      <c r="X83" s="200">
        <v>0.44500000000000001</v>
      </c>
      <c r="Y83" s="139">
        <v>0.104</v>
      </c>
      <c r="Z83" s="36">
        <v>6.8199999999999997E-2</v>
      </c>
      <c r="AA83" s="36">
        <v>0.108</v>
      </c>
      <c r="AB83" s="140">
        <v>0.14000000000000001</v>
      </c>
      <c r="AC83" s="36">
        <v>0.25900000000000001</v>
      </c>
    </row>
    <row r="84" spans="1:29">
      <c r="A84" s="205" t="s">
        <v>773</v>
      </c>
      <c r="B84" s="35">
        <v>0.63600000000000001</v>
      </c>
      <c r="C84" s="35">
        <v>0.3</v>
      </c>
      <c r="D84" s="35">
        <v>0.17499999999999999</v>
      </c>
      <c r="E84" s="35">
        <v>0.113</v>
      </c>
      <c r="F84" s="35">
        <v>0.247</v>
      </c>
      <c r="G84" s="35">
        <v>0.748</v>
      </c>
      <c r="H84" s="35">
        <v>0.98299999999999998</v>
      </c>
      <c r="I84" s="35">
        <v>1.19</v>
      </c>
      <c r="J84" s="35">
        <v>0.68300000000000005</v>
      </c>
      <c r="K84" s="35">
        <v>0.69199999999999995</v>
      </c>
      <c r="L84" s="35">
        <v>0.214</v>
      </c>
      <c r="M84" s="35">
        <v>0.35699999999999998</v>
      </c>
      <c r="N84" s="35">
        <v>0.86</v>
      </c>
      <c r="O84" s="35">
        <v>0.32700000000000001</v>
      </c>
      <c r="P84" s="35">
        <v>0.129</v>
      </c>
      <c r="Q84" s="35">
        <v>0.872</v>
      </c>
      <c r="R84" s="35">
        <v>0.69799999999999995</v>
      </c>
      <c r="S84" s="35">
        <v>1.28</v>
      </c>
      <c r="T84" s="35">
        <v>1.0900000000000001</v>
      </c>
      <c r="U84" s="35">
        <v>1.81</v>
      </c>
      <c r="V84" s="35">
        <v>0.85199999999999998</v>
      </c>
      <c r="W84" s="35">
        <v>1.18</v>
      </c>
      <c r="X84" s="202">
        <v>1.17</v>
      </c>
      <c r="Y84" s="204">
        <v>0.22800000000000001</v>
      </c>
      <c r="Z84" s="35">
        <v>0.16500000000000001</v>
      </c>
      <c r="AA84" s="35">
        <v>0.20799999999999999</v>
      </c>
      <c r="AB84" s="138">
        <v>0.30499999999999999</v>
      </c>
      <c r="AC84" s="35">
        <v>0.63600000000000001</v>
      </c>
    </row>
    <row r="85" spans="1:29">
      <c r="A85" s="215" t="s">
        <v>775</v>
      </c>
      <c r="B85" s="35">
        <v>1.23</v>
      </c>
      <c r="C85" s="35">
        <v>0.60199999999999998</v>
      </c>
      <c r="D85" s="35">
        <v>0.39200000000000002</v>
      </c>
      <c r="E85" s="35">
        <v>0.2</v>
      </c>
      <c r="F85" s="35">
        <v>0.224</v>
      </c>
      <c r="G85" s="35">
        <v>1.56</v>
      </c>
      <c r="H85" s="35">
        <v>1.92</v>
      </c>
      <c r="I85" s="35">
        <v>1.68</v>
      </c>
      <c r="J85" s="35">
        <v>1.82</v>
      </c>
      <c r="K85" s="35">
        <v>1.55</v>
      </c>
      <c r="L85" s="35">
        <v>0.48399999999999999</v>
      </c>
      <c r="M85" s="35">
        <v>0.80700000000000005</v>
      </c>
      <c r="N85" s="35">
        <v>1.63</v>
      </c>
      <c r="O85" s="35">
        <v>0.374</v>
      </c>
      <c r="P85" s="35">
        <v>0.29199999999999998</v>
      </c>
      <c r="Q85" s="35">
        <v>1.73</v>
      </c>
      <c r="R85" s="35">
        <v>0.78100000000000003</v>
      </c>
      <c r="S85" s="35">
        <v>2.48</v>
      </c>
      <c r="T85" s="35">
        <v>1.76</v>
      </c>
      <c r="U85" s="35">
        <v>2.36</v>
      </c>
      <c r="V85" s="35">
        <v>1.25</v>
      </c>
      <c r="W85" s="35">
        <v>1.4</v>
      </c>
      <c r="X85" s="202">
        <v>1.67</v>
      </c>
      <c r="Y85" s="204">
        <v>0.33200000000000002</v>
      </c>
      <c r="Z85" s="35">
        <v>0.27800000000000002</v>
      </c>
      <c r="AA85" s="35">
        <v>0.312</v>
      </c>
      <c r="AB85" s="138">
        <v>0.82799999999999996</v>
      </c>
      <c r="AC85" s="35">
        <v>1.23</v>
      </c>
    </row>
    <row r="86" spans="1:29">
      <c r="A86" s="205" t="s">
        <v>776</v>
      </c>
      <c r="B86" s="36">
        <v>0.19800000000000001</v>
      </c>
      <c r="C86" s="36">
        <v>9.7100000000000006E-2</v>
      </c>
      <c r="D86" s="36">
        <v>6.3100000000000003E-2</v>
      </c>
      <c r="E86" s="36">
        <v>2.9499999999999998E-2</v>
      </c>
      <c r="F86" s="36">
        <v>3.9699999999999999E-2</v>
      </c>
      <c r="G86" s="36">
        <v>0.24199999999999999</v>
      </c>
      <c r="H86" s="36">
        <v>0.30199999999999999</v>
      </c>
      <c r="I86" s="36">
        <v>0.26400000000000001</v>
      </c>
      <c r="J86" s="36">
        <v>0.28799999999999998</v>
      </c>
      <c r="K86" s="36">
        <v>0.247</v>
      </c>
      <c r="L86" s="36">
        <v>7.4899999999999994E-2</v>
      </c>
      <c r="M86" s="36">
        <v>0.125</v>
      </c>
      <c r="N86" s="36">
        <v>0.25600000000000001</v>
      </c>
      <c r="O86" s="36">
        <v>6.4000000000000001E-2</v>
      </c>
      <c r="P86" s="36">
        <v>5.2200000000000003E-2</v>
      </c>
      <c r="Q86" s="36">
        <v>0.26800000000000002</v>
      </c>
      <c r="R86" s="36">
        <v>0.14000000000000001</v>
      </c>
      <c r="S86" s="36">
        <v>0.47299999999999998</v>
      </c>
      <c r="T86" s="36">
        <v>0.31</v>
      </c>
      <c r="U86" s="36">
        <v>0.40400000000000003</v>
      </c>
      <c r="V86" s="36">
        <v>0.185</v>
      </c>
      <c r="W86" s="36">
        <v>0.24199999999999999</v>
      </c>
      <c r="X86" s="200">
        <v>0.253</v>
      </c>
      <c r="Y86" s="139">
        <v>5.3400000000000003E-2</v>
      </c>
      <c r="Z86" s="36">
        <v>4.48E-2</v>
      </c>
      <c r="AA86" s="36">
        <v>4.9399999999999999E-2</v>
      </c>
      <c r="AB86" s="140">
        <v>0.13500000000000001</v>
      </c>
      <c r="AC86" s="36">
        <v>0.19800000000000001</v>
      </c>
    </row>
    <row r="87" spans="1:29">
      <c r="A87" s="215" t="s">
        <v>777</v>
      </c>
      <c r="B87" s="35">
        <v>0.627</v>
      </c>
      <c r="C87" s="35">
        <v>0.29199999999999998</v>
      </c>
      <c r="D87" s="35">
        <v>0.158</v>
      </c>
      <c r="E87" s="35">
        <v>9.6199999999999994E-2</v>
      </c>
      <c r="F87" s="35">
        <v>8.9200000000000002E-2</v>
      </c>
      <c r="G87" s="35">
        <v>0.68</v>
      </c>
      <c r="H87" s="35">
        <v>0.81399999999999995</v>
      </c>
      <c r="I87" s="35">
        <v>0.64700000000000002</v>
      </c>
      <c r="J87" s="35">
        <v>0.74399999999999999</v>
      </c>
      <c r="K87" s="35">
        <v>0.61</v>
      </c>
      <c r="L87" s="35">
        <v>0.24</v>
      </c>
      <c r="M87" s="35">
        <v>0.317</v>
      </c>
      <c r="N87" s="35">
        <v>0.53700000000000003</v>
      </c>
      <c r="O87" s="35">
        <v>0.16500000000000001</v>
      </c>
      <c r="P87" s="35">
        <v>0.13100000000000001</v>
      </c>
      <c r="Q87" s="35">
        <v>0.73599999999999999</v>
      </c>
      <c r="R87" s="35">
        <v>0.48299999999999998</v>
      </c>
      <c r="S87" s="35">
        <v>1.2</v>
      </c>
      <c r="T87" s="35">
        <v>1.1000000000000001</v>
      </c>
      <c r="U87" s="35">
        <v>0.82199999999999995</v>
      </c>
      <c r="V87" s="35">
        <v>0.495</v>
      </c>
      <c r="W87" s="35">
        <v>0.59599999999999997</v>
      </c>
      <c r="X87" s="202">
        <v>0.67600000000000005</v>
      </c>
      <c r="Y87" s="204">
        <v>0.14499999999999999</v>
      </c>
      <c r="Z87" s="35">
        <v>0.14899999999999999</v>
      </c>
      <c r="AA87" s="35">
        <v>0.14699999999999999</v>
      </c>
      <c r="AB87" s="138">
        <v>0.83099999999999996</v>
      </c>
      <c r="AC87" s="35">
        <v>0.627</v>
      </c>
    </row>
    <row r="88" spans="1:29">
      <c r="A88" s="205" t="s">
        <v>778</v>
      </c>
      <c r="B88" s="36">
        <v>1.52E-2</v>
      </c>
      <c r="C88" s="36">
        <v>1.04E-2</v>
      </c>
      <c r="D88" s="5"/>
      <c r="E88" s="36">
        <v>7.3400000000000002E-3</v>
      </c>
      <c r="F88" s="36">
        <v>4.2900000000000004E-3</v>
      </c>
      <c r="G88" s="36">
        <v>2.5000000000000001E-2</v>
      </c>
      <c r="H88" s="36">
        <v>2.23E-2</v>
      </c>
      <c r="I88" s="36">
        <v>2.87E-2</v>
      </c>
      <c r="J88" s="36">
        <v>2.7199999999999998E-2</v>
      </c>
      <c r="K88" s="36">
        <v>4.7499999999999999E-3</v>
      </c>
      <c r="L88" s="36">
        <v>1.82E-3</v>
      </c>
      <c r="M88" s="36">
        <v>3.15E-3</v>
      </c>
      <c r="N88" s="36">
        <v>8.5299999999999994E-3</v>
      </c>
      <c r="O88" s="36">
        <v>6.8999999999999999E-3</v>
      </c>
      <c r="P88" s="36">
        <v>2.0400000000000001E-3</v>
      </c>
      <c r="Q88" s="36">
        <v>3.4299999999999997E-2</v>
      </c>
      <c r="R88" s="36">
        <v>4.1200000000000001E-2</v>
      </c>
      <c r="S88" s="36">
        <v>5.3100000000000001E-2</v>
      </c>
      <c r="T88" s="36">
        <v>3.4200000000000001E-2</v>
      </c>
      <c r="U88" s="36">
        <v>2.41E-2</v>
      </c>
      <c r="V88" s="36">
        <v>1.9900000000000001E-2</v>
      </c>
      <c r="W88" s="36">
        <v>2.98E-2</v>
      </c>
      <c r="X88" s="200">
        <v>2.3300000000000001E-2</v>
      </c>
      <c r="Y88" s="139">
        <v>9.1500000000000001E-3</v>
      </c>
      <c r="Z88" s="36">
        <v>2.0400000000000001E-3</v>
      </c>
      <c r="AA88" s="36">
        <v>3.1800000000000001E-3</v>
      </c>
      <c r="AB88" s="140">
        <v>3.73E-2</v>
      </c>
      <c r="AC88" s="36">
        <v>1.52E-2</v>
      </c>
    </row>
    <row r="89" spans="1:29">
      <c r="A89" s="205" t="s">
        <v>779</v>
      </c>
      <c r="B89" s="35">
        <v>0.94199999999999995</v>
      </c>
      <c r="C89" s="35">
        <v>0.753</v>
      </c>
      <c r="D89" s="35">
        <v>1.15E-2</v>
      </c>
      <c r="E89" s="35">
        <v>1.9900000000000001E-2</v>
      </c>
      <c r="F89" s="35">
        <v>6.2799999999999995E-2</v>
      </c>
      <c r="G89" s="35">
        <v>2.13</v>
      </c>
      <c r="H89" s="35">
        <v>2.15</v>
      </c>
      <c r="I89" s="35">
        <v>2.46</v>
      </c>
      <c r="J89" s="35">
        <v>1.6</v>
      </c>
      <c r="K89" s="35">
        <v>9.6199999999999994E-2</v>
      </c>
      <c r="L89" s="35">
        <v>3.27E-2</v>
      </c>
      <c r="M89" s="35">
        <v>5.0900000000000001E-2</v>
      </c>
      <c r="N89" s="35">
        <v>0.30399999999999999</v>
      </c>
      <c r="O89" s="35">
        <v>8.2000000000000003E-2</v>
      </c>
      <c r="P89" s="35">
        <v>3.7199999999999997E-2</v>
      </c>
      <c r="Q89" s="35">
        <v>2.5499999999999998</v>
      </c>
      <c r="R89" s="35">
        <v>2.62</v>
      </c>
      <c r="S89" s="35">
        <v>2.14</v>
      </c>
      <c r="T89" s="35">
        <v>1.88</v>
      </c>
      <c r="U89" s="35">
        <v>1.66</v>
      </c>
      <c r="V89" s="35">
        <v>1.44</v>
      </c>
      <c r="W89" s="35">
        <v>2.27</v>
      </c>
      <c r="X89" s="202">
        <v>1.92</v>
      </c>
      <c r="Y89" s="204">
        <v>0.30599999999999999</v>
      </c>
      <c r="Z89" s="35">
        <v>0.185</v>
      </c>
      <c r="AA89" s="35">
        <v>0.309</v>
      </c>
      <c r="AB89" s="138">
        <v>2.5</v>
      </c>
      <c r="AC89" s="35">
        <v>0.94199999999999995</v>
      </c>
    </row>
    <row r="90" spans="1:29">
      <c r="A90" s="205" t="s">
        <v>780</v>
      </c>
      <c r="B90" s="36">
        <v>6.9199999999999998E-2</v>
      </c>
      <c r="C90" s="36">
        <v>2.4899999999999999E-2</v>
      </c>
      <c r="D90" s="36">
        <v>5.3299999999999997E-3</v>
      </c>
      <c r="E90" s="36">
        <v>1.3299999999999999E-2</v>
      </c>
      <c r="F90" s="36">
        <v>1.52E-2</v>
      </c>
      <c r="G90" s="36">
        <v>0.105</v>
      </c>
      <c r="H90" s="36">
        <v>9.6100000000000005E-2</v>
      </c>
      <c r="I90" s="36">
        <v>0.13900000000000001</v>
      </c>
      <c r="J90" s="36">
        <v>9.2200000000000004E-2</v>
      </c>
      <c r="K90" s="36">
        <v>4.1099999999999998E-2</v>
      </c>
      <c r="L90" s="36">
        <v>9.7800000000000005E-3</v>
      </c>
      <c r="M90" s="36">
        <v>1.7100000000000001E-2</v>
      </c>
      <c r="N90" s="36">
        <v>7.6300000000000007E-2</v>
      </c>
      <c r="O90" s="36">
        <v>2.47E-2</v>
      </c>
      <c r="P90" s="36">
        <v>8.2199999999999999E-3</v>
      </c>
      <c r="Q90" s="36">
        <v>0.17499999999999999</v>
      </c>
      <c r="R90" s="36">
        <v>8.2600000000000007E-2</v>
      </c>
      <c r="S90" s="36">
        <v>0.191</v>
      </c>
      <c r="T90" s="36">
        <v>0.14199999999999999</v>
      </c>
      <c r="U90" s="36">
        <v>0.14299999999999999</v>
      </c>
      <c r="V90" s="36">
        <v>8.7999999999999995E-2</v>
      </c>
      <c r="W90" s="36">
        <v>0.156</v>
      </c>
      <c r="X90" s="200">
        <v>0.124</v>
      </c>
      <c r="Y90" s="139">
        <v>3.7100000000000001E-2</v>
      </c>
      <c r="Z90" s="36">
        <v>1.15E-2</v>
      </c>
      <c r="AA90" s="36">
        <v>1.6199999999999999E-2</v>
      </c>
      <c r="AB90" s="140">
        <v>8.5800000000000001E-2</v>
      </c>
      <c r="AC90" s="36">
        <v>6.9199999999999998E-2</v>
      </c>
    </row>
    <row r="91" spans="1:29">
      <c r="A91" s="215" t="s">
        <v>781</v>
      </c>
      <c r="B91" s="35">
        <v>1.2699999999999999E-2</v>
      </c>
      <c r="C91" s="35">
        <v>5.2399999999999999E-3</v>
      </c>
      <c r="D91" s="3"/>
      <c r="E91" s="3"/>
      <c r="F91" s="3"/>
      <c r="G91" s="35">
        <v>1.0200000000000001E-2</v>
      </c>
      <c r="H91" s="35">
        <v>6.6600000000000001E-3</v>
      </c>
      <c r="I91" s="35">
        <v>9.2999999999999992E-3</v>
      </c>
      <c r="J91" s="35">
        <v>6.94E-3</v>
      </c>
      <c r="K91" s="3"/>
      <c r="L91" s="3"/>
      <c r="M91" s="3"/>
      <c r="N91" s="35">
        <v>6.3E-3</v>
      </c>
      <c r="O91" s="3"/>
      <c r="P91" s="3"/>
      <c r="Q91" s="35">
        <v>2.0299999999999999E-2</v>
      </c>
      <c r="R91" s="35">
        <v>1.09E-2</v>
      </c>
      <c r="S91" s="35">
        <v>2.2100000000000002E-2</v>
      </c>
      <c r="T91" s="35">
        <v>2.1000000000000001E-2</v>
      </c>
      <c r="U91" s="35">
        <v>1.2200000000000001E-2</v>
      </c>
      <c r="V91" s="35">
        <v>1.2200000000000001E-2</v>
      </c>
      <c r="W91" s="35">
        <v>1.5299999999999999E-2</v>
      </c>
      <c r="X91" s="202">
        <v>1.44E-2</v>
      </c>
      <c r="Y91" s="141"/>
      <c r="Z91" s="3"/>
      <c r="AA91" s="3"/>
      <c r="AB91" s="142"/>
      <c r="AC91" s="35">
        <v>1.2699999999999999E-2</v>
      </c>
    </row>
    <row r="92" spans="1:29">
      <c r="A92" s="215" t="s">
        <v>785</v>
      </c>
      <c r="B92" s="35">
        <v>0.72</v>
      </c>
      <c r="C92" s="35">
        <v>0.51800000000000002</v>
      </c>
      <c r="D92" s="35">
        <v>0.51200000000000001</v>
      </c>
      <c r="E92" s="35">
        <v>0.68400000000000005</v>
      </c>
      <c r="F92" s="35">
        <v>0.36599999999999999</v>
      </c>
      <c r="G92" s="35">
        <v>0.94099999999999995</v>
      </c>
      <c r="H92" s="35">
        <v>0.82399999999999995</v>
      </c>
      <c r="I92" s="35">
        <v>0.92800000000000005</v>
      </c>
      <c r="J92" s="35">
        <v>0.79100000000000004</v>
      </c>
      <c r="K92" s="35">
        <v>0.61199999999999999</v>
      </c>
      <c r="L92" s="35">
        <v>0.35899999999999999</v>
      </c>
      <c r="M92" s="35">
        <v>0.48399999999999999</v>
      </c>
      <c r="N92" s="35">
        <v>0.60599999999999998</v>
      </c>
      <c r="O92" s="35">
        <v>1.01</v>
      </c>
      <c r="P92" s="35">
        <v>0.30299999999999999</v>
      </c>
      <c r="Q92" s="35">
        <v>0.98499999999999999</v>
      </c>
      <c r="R92" s="35">
        <v>0.67300000000000004</v>
      </c>
      <c r="S92" s="35">
        <v>0.78800000000000003</v>
      </c>
      <c r="T92" s="35">
        <v>0.87</v>
      </c>
      <c r="U92" s="35">
        <v>0.74</v>
      </c>
      <c r="V92" s="35">
        <v>0.55700000000000005</v>
      </c>
      <c r="W92" s="35">
        <v>0.59799999999999998</v>
      </c>
      <c r="X92" s="202">
        <v>0.624</v>
      </c>
      <c r="Y92" s="204">
        <v>0.316</v>
      </c>
      <c r="Z92" s="35">
        <v>0.29599999999999999</v>
      </c>
      <c r="AA92" s="35">
        <v>0.40799999999999997</v>
      </c>
      <c r="AB92" s="138">
        <v>1.37</v>
      </c>
      <c r="AC92" s="35">
        <v>0.72</v>
      </c>
    </row>
    <row r="93" spans="1:29">
      <c r="A93" s="215" t="s">
        <v>787</v>
      </c>
      <c r="B93" s="3"/>
      <c r="C93" s="3"/>
      <c r="D93" s="3"/>
      <c r="E93" s="3"/>
      <c r="F93" s="3"/>
      <c r="G93" s="3"/>
      <c r="H93" s="3"/>
      <c r="I93" s="3"/>
      <c r="J93" s="3"/>
      <c r="K93" s="3"/>
      <c r="L93" s="3"/>
      <c r="M93" s="3"/>
      <c r="N93" s="3"/>
      <c r="O93" s="3"/>
      <c r="P93" s="3"/>
      <c r="Q93" s="3"/>
      <c r="R93" s="3"/>
      <c r="S93" s="35">
        <v>0.10199999999999999</v>
      </c>
      <c r="T93" s="35">
        <v>2.4500000000000001E-2</v>
      </c>
      <c r="U93" s="35">
        <v>0.224</v>
      </c>
      <c r="V93" s="35">
        <v>0.121</v>
      </c>
      <c r="W93" s="35">
        <v>0.16600000000000001</v>
      </c>
      <c r="X93" s="202">
        <v>0.15</v>
      </c>
      <c r="Y93" s="141"/>
      <c r="Z93" s="3"/>
      <c r="AA93" s="3"/>
      <c r="AB93" s="142"/>
      <c r="AC93" s="3"/>
    </row>
    <row r="94" spans="1:29">
      <c r="A94" s="215" t="s">
        <v>788</v>
      </c>
      <c r="B94" s="36">
        <v>8.7300000000000003E-2</v>
      </c>
      <c r="C94" s="36">
        <v>5.6300000000000003E-2</v>
      </c>
      <c r="D94" s="36">
        <v>6.7100000000000007E-2</v>
      </c>
      <c r="E94" s="36">
        <v>2.64E-2</v>
      </c>
      <c r="F94" s="36">
        <v>3.6999999999999998E-2</v>
      </c>
      <c r="G94" s="36">
        <v>0.16200000000000001</v>
      </c>
      <c r="H94" s="36">
        <v>0.16500000000000001</v>
      </c>
      <c r="I94" s="36">
        <v>0.17599999999999999</v>
      </c>
      <c r="J94" s="36">
        <v>0.14099999999999999</v>
      </c>
      <c r="K94" s="36">
        <v>0.109</v>
      </c>
      <c r="L94" s="36">
        <v>2.58E-2</v>
      </c>
      <c r="M94" s="36">
        <v>3.8800000000000001E-2</v>
      </c>
      <c r="N94" s="36">
        <v>0.104</v>
      </c>
      <c r="O94" s="36">
        <v>6.5500000000000003E-2</v>
      </c>
      <c r="P94" s="36">
        <v>5.2200000000000003E-2</v>
      </c>
      <c r="Q94" s="36">
        <v>0.18099999999999999</v>
      </c>
      <c r="R94" s="36">
        <v>0.105</v>
      </c>
      <c r="S94" s="36">
        <v>0.185</v>
      </c>
      <c r="T94" s="36">
        <v>0.155</v>
      </c>
      <c r="U94" s="36">
        <v>0.11700000000000001</v>
      </c>
      <c r="V94" s="36">
        <v>6.7599999999999993E-2</v>
      </c>
      <c r="W94" s="36">
        <v>0.13200000000000001</v>
      </c>
      <c r="X94" s="200">
        <v>0.105</v>
      </c>
      <c r="Y94" s="139">
        <v>3.8899999999999997E-2</v>
      </c>
      <c r="Z94" s="36">
        <v>4.5999999999999999E-2</v>
      </c>
      <c r="AA94" s="36">
        <v>6.88E-2</v>
      </c>
      <c r="AB94" s="140">
        <v>0.13400000000000001</v>
      </c>
      <c r="AC94" s="36">
        <v>8.7300000000000003E-2</v>
      </c>
    </row>
    <row r="95" spans="1:29">
      <c r="A95" s="215" t="s">
        <v>789</v>
      </c>
      <c r="B95" s="35">
        <v>0.16300000000000001</v>
      </c>
      <c r="C95" s="3"/>
      <c r="D95" s="3"/>
      <c r="E95" s="3"/>
      <c r="F95" s="3"/>
      <c r="G95" s="35">
        <v>0.13700000000000001</v>
      </c>
      <c r="H95" s="35">
        <v>0.13700000000000001</v>
      </c>
      <c r="I95" s="35">
        <v>0.13100000000000001</v>
      </c>
      <c r="J95" s="3"/>
      <c r="K95" s="3"/>
      <c r="L95" s="3"/>
      <c r="M95" s="3"/>
      <c r="N95" s="3"/>
      <c r="O95" s="3"/>
      <c r="P95" s="3"/>
      <c r="Q95" s="3"/>
      <c r="R95" s="3"/>
      <c r="S95" s="35">
        <v>0.123</v>
      </c>
      <c r="T95" s="35">
        <v>5.7599999999999998E-2</v>
      </c>
      <c r="U95" s="3"/>
      <c r="V95" s="3"/>
      <c r="W95" s="3"/>
      <c r="X95" s="203"/>
      <c r="Y95" s="141"/>
      <c r="Z95" s="3"/>
      <c r="AA95" s="3"/>
      <c r="AB95" s="142"/>
      <c r="AC95" s="35">
        <v>0.16300000000000001</v>
      </c>
    </row>
    <row r="96" spans="1:29">
      <c r="A96" s="215" t="s">
        <v>790</v>
      </c>
      <c r="B96" s="36">
        <v>2.6700000000000002E-2</v>
      </c>
      <c r="C96" s="36">
        <v>2.18E-2</v>
      </c>
      <c r="D96" s="36">
        <v>2.41E-2</v>
      </c>
      <c r="E96" s="5"/>
      <c r="F96" s="36">
        <v>7.9500000000000005E-3</v>
      </c>
      <c r="G96" s="36">
        <v>5.4899999999999997E-2</v>
      </c>
      <c r="H96" s="36">
        <v>4.4999999999999998E-2</v>
      </c>
      <c r="I96" s="36">
        <v>4.4400000000000002E-2</v>
      </c>
      <c r="J96" s="36">
        <v>4.1500000000000002E-2</v>
      </c>
      <c r="K96" s="5"/>
      <c r="L96" s="36">
        <v>6.8300000000000001E-3</v>
      </c>
      <c r="M96" s="5"/>
      <c r="N96" s="5"/>
      <c r="O96" s="36">
        <v>6.4599999999999996E-3</v>
      </c>
      <c r="P96" s="36">
        <v>3.47E-3</v>
      </c>
      <c r="Q96" s="36">
        <v>5.28E-2</v>
      </c>
      <c r="R96" s="36">
        <v>3.5499999999999997E-2</v>
      </c>
      <c r="S96" s="36">
        <v>4.7E-2</v>
      </c>
      <c r="T96" s="36">
        <v>3.0599999999999999E-2</v>
      </c>
      <c r="U96" s="36">
        <v>4.3200000000000002E-2</v>
      </c>
      <c r="V96" s="36">
        <v>1.49E-2</v>
      </c>
      <c r="W96" s="36">
        <v>3.78E-2</v>
      </c>
      <c r="X96" s="200">
        <v>1.0500000000000001E-2</v>
      </c>
      <c r="Y96" s="139">
        <v>1.5100000000000001E-2</v>
      </c>
      <c r="Z96" s="36">
        <v>8.0099999999999998E-3</v>
      </c>
      <c r="AA96" s="36">
        <v>1.09E-2</v>
      </c>
      <c r="AB96" s="140">
        <v>3.6900000000000002E-2</v>
      </c>
      <c r="AC96" s="36">
        <v>2.6700000000000002E-2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44"/>
  <sheetViews>
    <sheetView topLeftCell="A15" workbookViewId="0">
      <selection activeCell="W24" sqref="W24"/>
    </sheetView>
  </sheetViews>
  <sheetFormatPr defaultColWidth="8.85546875" defaultRowHeight="15"/>
  <cols>
    <col min="1" max="1" width="25.7109375" bestFit="1" customWidth="1"/>
    <col min="2" max="2" width="9.28515625" bestFit="1" customWidth="1"/>
    <col min="25" max="28" width="10.140625" bestFit="1" customWidth="1"/>
  </cols>
  <sheetData>
    <row r="1" spans="1:28">
      <c r="A1" s="236" t="s">
        <v>72</v>
      </c>
      <c r="B1" s="232" t="s">
        <v>1140</v>
      </c>
      <c r="C1" s="103" t="s">
        <v>74</v>
      </c>
      <c r="D1" s="103" t="s">
        <v>75</v>
      </c>
      <c r="E1" s="103" t="s">
        <v>76</v>
      </c>
      <c r="F1" s="103" t="s">
        <v>78</v>
      </c>
      <c r="G1" s="103" t="s">
        <v>79</v>
      </c>
      <c r="H1" s="103" t="s">
        <v>80</v>
      </c>
      <c r="I1" s="103" t="s">
        <v>81</v>
      </c>
      <c r="J1" s="103" t="s">
        <v>83</v>
      </c>
      <c r="K1" s="103" t="s">
        <v>84</v>
      </c>
      <c r="L1" s="103" t="s">
        <v>85</v>
      </c>
      <c r="M1" s="103" t="s">
        <v>86</v>
      </c>
      <c r="N1" s="103" t="s">
        <v>87</v>
      </c>
      <c r="O1" s="103" t="s">
        <v>88</v>
      </c>
      <c r="P1" s="103" t="s">
        <v>89</v>
      </c>
      <c r="Q1" s="103" t="s">
        <v>90</v>
      </c>
      <c r="R1" s="103" t="s">
        <v>91</v>
      </c>
      <c r="S1" s="103" t="s">
        <v>92</v>
      </c>
      <c r="T1" s="103" t="s">
        <v>93</v>
      </c>
      <c r="U1" s="103" t="s">
        <v>94</v>
      </c>
      <c r="V1" s="103" t="s">
        <v>95</v>
      </c>
      <c r="W1" s="103" t="s">
        <v>96</v>
      </c>
      <c r="X1" s="104" t="s">
        <v>97</v>
      </c>
      <c r="Y1" s="102" t="s">
        <v>98</v>
      </c>
      <c r="Z1" s="103" t="s">
        <v>99</v>
      </c>
      <c r="AA1" s="103" t="s">
        <v>100</v>
      </c>
      <c r="AB1" s="104" t="s">
        <v>101</v>
      </c>
    </row>
    <row r="2" spans="1:28">
      <c r="A2" s="237" t="s">
        <v>1142</v>
      </c>
      <c r="B2" s="233" t="s">
        <v>1143</v>
      </c>
      <c r="C2" s="79" t="s">
        <v>112</v>
      </c>
      <c r="D2" s="79" t="s">
        <v>113</v>
      </c>
      <c r="E2" s="79" t="s">
        <v>114</v>
      </c>
      <c r="F2" s="79" t="s">
        <v>116</v>
      </c>
      <c r="G2" s="79" t="s">
        <v>117</v>
      </c>
      <c r="H2" s="79" t="s">
        <v>118</v>
      </c>
      <c r="I2" s="79" t="s">
        <v>119</v>
      </c>
      <c r="J2" s="79" t="s">
        <v>121</v>
      </c>
      <c r="K2" s="79" t="s">
        <v>122</v>
      </c>
      <c r="L2" s="79" t="s">
        <v>123</v>
      </c>
      <c r="M2" s="79" t="s">
        <v>124</v>
      </c>
      <c r="N2" s="79" t="s">
        <v>125</v>
      </c>
      <c r="O2" s="79" t="s">
        <v>126</v>
      </c>
      <c r="P2" s="79" t="s">
        <v>127</v>
      </c>
      <c r="Q2" s="79" t="s">
        <v>128</v>
      </c>
      <c r="R2" s="79" t="s">
        <v>129</v>
      </c>
      <c r="S2" s="79" t="s">
        <v>130</v>
      </c>
      <c r="T2" s="79" t="s">
        <v>131</v>
      </c>
      <c r="U2" s="79" t="s">
        <v>132</v>
      </c>
      <c r="V2" s="79" t="s">
        <v>133</v>
      </c>
      <c r="W2" s="79" t="s">
        <v>134</v>
      </c>
      <c r="X2" s="106" t="s">
        <v>135</v>
      </c>
      <c r="Y2" s="105" t="s">
        <v>136</v>
      </c>
      <c r="Z2" s="79" t="s">
        <v>137</v>
      </c>
      <c r="AA2" s="79" t="s">
        <v>138</v>
      </c>
      <c r="AB2" s="106" t="s">
        <v>139</v>
      </c>
    </row>
    <row r="3" spans="1:28">
      <c r="A3" s="238" t="s">
        <v>219</v>
      </c>
      <c r="B3" s="227">
        <v>1</v>
      </c>
      <c r="C3" s="225">
        <v>1.0546875</v>
      </c>
      <c r="D3" s="225">
        <v>2.015625</v>
      </c>
      <c r="E3" s="225">
        <v>0</v>
      </c>
      <c r="F3" s="225">
        <v>0</v>
      </c>
      <c r="G3" s="225">
        <v>1.984375</v>
      </c>
      <c r="H3" s="225">
        <v>1.1953125</v>
      </c>
      <c r="I3" s="225">
        <v>0.8828125</v>
      </c>
      <c r="J3" s="225">
        <v>0</v>
      </c>
      <c r="K3" s="225">
        <v>0</v>
      </c>
      <c r="L3" s="225">
        <v>0</v>
      </c>
      <c r="M3" s="225">
        <v>0</v>
      </c>
      <c r="N3" s="225">
        <v>0</v>
      </c>
      <c r="O3" s="225">
        <v>0</v>
      </c>
      <c r="P3" s="225">
        <v>0</v>
      </c>
      <c r="Q3" s="225">
        <v>2.109375</v>
      </c>
      <c r="R3" s="225">
        <v>3.7343749999999996</v>
      </c>
      <c r="S3" s="225">
        <v>1.7421875</v>
      </c>
      <c r="T3" s="225">
        <v>1.4921875</v>
      </c>
      <c r="U3" s="225">
        <v>1.984375</v>
      </c>
      <c r="V3" s="225">
        <v>1.015625</v>
      </c>
      <c r="W3" s="225">
        <v>2.0234375</v>
      </c>
      <c r="X3" s="228">
        <v>2.078125</v>
      </c>
      <c r="Y3" s="227">
        <v>0</v>
      </c>
      <c r="Z3" s="225">
        <v>0</v>
      </c>
      <c r="AA3" s="225">
        <v>0</v>
      </c>
      <c r="AB3" s="228">
        <v>2.1015625</v>
      </c>
    </row>
    <row r="4" spans="1:28">
      <c r="A4" s="238" t="s">
        <v>239</v>
      </c>
      <c r="B4" s="227">
        <v>1</v>
      </c>
      <c r="C4" s="225">
        <v>0.91243432574430827</v>
      </c>
      <c r="D4" s="225">
        <v>0.65148861646234668</v>
      </c>
      <c r="E4" s="225">
        <v>0</v>
      </c>
      <c r="F4" s="225">
        <v>1.243432574430823</v>
      </c>
      <c r="G4" s="225">
        <v>1.5218914185639232</v>
      </c>
      <c r="H4" s="225">
        <v>1.1348511383537654</v>
      </c>
      <c r="I4" s="225">
        <v>1.5096322241681261</v>
      </c>
      <c r="J4" s="225">
        <v>0</v>
      </c>
      <c r="K4" s="225">
        <v>0.93870402802101582</v>
      </c>
      <c r="L4" s="225">
        <v>0.41330998248686518</v>
      </c>
      <c r="M4" s="225">
        <v>0.978984238178634</v>
      </c>
      <c r="N4" s="225">
        <v>1.9089316987740805</v>
      </c>
      <c r="O4" s="225">
        <v>0</v>
      </c>
      <c r="P4" s="225">
        <v>0.87215411558668998</v>
      </c>
      <c r="Q4" s="225">
        <v>0.99474605954465856</v>
      </c>
      <c r="R4" s="225">
        <v>1.6357267950963224</v>
      </c>
      <c r="S4" s="225">
        <v>1.1488616462346761</v>
      </c>
      <c r="T4" s="225">
        <v>0.67075306479859897</v>
      </c>
      <c r="U4" s="225">
        <v>0.73204903677758315</v>
      </c>
      <c r="V4" s="225">
        <v>0.53590192644483359</v>
      </c>
      <c r="W4" s="225">
        <v>0.75131348511383544</v>
      </c>
      <c r="X4" s="228">
        <v>1.3309982486865148</v>
      </c>
      <c r="Y4" s="227">
        <v>2.2416812609457093</v>
      </c>
      <c r="Z4" s="225">
        <v>0.6742556917688266</v>
      </c>
      <c r="AA4" s="225">
        <v>0.88966725043782835</v>
      </c>
      <c r="AB4" s="228">
        <v>1.555166374781086</v>
      </c>
    </row>
    <row r="5" spans="1:28">
      <c r="A5" s="238" t="s">
        <v>243</v>
      </c>
      <c r="B5" s="227">
        <v>1</v>
      </c>
      <c r="C5" s="225">
        <v>0.84748201438848914</v>
      </c>
      <c r="D5" s="225">
        <v>0.78992805755395668</v>
      </c>
      <c r="E5" s="225">
        <v>1.8273381294964028</v>
      </c>
      <c r="F5" s="225">
        <v>1.553956834532374</v>
      </c>
      <c r="G5" s="225">
        <v>0.9870503597122301</v>
      </c>
      <c r="H5" s="225">
        <v>0.79424460431654664</v>
      </c>
      <c r="I5" s="225">
        <v>0.77553956834532367</v>
      </c>
      <c r="J5" s="225">
        <v>0</v>
      </c>
      <c r="K5" s="225">
        <v>1.3093525179856114</v>
      </c>
      <c r="L5" s="225">
        <v>1.2848920863309352</v>
      </c>
      <c r="M5" s="225">
        <v>1.3438848920863307</v>
      </c>
      <c r="N5" s="225">
        <v>1.6834532374100719</v>
      </c>
      <c r="O5" s="225">
        <v>1.0374100719424459</v>
      </c>
      <c r="P5" s="225">
        <v>1.270503597122302</v>
      </c>
      <c r="Q5" s="225">
        <v>1.1266187050359711</v>
      </c>
      <c r="R5" s="225">
        <v>0.86906474820143875</v>
      </c>
      <c r="S5" s="225">
        <v>0.9467625899280574</v>
      </c>
      <c r="T5" s="225">
        <v>0.57266187050359707</v>
      </c>
      <c r="U5" s="225">
        <v>0.82302158273381287</v>
      </c>
      <c r="V5" s="225">
        <v>0.42014388489208632</v>
      </c>
      <c r="W5" s="225">
        <v>0.97985611510791348</v>
      </c>
      <c r="X5" s="228">
        <v>0.96978417266187045</v>
      </c>
      <c r="Y5" s="227">
        <v>1.3482014388489207</v>
      </c>
      <c r="Z5" s="225">
        <v>1.014388489208633</v>
      </c>
      <c r="AA5" s="225">
        <v>0.68345323741007191</v>
      </c>
      <c r="AB5" s="228">
        <v>2.906474820143885</v>
      </c>
    </row>
    <row r="6" spans="1:28">
      <c r="A6" s="238" t="s">
        <v>263</v>
      </c>
      <c r="B6" s="227">
        <v>1</v>
      </c>
      <c r="C6" s="225">
        <v>1.087463556851312</v>
      </c>
      <c r="D6" s="225">
        <v>1.1064139941690962</v>
      </c>
      <c r="E6" s="225">
        <v>0</v>
      </c>
      <c r="F6" s="225">
        <v>1.5306122448979593</v>
      </c>
      <c r="G6" s="225">
        <v>2.4198250728862978</v>
      </c>
      <c r="H6" s="225">
        <v>1.3513119533527698</v>
      </c>
      <c r="I6" s="225">
        <v>1.2142857142857144</v>
      </c>
      <c r="J6" s="225">
        <v>0</v>
      </c>
      <c r="K6" s="225">
        <v>1.0145772594752187</v>
      </c>
      <c r="L6" s="225">
        <v>0.76239067055393595</v>
      </c>
      <c r="M6" s="225">
        <v>1.5014577259475219</v>
      </c>
      <c r="N6" s="225">
        <v>3.2653061224489801</v>
      </c>
      <c r="O6" s="225">
        <v>0</v>
      </c>
      <c r="P6" s="225">
        <v>0.88483965014577259</v>
      </c>
      <c r="Q6" s="225">
        <v>1.6909620991253647</v>
      </c>
      <c r="R6" s="225">
        <v>1.2346938775510206</v>
      </c>
      <c r="S6" s="225">
        <v>1.3586005830903791</v>
      </c>
      <c r="T6" s="225">
        <v>0.48833819241982512</v>
      </c>
      <c r="U6" s="225">
        <v>1.0218658892128281</v>
      </c>
      <c r="V6" s="225">
        <v>0.7711370262390671</v>
      </c>
      <c r="W6" s="225">
        <v>1.8804664723032072</v>
      </c>
      <c r="X6" s="228">
        <v>3.0320699708454812</v>
      </c>
      <c r="Y6" s="227">
        <v>4.9708454810495635</v>
      </c>
      <c r="Z6" s="225">
        <v>1.0174927113702625</v>
      </c>
      <c r="AA6" s="225">
        <v>0.88775510204081642</v>
      </c>
      <c r="AB6" s="228">
        <v>2.6530612244897962</v>
      </c>
    </row>
    <row r="7" spans="1:28">
      <c r="A7" s="238" t="s">
        <v>306</v>
      </c>
      <c r="B7" s="227">
        <v>1</v>
      </c>
      <c r="C7" s="225">
        <v>0.22916666666666669</v>
      </c>
      <c r="D7" s="225">
        <v>0.15666666666666668</v>
      </c>
      <c r="E7" s="225">
        <v>0</v>
      </c>
      <c r="F7" s="225">
        <v>0.10833333333333334</v>
      </c>
      <c r="G7" s="225">
        <v>0.51333333333333342</v>
      </c>
      <c r="H7" s="225">
        <v>0.55333333333333334</v>
      </c>
      <c r="I7" s="225">
        <v>0.32916666666666666</v>
      </c>
      <c r="J7" s="225">
        <v>0</v>
      </c>
      <c r="K7" s="225">
        <v>1.7916666666666667</v>
      </c>
      <c r="L7" s="225">
        <v>1.9166666666666667</v>
      </c>
      <c r="M7" s="225">
        <v>1.3250000000000002</v>
      </c>
      <c r="N7" s="225">
        <v>0.68750000000000011</v>
      </c>
      <c r="O7" s="225">
        <v>0</v>
      </c>
      <c r="P7" s="225">
        <v>0.22166666666666665</v>
      </c>
      <c r="Q7" s="225">
        <v>0.85</v>
      </c>
      <c r="R7" s="225">
        <v>0.22166666666666665</v>
      </c>
      <c r="S7" s="225">
        <v>0.47916666666666669</v>
      </c>
      <c r="T7" s="225">
        <v>0.57666666666666666</v>
      </c>
      <c r="U7" s="225">
        <v>0</v>
      </c>
      <c r="V7" s="225">
        <v>0.14583333333333334</v>
      </c>
      <c r="W7" s="225">
        <v>0.68916666666666671</v>
      </c>
      <c r="X7" s="228">
        <v>0.65166666666666673</v>
      </c>
      <c r="Y7" s="227">
        <v>0.15083333333333335</v>
      </c>
      <c r="Z7" s="225">
        <v>0.57916666666666672</v>
      </c>
      <c r="AA7" s="225">
        <v>0.39750000000000002</v>
      </c>
      <c r="AB7" s="228">
        <v>1.2416666666666667</v>
      </c>
    </row>
    <row r="8" spans="1:28">
      <c r="A8" s="238" t="s">
        <v>311</v>
      </c>
      <c r="B8" s="227">
        <v>1</v>
      </c>
      <c r="C8" s="225">
        <v>0</v>
      </c>
      <c r="D8" s="225">
        <v>0</v>
      </c>
      <c r="E8" s="225">
        <v>0</v>
      </c>
      <c r="F8" s="225">
        <v>0.84920634920634919</v>
      </c>
      <c r="G8" s="225">
        <v>0</v>
      </c>
      <c r="H8" s="225">
        <v>0</v>
      </c>
      <c r="I8" s="225">
        <v>0</v>
      </c>
      <c r="J8" s="225">
        <v>0</v>
      </c>
      <c r="K8" s="225">
        <v>0</v>
      </c>
      <c r="L8" s="225">
        <v>0</v>
      </c>
      <c r="M8" s="225">
        <v>0</v>
      </c>
      <c r="N8" s="225">
        <v>0</v>
      </c>
      <c r="O8" s="225">
        <v>0</v>
      </c>
      <c r="P8" s="225">
        <v>0.45476190476190476</v>
      </c>
      <c r="Q8" s="225">
        <v>2.96031746031746E-2</v>
      </c>
      <c r="R8" s="225">
        <v>0.38253968253968251</v>
      </c>
      <c r="S8" s="225">
        <v>5.8571428571428573E-2</v>
      </c>
      <c r="T8" s="225">
        <v>0</v>
      </c>
      <c r="U8" s="225">
        <v>1.7222222222222222E-2</v>
      </c>
      <c r="V8" s="225">
        <v>0</v>
      </c>
      <c r="W8" s="225">
        <v>0</v>
      </c>
      <c r="X8" s="228">
        <v>4.6031746031746028E-2</v>
      </c>
      <c r="Y8" s="227">
        <v>2.1507936507936511</v>
      </c>
      <c r="Z8" s="225">
        <v>0.55158730158730163</v>
      </c>
      <c r="AA8" s="225">
        <v>0.94444444444444442</v>
      </c>
      <c r="AB8" s="228">
        <v>1.5238095238095237</v>
      </c>
    </row>
    <row r="9" spans="1:28">
      <c r="A9" s="238" t="s">
        <v>318</v>
      </c>
      <c r="B9" s="219"/>
      <c r="C9" s="217">
        <v>1.01E-2</v>
      </c>
      <c r="D9" s="217">
        <v>4.6100000000000004E-3</v>
      </c>
      <c r="E9" s="218"/>
      <c r="F9" s="218"/>
      <c r="G9" s="217">
        <v>2.9399999999999999E-3</v>
      </c>
      <c r="H9" s="217">
        <v>4.8900000000000002E-3</v>
      </c>
      <c r="I9" s="218"/>
      <c r="J9" s="218"/>
      <c r="K9" s="218"/>
      <c r="L9" s="218"/>
      <c r="M9" s="218"/>
      <c r="N9" s="218"/>
      <c r="O9" s="218"/>
      <c r="P9" s="218"/>
      <c r="Q9" s="218"/>
      <c r="R9" s="218"/>
      <c r="S9" s="218"/>
      <c r="T9" s="218"/>
      <c r="U9" s="218"/>
      <c r="V9" s="218"/>
      <c r="W9" s="218"/>
      <c r="X9" s="220"/>
      <c r="Y9" s="219"/>
      <c r="Z9" s="218"/>
      <c r="AA9" s="218"/>
      <c r="AB9" s="220"/>
    </row>
    <row r="10" spans="1:28">
      <c r="A10" s="238" t="s">
        <v>334</v>
      </c>
      <c r="B10" s="227">
        <v>1</v>
      </c>
      <c r="C10" s="225">
        <v>0.19762845849802371</v>
      </c>
      <c r="D10" s="225">
        <v>0.14328063241106717</v>
      </c>
      <c r="E10" s="225">
        <v>0</v>
      </c>
      <c r="F10" s="225">
        <v>8.75494071146245E-2</v>
      </c>
      <c r="G10" s="225">
        <v>0.74505928853754944</v>
      </c>
      <c r="H10" s="225">
        <v>0.66996047430830041</v>
      </c>
      <c r="I10" s="225">
        <v>0.26284584980237158</v>
      </c>
      <c r="J10" s="225">
        <v>0</v>
      </c>
      <c r="K10" s="225">
        <v>1.4525691699604744</v>
      </c>
      <c r="L10" s="225">
        <v>1.3853754940711462</v>
      </c>
      <c r="M10" s="225">
        <v>1.0889328063241108</v>
      </c>
      <c r="N10" s="225">
        <v>0.86956521739130432</v>
      </c>
      <c r="O10" s="225">
        <v>0.3458498023715415</v>
      </c>
      <c r="P10" s="225">
        <v>0.17628458498023716</v>
      </c>
      <c r="Q10" s="225">
        <v>0.89328063241106725</v>
      </c>
      <c r="R10" s="225">
        <v>0.27272727272727276</v>
      </c>
      <c r="S10" s="225">
        <v>0.59486166007905139</v>
      </c>
      <c r="T10" s="225">
        <v>0.80830039525691699</v>
      </c>
      <c r="U10" s="225">
        <v>0.30434782608695654</v>
      </c>
      <c r="V10" s="225">
        <v>0.27865612648221338</v>
      </c>
      <c r="W10" s="225">
        <v>1.1798418972332014</v>
      </c>
      <c r="X10" s="228">
        <v>0.86956521739130432</v>
      </c>
      <c r="Y10" s="227">
        <v>0.41501976284584979</v>
      </c>
      <c r="Z10" s="225">
        <v>0.46640316205533594</v>
      </c>
      <c r="AA10" s="225">
        <v>0.341897233201581</v>
      </c>
      <c r="AB10" s="228">
        <v>1.5592885375494072</v>
      </c>
    </row>
    <row r="11" spans="1:28">
      <c r="A11" s="238" t="s">
        <v>338</v>
      </c>
      <c r="B11" s="227">
        <v>1</v>
      </c>
      <c r="C11" s="225">
        <v>1.117948717948718</v>
      </c>
      <c r="D11" s="225">
        <v>0</v>
      </c>
      <c r="E11" s="225">
        <v>0</v>
      </c>
      <c r="F11" s="225">
        <v>0</v>
      </c>
      <c r="G11" s="225">
        <v>1.0461538461538462</v>
      </c>
      <c r="H11" s="225">
        <v>1.0461538461538462</v>
      </c>
      <c r="I11" s="225">
        <v>0</v>
      </c>
      <c r="J11" s="225">
        <v>5.2307692307692308</v>
      </c>
      <c r="K11" s="225">
        <v>3.312820512820513</v>
      </c>
      <c r="L11" s="225">
        <v>0.56307692307692314</v>
      </c>
      <c r="M11" s="225">
        <v>0.50358974358974362</v>
      </c>
      <c r="N11" s="225">
        <v>0.51897435897435895</v>
      </c>
      <c r="O11" s="225">
        <v>0.86256410256410265</v>
      </c>
      <c r="P11" s="225">
        <v>0.60102564102564104</v>
      </c>
      <c r="Q11" s="225">
        <v>1.2820512820512822</v>
      </c>
      <c r="R11" s="225">
        <v>0</v>
      </c>
      <c r="S11" s="225">
        <v>1.8153846153846154</v>
      </c>
      <c r="T11" s="225">
        <v>2.2461538461538462</v>
      </c>
      <c r="U11" s="225">
        <v>0.87076923076923074</v>
      </c>
      <c r="V11" s="225">
        <v>0.82564102564102559</v>
      </c>
      <c r="W11" s="225">
        <v>0.81846153846153835</v>
      </c>
      <c r="X11" s="228">
        <v>2.1846153846153844</v>
      </c>
      <c r="Y11" s="227">
        <v>0.67999999999999994</v>
      </c>
      <c r="Z11" s="225">
        <v>2.2153846153846155</v>
      </c>
      <c r="AA11" s="225">
        <v>4.0205128205128204</v>
      </c>
      <c r="AB11" s="228">
        <v>7.4871794871794863</v>
      </c>
    </row>
    <row r="12" spans="1:28">
      <c r="A12" s="238" t="s">
        <v>374</v>
      </c>
      <c r="B12" s="227">
        <v>1</v>
      </c>
      <c r="C12" s="225">
        <v>0.4140625</v>
      </c>
      <c r="D12" s="225">
        <v>0.40625</v>
      </c>
      <c r="E12" s="225">
        <v>2.3203125</v>
      </c>
      <c r="F12" s="225">
        <v>1.7265625</v>
      </c>
      <c r="G12" s="225">
        <v>0.72812500000000002</v>
      </c>
      <c r="H12" s="225">
        <v>0.52499999999999991</v>
      </c>
      <c r="I12" s="225">
        <v>0.828125</v>
      </c>
      <c r="J12" s="225">
        <v>0</v>
      </c>
      <c r="K12" s="225">
        <v>0.73515624999999996</v>
      </c>
      <c r="L12" s="225">
        <v>0.65234375</v>
      </c>
      <c r="M12" s="225">
        <v>0.84375</v>
      </c>
      <c r="N12" s="225">
        <v>0.8515625</v>
      </c>
      <c r="O12" s="225">
        <v>0.55468749999999989</v>
      </c>
      <c r="P12" s="225">
        <v>0.32265625000000003</v>
      </c>
      <c r="Q12" s="225">
        <v>0.32109374999999996</v>
      </c>
      <c r="R12" s="225">
        <v>50.46875</v>
      </c>
      <c r="S12" s="225">
        <v>2.859375</v>
      </c>
      <c r="T12" s="225">
        <v>2.8515625</v>
      </c>
      <c r="U12" s="225">
        <v>4.21875</v>
      </c>
      <c r="V12" s="225">
        <v>1.5</v>
      </c>
      <c r="W12" s="225">
        <v>2.3359375</v>
      </c>
      <c r="X12" s="228">
        <v>4.53125</v>
      </c>
      <c r="Y12" s="227">
        <v>1.1484375</v>
      </c>
      <c r="Z12" s="225">
        <v>0.52734375</v>
      </c>
      <c r="AA12" s="225">
        <v>0.55468749999999989</v>
      </c>
      <c r="AB12" s="228">
        <v>1.3125</v>
      </c>
    </row>
    <row r="13" spans="1:28">
      <c r="A13" s="238" t="s">
        <v>375</v>
      </c>
      <c r="B13" s="227">
        <v>1</v>
      </c>
      <c r="C13" s="225">
        <v>0.37845303867403313</v>
      </c>
      <c r="D13" s="225">
        <v>0</v>
      </c>
      <c r="E13" s="225">
        <v>0</v>
      </c>
      <c r="F13" s="225">
        <v>0</v>
      </c>
      <c r="G13" s="225">
        <v>0</v>
      </c>
      <c r="H13" s="225">
        <v>0</v>
      </c>
      <c r="I13" s="225">
        <v>0</v>
      </c>
      <c r="J13" s="225">
        <v>0</v>
      </c>
      <c r="K13" s="225">
        <v>0.35359116022099446</v>
      </c>
      <c r="L13" s="225">
        <v>0.18867403314917125</v>
      </c>
      <c r="M13" s="225">
        <v>0.18922651933701656</v>
      </c>
      <c r="N13" s="225">
        <v>0.31767955801104969</v>
      </c>
      <c r="O13" s="225">
        <v>0</v>
      </c>
      <c r="P13" s="225">
        <v>0</v>
      </c>
      <c r="Q13" s="225">
        <v>0.5220994475138121</v>
      </c>
      <c r="R13" s="225">
        <v>19.116022099447513</v>
      </c>
      <c r="S13" s="225">
        <v>2.8176795580110494</v>
      </c>
      <c r="T13" s="225">
        <v>3.2044198895027622</v>
      </c>
      <c r="U13" s="225">
        <v>4.9999999999999991</v>
      </c>
      <c r="V13" s="225">
        <v>1.975138121546961</v>
      </c>
      <c r="W13" s="225">
        <v>2.9558011049723754</v>
      </c>
      <c r="X13" s="228">
        <v>4.8895027624309382</v>
      </c>
      <c r="Y13" s="227">
        <v>1.0441988950276242</v>
      </c>
      <c r="Z13" s="225">
        <v>0</v>
      </c>
      <c r="AA13" s="225">
        <v>0.51104972375690605</v>
      </c>
      <c r="AB13" s="228">
        <v>2.1823204419889501</v>
      </c>
    </row>
    <row r="14" spans="1:28">
      <c r="A14" s="238" t="s">
        <v>382</v>
      </c>
      <c r="B14" s="227">
        <v>1</v>
      </c>
      <c r="C14" s="225">
        <v>0.1889763779527559</v>
      </c>
      <c r="D14" s="225">
        <v>0.11574803149606298</v>
      </c>
      <c r="E14" s="225">
        <v>0</v>
      </c>
      <c r="F14" s="225">
        <v>1.1984251968503936</v>
      </c>
      <c r="G14" s="225">
        <v>0.71811023622047243</v>
      </c>
      <c r="H14" s="225">
        <v>0.51023622047244088</v>
      </c>
      <c r="I14" s="225">
        <v>0.24409448818897636</v>
      </c>
      <c r="J14" s="225">
        <v>0</v>
      </c>
      <c r="K14" s="225">
        <v>0.62992125984251968</v>
      </c>
      <c r="L14" s="225">
        <v>0.32125984251968503</v>
      </c>
      <c r="M14" s="225">
        <v>0.26614173228346455</v>
      </c>
      <c r="N14" s="225">
        <v>0.45669291338582679</v>
      </c>
      <c r="O14" s="225">
        <v>2.5826771653543306</v>
      </c>
      <c r="P14" s="225">
        <v>1.4078740157480314</v>
      </c>
      <c r="Q14" s="225">
        <v>1.0094488188976378</v>
      </c>
      <c r="R14" s="225">
        <v>2.4724409448818898</v>
      </c>
      <c r="S14" s="225">
        <v>1.1385826771653544</v>
      </c>
      <c r="T14" s="225">
        <v>1.0503937007874016</v>
      </c>
      <c r="U14" s="225">
        <v>1.2566929133858267</v>
      </c>
      <c r="V14" s="225">
        <v>0.57480314960629919</v>
      </c>
      <c r="W14" s="225">
        <v>1.3795275590551181</v>
      </c>
      <c r="X14" s="228">
        <v>1.1023622047244095</v>
      </c>
      <c r="Y14" s="227">
        <v>1.2110236220472441</v>
      </c>
      <c r="Z14" s="225">
        <v>1.3511811023622047</v>
      </c>
      <c r="AA14" s="225">
        <v>2.0629921259842519</v>
      </c>
      <c r="AB14" s="228">
        <v>1.9527559055118109</v>
      </c>
    </row>
    <row r="15" spans="1:28">
      <c r="A15" s="238" t="s">
        <v>383</v>
      </c>
      <c r="B15" s="227">
        <v>1</v>
      </c>
      <c r="C15" s="225">
        <v>0.74031890660592259</v>
      </c>
      <c r="D15" s="225">
        <v>0.28929384965831434</v>
      </c>
      <c r="E15" s="225">
        <v>0</v>
      </c>
      <c r="F15" s="225">
        <v>4.8519362186788149</v>
      </c>
      <c r="G15" s="225">
        <v>1.143507972665148</v>
      </c>
      <c r="H15" s="225">
        <v>0.77220956719817768</v>
      </c>
      <c r="I15" s="225">
        <v>1.4920273348519362</v>
      </c>
      <c r="J15" s="225">
        <v>0</v>
      </c>
      <c r="K15" s="225">
        <v>1.2414578587699316</v>
      </c>
      <c r="L15" s="225">
        <v>1.1526195899772209</v>
      </c>
      <c r="M15" s="225">
        <v>1.5170842824601367</v>
      </c>
      <c r="N15" s="225">
        <v>1.0979498861047836</v>
      </c>
      <c r="O15" s="225">
        <v>1.5489749430523918</v>
      </c>
      <c r="P15" s="225">
        <v>0.34851936218678814</v>
      </c>
      <c r="Q15" s="225">
        <v>0.80410022779043278</v>
      </c>
      <c r="R15" s="225">
        <v>14.464692482915718</v>
      </c>
      <c r="S15" s="225">
        <v>3.3940774487471526</v>
      </c>
      <c r="T15" s="225">
        <v>4.8063781321184509</v>
      </c>
      <c r="U15" s="225">
        <v>2.391799544419134</v>
      </c>
      <c r="V15" s="225">
        <v>1.6970387243735763</v>
      </c>
      <c r="W15" s="225">
        <v>1.7357630979498861</v>
      </c>
      <c r="X15" s="228">
        <v>1.9271070615034167</v>
      </c>
      <c r="Y15" s="227">
        <v>1.3781321184510249</v>
      </c>
      <c r="Z15" s="225">
        <v>0.3553530751708428</v>
      </c>
      <c r="AA15" s="225">
        <v>0.45558086560364464</v>
      </c>
      <c r="AB15" s="228">
        <v>0.73120728929384959</v>
      </c>
    </row>
    <row r="16" spans="1:28">
      <c r="A16" s="238" t="s">
        <v>384</v>
      </c>
      <c r="B16" s="227">
        <v>1</v>
      </c>
      <c r="C16" s="225">
        <v>0.40883977900552487</v>
      </c>
      <c r="D16" s="225">
        <v>0.27071823204419893</v>
      </c>
      <c r="E16" s="225">
        <v>0.48618784530386738</v>
      </c>
      <c r="F16" s="225">
        <v>4.7127071823204423</v>
      </c>
      <c r="G16" s="225">
        <v>1.0662983425414365</v>
      </c>
      <c r="H16" s="225">
        <v>0.74585635359116031</v>
      </c>
      <c r="I16" s="225">
        <v>1.3259668508287292</v>
      </c>
      <c r="J16" s="225">
        <v>1.0055248618784531</v>
      </c>
      <c r="K16" s="225">
        <v>0.90607734806629836</v>
      </c>
      <c r="L16" s="225">
        <v>0.98895027624309395</v>
      </c>
      <c r="M16" s="225">
        <v>1.3701657458563536</v>
      </c>
      <c r="N16" s="225">
        <v>0.88397790055248626</v>
      </c>
      <c r="O16" s="225">
        <v>1.7403314917127073</v>
      </c>
      <c r="P16" s="225">
        <v>0.61878453038674042</v>
      </c>
      <c r="Q16" s="225">
        <v>1.3535911602209945</v>
      </c>
      <c r="R16" s="225">
        <v>4.4640883977900554</v>
      </c>
      <c r="S16" s="225">
        <v>1.5966850828729282</v>
      </c>
      <c r="T16" s="225">
        <v>1.6298342541436464</v>
      </c>
      <c r="U16" s="225">
        <v>1.1933701657458564</v>
      </c>
      <c r="V16" s="225">
        <v>0.61878453038674042</v>
      </c>
      <c r="W16" s="225">
        <v>1.3591160220994476</v>
      </c>
      <c r="X16" s="228">
        <v>1.2651933701657458</v>
      </c>
      <c r="Y16" s="227">
        <v>1.552486187845304</v>
      </c>
      <c r="Z16" s="225">
        <v>0.7016574585635359</v>
      </c>
      <c r="AA16" s="225">
        <v>0.96132596685082872</v>
      </c>
      <c r="AB16" s="228">
        <v>0.36685082872928176</v>
      </c>
    </row>
    <row r="17" spans="1:28">
      <c r="A17" s="238" t="s">
        <v>386</v>
      </c>
      <c r="B17" s="227">
        <v>1</v>
      </c>
      <c r="C17" s="225">
        <v>0</v>
      </c>
      <c r="D17" s="225">
        <v>3.1490384615384621</v>
      </c>
      <c r="E17" s="225">
        <v>0</v>
      </c>
      <c r="F17" s="225">
        <v>0</v>
      </c>
      <c r="G17" s="225">
        <v>2.1875000000000004</v>
      </c>
      <c r="H17" s="225">
        <v>0.93269230769230782</v>
      </c>
      <c r="I17" s="225">
        <v>0</v>
      </c>
      <c r="J17" s="225">
        <v>0</v>
      </c>
      <c r="K17" s="225">
        <v>0.40384615384615391</v>
      </c>
      <c r="L17" s="225">
        <v>0</v>
      </c>
      <c r="M17" s="225">
        <v>0</v>
      </c>
      <c r="N17" s="225">
        <v>0.81129807692307698</v>
      </c>
      <c r="O17" s="225">
        <v>0</v>
      </c>
      <c r="P17" s="225">
        <v>0</v>
      </c>
      <c r="Q17" s="225">
        <v>0</v>
      </c>
      <c r="R17" s="225">
        <v>0</v>
      </c>
      <c r="S17" s="225">
        <v>0</v>
      </c>
      <c r="T17" s="225">
        <v>0</v>
      </c>
      <c r="U17" s="225">
        <v>0</v>
      </c>
      <c r="V17" s="225">
        <v>0</v>
      </c>
      <c r="W17" s="225">
        <v>0</v>
      </c>
      <c r="X17" s="228">
        <v>0</v>
      </c>
      <c r="Y17" s="227">
        <v>0</v>
      </c>
      <c r="Z17" s="225">
        <v>0</v>
      </c>
      <c r="AA17" s="225">
        <v>0</v>
      </c>
      <c r="AB17" s="228">
        <v>0</v>
      </c>
    </row>
    <row r="18" spans="1:28">
      <c r="A18" s="238" t="s">
        <v>388</v>
      </c>
      <c r="B18" s="219"/>
      <c r="C18" s="217">
        <v>7.7799999999999996E-3</v>
      </c>
      <c r="D18" s="218"/>
      <c r="E18" s="218"/>
      <c r="F18" s="218"/>
      <c r="G18" s="218"/>
      <c r="H18" s="217">
        <v>1.3100000000000001E-2</v>
      </c>
      <c r="I18" s="218"/>
      <c r="J18" s="218"/>
      <c r="K18" s="217">
        <v>2.0200000000000001E-3</v>
      </c>
      <c r="L18" s="218"/>
      <c r="M18" s="218"/>
      <c r="N18" s="218"/>
      <c r="O18" s="218"/>
      <c r="P18" s="217">
        <v>4.6199999999999998E-2</v>
      </c>
      <c r="Q18" s="217">
        <v>0.66800000000000004</v>
      </c>
      <c r="R18" s="217">
        <v>1.5900000000000001E-2</v>
      </c>
      <c r="S18" s="217">
        <v>1.67E-2</v>
      </c>
      <c r="T18" s="218"/>
      <c r="U18" s="218"/>
      <c r="V18" s="218"/>
      <c r="W18" s="218"/>
      <c r="X18" s="220"/>
      <c r="Y18" s="221">
        <v>8.9800000000000001E-3</v>
      </c>
      <c r="Z18" s="218"/>
      <c r="AA18" s="218"/>
      <c r="AB18" s="220"/>
    </row>
    <row r="19" spans="1:28">
      <c r="A19" s="238" t="s">
        <v>389</v>
      </c>
      <c r="B19" s="227">
        <v>1</v>
      </c>
      <c r="C19" s="225">
        <v>0.39864864864864863</v>
      </c>
      <c r="D19" s="225">
        <v>0.30540540540540539</v>
      </c>
      <c r="E19" s="225">
        <v>0.94594594594594594</v>
      </c>
      <c r="F19" s="225">
        <v>3.9144144144144142</v>
      </c>
      <c r="G19" s="225">
        <v>0.81081081081081074</v>
      </c>
      <c r="H19" s="225">
        <v>0.6576576576576576</v>
      </c>
      <c r="I19" s="225">
        <v>1.2252252252252254</v>
      </c>
      <c r="J19" s="225">
        <v>0</v>
      </c>
      <c r="K19" s="225">
        <v>0.84234234234234229</v>
      </c>
      <c r="L19" s="225">
        <v>0.46396396396396394</v>
      </c>
      <c r="M19" s="225">
        <v>0.73873873873873874</v>
      </c>
      <c r="N19" s="225">
        <v>0.80630630630630629</v>
      </c>
      <c r="O19" s="225">
        <v>0.6576576576576576</v>
      </c>
      <c r="P19" s="225">
        <v>0.27612612612612614</v>
      </c>
      <c r="Q19" s="225">
        <v>0.56756756756756754</v>
      </c>
      <c r="R19" s="225">
        <v>1.5045045045045047</v>
      </c>
      <c r="S19" s="225">
        <v>1.5585585585585584</v>
      </c>
      <c r="T19" s="225">
        <v>1.1936936936936937</v>
      </c>
      <c r="U19" s="225">
        <v>0.63963963963963955</v>
      </c>
      <c r="V19" s="225">
        <v>0.54954954954954949</v>
      </c>
      <c r="W19" s="225">
        <v>1.5450450450450453</v>
      </c>
      <c r="X19" s="228">
        <v>7.5225225225225225</v>
      </c>
      <c r="Y19" s="227">
        <v>0.81981981981981977</v>
      </c>
      <c r="Z19" s="225">
        <v>0.69369369369369371</v>
      </c>
      <c r="AA19" s="225">
        <v>0.56306306306306309</v>
      </c>
      <c r="AB19" s="228">
        <v>0.89189189189189189</v>
      </c>
    </row>
    <row r="20" spans="1:28">
      <c r="A20" s="238" t="s">
        <v>399</v>
      </c>
      <c r="B20" s="227">
        <v>1</v>
      </c>
      <c r="C20" s="225">
        <v>0.51351351351351349</v>
      </c>
      <c r="D20" s="225">
        <v>0</v>
      </c>
      <c r="E20" s="225">
        <v>0</v>
      </c>
      <c r="F20" s="225">
        <v>0.56756756756756754</v>
      </c>
      <c r="G20" s="225">
        <v>1.1853281853281854</v>
      </c>
      <c r="H20" s="225">
        <v>0.78378378378378377</v>
      </c>
      <c r="I20" s="225">
        <v>1.0772200772200773</v>
      </c>
      <c r="J20" s="225">
        <v>0</v>
      </c>
      <c r="K20" s="225">
        <v>1.0888030888030888</v>
      </c>
      <c r="L20" s="225">
        <v>0.25444015444015444</v>
      </c>
      <c r="M20" s="225">
        <v>2.528957528957529</v>
      </c>
      <c r="N20" s="225">
        <v>1.969111969111969</v>
      </c>
      <c r="O20" s="225">
        <v>0</v>
      </c>
      <c r="P20" s="225">
        <v>0</v>
      </c>
      <c r="Q20" s="225">
        <v>1.3204633204633205</v>
      </c>
      <c r="R20" s="225">
        <v>18.108108108108109</v>
      </c>
      <c r="S20" s="225">
        <v>2.16988416988417</v>
      </c>
      <c r="T20" s="225">
        <v>0.54826254826254828</v>
      </c>
      <c r="U20" s="225">
        <v>0.48648648648648651</v>
      </c>
      <c r="V20" s="225">
        <v>0</v>
      </c>
      <c r="W20" s="225">
        <v>1.6988416988416988</v>
      </c>
      <c r="X20" s="228">
        <v>1.9034749034749034</v>
      </c>
      <c r="Y20" s="227">
        <v>5.6370656370656365</v>
      </c>
      <c r="Z20" s="225">
        <v>0</v>
      </c>
      <c r="AA20" s="225">
        <v>0</v>
      </c>
      <c r="AB20" s="228">
        <v>0</v>
      </c>
    </row>
    <row r="21" spans="1:28">
      <c r="A21" s="238" t="s">
        <v>343</v>
      </c>
      <c r="B21" s="223"/>
      <c r="C21" s="216">
        <v>2.4799999999999999E-2</v>
      </c>
      <c r="D21" s="216">
        <v>3.9199999999999999E-2</v>
      </c>
      <c r="E21" s="216">
        <v>1.6199999999999999E-3</v>
      </c>
      <c r="F21" s="216">
        <v>2.3099999999999999E-2</v>
      </c>
      <c r="G21" s="216">
        <v>4.6600000000000003E-2</v>
      </c>
      <c r="H21" s="216">
        <v>3.1800000000000002E-2</v>
      </c>
      <c r="I21" s="216">
        <v>5.1799999999999999E-2</v>
      </c>
      <c r="J21" s="222"/>
      <c r="K21" s="222"/>
      <c r="L21" s="222"/>
      <c r="M21" s="222"/>
      <c r="N21" s="222"/>
      <c r="O21" s="222"/>
      <c r="P21" s="222"/>
      <c r="Q21" s="222"/>
      <c r="R21" s="216">
        <v>9.2200000000000004E-2</v>
      </c>
      <c r="S21" s="216">
        <v>4.1300000000000003E-2</v>
      </c>
      <c r="T21" s="216">
        <v>3.4299999999999997E-2</v>
      </c>
      <c r="U21" s="222"/>
      <c r="V21" s="222"/>
      <c r="W21" s="222"/>
      <c r="X21" s="234">
        <v>2.93E-2</v>
      </c>
      <c r="Y21" s="223"/>
      <c r="Z21" s="222"/>
      <c r="AA21" s="222"/>
      <c r="AB21" s="224"/>
    </row>
    <row r="22" spans="1:28">
      <c r="A22" s="238" t="s">
        <v>747</v>
      </c>
      <c r="B22" s="227">
        <v>1</v>
      </c>
      <c r="C22" s="225">
        <v>1.0718038528896674</v>
      </c>
      <c r="D22" s="225">
        <v>1.2416812609457093</v>
      </c>
      <c r="E22" s="225">
        <v>0.73204903677758326</v>
      </c>
      <c r="F22" s="225">
        <v>0.89667250437828383</v>
      </c>
      <c r="G22" s="225">
        <v>1.8563922942206657</v>
      </c>
      <c r="H22" s="225">
        <v>1.2539404553415061</v>
      </c>
      <c r="I22" s="225">
        <v>1.3345008756567427</v>
      </c>
      <c r="J22" s="225">
        <v>0.95096322241681275</v>
      </c>
      <c r="K22" s="225">
        <v>1.1418563922942209</v>
      </c>
      <c r="L22" s="225">
        <v>0.64273204903677761</v>
      </c>
      <c r="M22" s="225">
        <v>0.58493870402802106</v>
      </c>
      <c r="N22" s="225">
        <v>1.297723292469352</v>
      </c>
      <c r="O22" s="225">
        <v>0.68651488616462353</v>
      </c>
      <c r="P22" s="225">
        <v>0.70227670753064808</v>
      </c>
      <c r="Q22" s="225">
        <v>1.1225919439579686</v>
      </c>
      <c r="R22" s="225">
        <v>0.38528896672504381</v>
      </c>
      <c r="S22" s="225">
        <v>0.90718038528896683</v>
      </c>
      <c r="T22" s="225">
        <v>1.3730297723292471</v>
      </c>
      <c r="U22" s="225">
        <v>0.68826619964973734</v>
      </c>
      <c r="V22" s="225">
        <v>0.91243432574430838</v>
      </c>
      <c r="W22" s="225">
        <v>1.17338003502627</v>
      </c>
      <c r="X22" s="228">
        <v>1.1803852889667252</v>
      </c>
      <c r="Y22" s="227">
        <v>0.93695271453590201</v>
      </c>
      <c r="Z22" s="225">
        <v>0.75656742556917689</v>
      </c>
      <c r="AA22" s="225">
        <v>1.1436077057793346</v>
      </c>
      <c r="AB22" s="228">
        <v>2.5569176882661999</v>
      </c>
    </row>
    <row r="23" spans="1:28">
      <c r="A23" s="238" t="s">
        <v>763</v>
      </c>
      <c r="B23" s="227">
        <v>1</v>
      </c>
      <c r="C23" s="225">
        <v>0.58362989323843417</v>
      </c>
      <c r="D23" s="225">
        <v>0.66548042704626331</v>
      </c>
      <c r="E23" s="225">
        <v>0.4217081850533807</v>
      </c>
      <c r="F23" s="225">
        <v>0.56761565836298933</v>
      </c>
      <c r="G23" s="225">
        <v>1.1921708185053381</v>
      </c>
      <c r="H23" s="225">
        <v>1.199288256227758</v>
      </c>
      <c r="I23" s="225">
        <v>1.2526690391459072</v>
      </c>
      <c r="J23" s="225">
        <v>0.98398576512455516</v>
      </c>
      <c r="K23" s="225">
        <v>1.185053380782918</v>
      </c>
      <c r="L23" s="225">
        <v>0.54804270462633442</v>
      </c>
      <c r="M23" s="225">
        <v>0.66903914590747326</v>
      </c>
      <c r="N23" s="225">
        <v>1.279359430604982</v>
      </c>
      <c r="O23" s="225">
        <v>0.57117437722419928</v>
      </c>
      <c r="P23" s="225">
        <v>0.4377224199288256</v>
      </c>
      <c r="Q23" s="225">
        <v>1.1103202846975089</v>
      </c>
      <c r="R23" s="225">
        <v>0.48576512455516013</v>
      </c>
      <c r="S23" s="225">
        <v>2.1530249110320283</v>
      </c>
      <c r="T23" s="225">
        <v>1.6405693950177935</v>
      </c>
      <c r="U23" s="225">
        <v>1.0355871886120995</v>
      </c>
      <c r="V23" s="225">
        <v>0.65658362989323837</v>
      </c>
      <c r="W23" s="225">
        <v>0.95551601423487542</v>
      </c>
      <c r="X23" s="228">
        <v>0.91281138790035576</v>
      </c>
      <c r="Y23" s="227">
        <v>0.56761565836298933</v>
      </c>
      <c r="Z23" s="225">
        <v>0.41637010676156583</v>
      </c>
      <c r="AA23" s="225">
        <v>0.69572953736654797</v>
      </c>
      <c r="AB23" s="228">
        <v>1.7170818505338077</v>
      </c>
    </row>
    <row r="24" spans="1:28">
      <c r="A24" s="238" t="s">
        <v>767</v>
      </c>
      <c r="B24" s="227">
        <v>1</v>
      </c>
      <c r="C24" s="225">
        <v>0.62882096069868987</v>
      </c>
      <c r="D24" s="225">
        <v>0.60698689956331886</v>
      </c>
      <c r="E24" s="225">
        <v>0.80349344978165937</v>
      </c>
      <c r="F24" s="225">
        <v>0.59388646288209612</v>
      </c>
      <c r="G24" s="225">
        <v>1.0829694323144103</v>
      </c>
      <c r="H24" s="225">
        <v>1.0917030567685588</v>
      </c>
      <c r="I24" s="225">
        <v>1.0349344978165937</v>
      </c>
      <c r="J24" s="225">
        <v>0.89082969432314396</v>
      </c>
      <c r="K24" s="225">
        <v>0.8733624454148472</v>
      </c>
      <c r="L24" s="225">
        <v>0.55458515283842791</v>
      </c>
      <c r="M24" s="225">
        <v>0.51965065502183405</v>
      </c>
      <c r="N24" s="225">
        <v>0.8733624454148472</v>
      </c>
      <c r="O24" s="225">
        <v>0.69868995633187769</v>
      </c>
      <c r="P24" s="225">
        <v>0.41091703056768558</v>
      </c>
      <c r="Q24" s="225">
        <v>0.93449781659388642</v>
      </c>
      <c r="R24" s="225">
        <v>0.67685589519650646</v>
      </c>
      <c r="S24" s="225">
        <v>1.5414847161572052</v>
      </c>
      <c r="T24" s="225">
        <v>1.1965065502183407</v>
      </c>
      <c r="U24" s="225">
        <v>0.92576419213973793</v>
      </c>
      <c r="V24" s="225">
        <v>0.62882096069868987</v>
      </c>
      <c r="W24" s="225">
        <v>0.85152838427947597</v>
      </c>
      <c r="X24" s="228">
        <v>0.84716157205240172</v>
      </c>
      <c r="Y24" s="227">
        <v>0.51965065502183405</v>
      </c>
      <c r="Z24" s="225">
        <v>0.47161572052401746</v>
      </c>
      <c r="AA24" s="225">
        <v>0.68122270742358071</v>
      </c>
      <c r="AB24" s="226"/>
    </row>
    <row r="25" spans="1:28">
      <c r="A25" s="238" t="s">
        <v>768</v>
      </c>
      <c r="B25" s="227">
        <v>1</v>
      </c>
      <c r="C25" s="225">
        <v>0.69346733668341709</v>
      </c>
      <c r="D25" s="225">
        <v>0.8492462311557788</v>
      </c>
      <c r="E25" s="225">
        <v>0.74874371859296474</v>
      </c>
      <c r="F25" s="225">
        <v>1.1457286432160805</v>
      </c>
      <c r="G25" s="225">
        <v>0.85929648241206025</v>
      </c>
      <c r="H25" s="225">
        <v>0.47236180904522612</v>
      </c>
      <c r="I25" s="225">
        <v>0.38693467336683418</v>
      </c>
      <c r="J25" s="225">
        <v>0.7386934673366834</v>
      </c>
      <c r="K25" s="225">
        <v>1.8894472361809045</v>
      </c>
      <c r="L25" s="225">
        <v>0.44070351758793969</v>
      </c>
      <c r="M25" s="225">
        <v>0.542713567839196</v>
      </c>
      <c r="N25" s="225">
        <v>1.0201005025125627</v>
      </c>
      <c r="O25" s="225">
        <v>1.0301507537688441</v>
      </c>
      <c r="P25" s="225">
        <v>0.6733668341708543</v>
      </c>
      <c r="Q25" s="225">
        <v>1.0904522613065326</v>
      </c>
      <c r="R25" s="225">
        <v>1.0452261306532662</v>
      </c>
      <c r="S25" s="225">
        <v>1.5125628140703515</v>
      </c>
      <c r="T25" s="225">
        <v>0.88442211055276387</v>
      </c>
      <c r="U25" s="225">
        <v>1.3015075376884422</v>
      </c>
      <c r="V25" s="225">
        <v>0.53768844221105527</v>
      </c>
      <c r="W25" s="225">
        <v>0.71356783919597988</v>
      </c>
      <c r="X25" s="228">
        <v>0</v>
      </c>
      <c r="Y25" s="227">
        <v>0.62311557788944716</v>
      </c>
      <c r="Z25" s="225">
        <v>0.4658291457286432</v>
      </c>
      <c r="AA25" s="225">
        <v>0.6733668341708543</v>
      </c>
      <c r="AB25" s="228">
        <v>0.7839195979899497</v>
      </c>
    </row>
    <row r="26" spans="1:28">
      <c r="A26" s="238" t="s">
        <v>775</v>
      </c>
      <c r="B26" s="227">
        <v>1</v>
      </c>
      <c r="C26" s="225">
        <v>0.4894308943089431</v>
      </c>
      <c r="D26" s="225">
        <v>0.31869918699186994</v>
      </c>
      <c r="E26" s="225">
        <v>0.16260162601626019</v>
      </c>
      <c r="F26" s="225">
        <v>0.1821138211382114</v>
      </c>
      <c r="G26" s="225">
        <v>1.2682926829268293</v>
      </c>
      <c r="H26" s="225">
        <v>1.5609756097560976</v>
      </c>
      <c r="I26" s="225">
        <v>1.3658536585365852</v>
      </c>
      <c r="J26" s="225">
        <v>1.4796747967479675</v>
      </c>
      <c r="K26" s="225">
        <v>1.2601626016260163</v>
      </c>
      <c r="L26" s="225">
        <v>0.39349593495934959</v>
      </c>
      <c r="M26" s="225">
        <v>0.65609756097560978</v>
      </c>
      <c r="N26" s="225">
        <v>1.3252032520325203</v>
      </c>
      <c r="O26" s="225">
        <v>0.30406504065040652</v>
      </c>
      <c r="P26" s="225">
        <v>0.23739837398373984</v>
      </c>
      <c r="Q26" s="225">
        <v>1.4065040650406504</v>
      </c>
      <c r="R26" s="225">
        <v>0.63495934959349598</v>
      </c>
      <c r="S26" s="225">
        <v>2.0162601626016259</v>
      </c>
      <c r="T26" s="225">
        <v>1.4308943089430894</v>
      </c>
      <c r="U26" s="225">
        <v>1.9186991869918699</v>
      </c>
      <c r="V26" s="225">
        <v>1.0162601626016261</v>
      </c>
      <c r="W26" s="225">
        <v>1.1382113821138211</v>
      </c>
      <c r="X26" s="228">
        <v>1.3577235772357723</v>
      </c>
      <c r="Y26" s="227">
        <v>0.26991869918699191</v>
      </c>
      <c r="Z26" s="225">
        <v>0.22601626016260165</v>
      </c>
      <c r="AA26" s="225">
        <v>0.25365853658536586</v>
      </c>
      <c r="AB26" s="228">
        <v>0.673170731707317</v>
      </c>
    </row>
    <row r="27" spans="1:28">
      <c r="A27" s="238" t="s">
        <v>777</v>
      </c>
      <c r="B27" s="227">
        <v>1</v>
      </c>
      <c r="C27" s="225">
        <v>0.46570972886762357</v>
      </c>
      <c r="D27" s="225">
        <v>0.25199362041467305</v>
      </c>
      <c r="E27" s="225">
        <v>0.15342902711323764</v>
      </c>
      <c r="F27" s="225">
        <v>0.14226475279106859</v>
      </c>
      <c r="G27" s="225">
        <v>1.0845295055821373</v>
      </c>
      <c r="H27" s="225">
        <v>1.2982456140350875</v>
      </c>
      <c r="I27" s="225">
        <v>1.0318979266347688</v>
      </c>
      <c r="J27" s="225">
        <v>1.1866028708133971</v>
      </c>
      <c r="K27" s="225">
        <v>0.97288676236044658</v>
      </c>
      <c r="L27" s="225">
        <v>0.38277511961722488</v>
      </c>
      <c r="M27" s="225">
        <v>0.50558213716108458</v>
      </c>
      <c r="N27" s="225">
        <v>0.8564593301435407</v>
      </c>
      <c r="O27" s="225">
        <v>0.26315789473684209</v>
      </c>
      <c r="P27" s="225">
        <v>0.20893141945773525</v>
      </c>
      <c r="Q27" s="225">
        <v>1.1738437001594897</v>
      </c>
      <c r="R27" s="225">
        <v>0.77033492822966509</v>
      </c>
      <c r="S27" s="225">
        <v>1.9138755980861244</v>
      </c>
      <c r="T27" s="225">
        <v>1.7543859649122808</v>
      </c>
      <c r="U27" s="225">
        <v>1.3110047846889952</v>
      </c>
      <c r="V27" s="225">
        <v>0.78947368421052633</v>
      </c>
      <c r="W27" s="225">
        <v>0.95055821371610838</v>
      </c>
      <c r="X27" s="228">
        <v>1.0781499202551834</v>
      </c>
      <c r="Y27" s="227">
        <v>0.23125996810207336</v>
      </c>
      <c r="Z27" s="225">
        <v>0.23763955342902709</v>
      </c>
      <c r="AA27" s="225">
        <v>0.23444976076555021</v>
      </c>
      <c r="AB27" s="228">
        <v>1.3253588516746411</v>
      </c>
    </row>
    <row r="28" spans="1:28">
      <c r="A28" s="238" t="s">
        <v>781</v>
      </c>
      <c r="B28" s="227">
        <v>1</v>
      </c>
      <c r="C28" s="225">
        <v>0.41259842519685042</v>
      </c>
      <c r="D28" s="225">
        <v>0</v>
      </c>
      <c r="E28" s="225">
        <v>0</v>
      </c>
      <c r="F28" s="225">
        <v>0</v>
      </c>
      <c r="G28" s="225">
        <v>0.80314960629921273</v>
      </c>
      <c r="H28" s="225">
        <v>0.52440944881889762</v>
      </c>
      <c r="I28" s="225">
        <v>0.73228346456692905</v>
      </c>
      <c r="J28" s="225">
        <v>0.54645669291338583</v>
      </c>
      <c r="K28" s="225">
        <v>0</v>
      </c>
      <c r="L28" s="225">
        <v>0</v>
      </c>
      <c r="M28" s="225">
        <v>0</v>
      </c>
      <c r="N28" s="225">
        <v>0.49606299212598426</v>
      </c>
      <c r="O28" s="225">
        <v>0</v>
      </c>
      <c r="P28" s="225">
        <v>0</v>
      </c>
      <c r="Q28" s="225">
        <v>1.5984251968503937</v>
      </c>
      <c r="R28" s="225">
        <v>0.8582677165354331</v>
      </c>
      <c r="S28" s="225">
        <v>1.7401574803149609</v>
      </c>
      <c r="T28" s="225">
        <v>1.6535433070866143</v>
      </c>
      <c r="U28" s="225">
        <v>0.96062992125984259</v>
      </c>
      <c r="V28" s="225">
        <v>0.96062992125984259</v>
      </c>
      <c r="W28" s="225">
        <v>1.204724409448819</v>
      </c>
      <c r="X28" s="228">
        <v>1.1338582677165354</v>
      </c>
      <c r="Y28" s="227">
        <v>0</v>
      </c>
      <c r="Z28" s="225">
        <v>0</v>
      </c>
      <c r="AA28" s="225">
        <v>0</v>
      </c>
      <c r="AB28" s="228">
        <v>0</v>
      </c>
    </row>
    <row r="29" spans="1:28">
      <c r="A29" s="238" t="s">
        <v>785</v>
      </c>
      <c r="B29" s="227">
        <v>1</v>
      </c>
      <c r="C29" s="225">
        <v>0.71944444444444444</v>
      </c>
      <c r="D29" s="225">
        <v>0.71111111111111114</v>
      </c>
      <c r="E29" s="225">
        <v>0.95000000000000007</v>
      </c>
      <c r="F29" s="225">
        <v>0.5083333333333333</v>
      </c>
      <c r="G29" s="225">
        <v>1.3069444444444445</v>
      </c>
      <c r="H29" s="225">
        <v>1.1444444444444444</v>
      </c>
      <c r="I29" s="225">
        <v>1.288888888888889</v>
      </c>
      <c r="J29" s="225">
        <v>1.0986111111111112</v>
      </c>
      <c r="K29" s="225">
        <v>0.85</v>
      </c>
      <c r="L29" s="225">
        <v>0.49861111111111112</v>
      </c>
      <c r="M29" s="225">
        <v>0.67222222222222228</v>
      </c>
      <c r="N29" s="225">
        <v>0.84166666666666667</v>
      </c>
      <c r="O29" s="225">
        <v>1.4027777777777779</v>
      </c>
      <c r="P29" s="225">
        <v>0.42083333333333334</v>
      </c>
      <c r="Q29" s="225">
        <v>1.3680555555555556</v>
      </c>
      <c r="R29" s="225">
        <v>0.93472222222222234</v>
      </c>
      <c r="S29" s="225">
        <v>1.0944444444444446</v>
      </c>
      <c r="T29" s="225">
        <v>1.2083333333333335</v>
      </c>
      <c r="U29" s="225">
        <v>1.0277777777777779</v>
      </c>
      <c r="V29" s="225">
        <v>0.77361111111111125</v>
      </c>
      <c r="W29" s="225">
        <v>0.8305555555555556</v>
      </c>
      <c r="X29" s="228">
        <v>0.8666666666666667</v>
      </c>
      <c r="Y29" s="227">
        <v>0.43888888888888888</v>
      </c>
      <c r="Z29" s="225">
        <v>0.41111111111111109</v>
      </c>
      <c r="AA29" s="225">
        <v>0.56666666666666665</v>
      </c>
      <c r="AB29" s="228">
        <v>1.9027777777777779</v>
      </c>
    </row>
    <row r="30" spans="1:28">
      <c r="A30" s="238" t="s">
        <v>787</v>
      </c>
      <c r="B30" s="219"/>
      <c r="C30" s="218"/>
      <c r="D30" s="218"/>
      <c r="E30" s="218"/>
      <c r="F30" s="218"/>
      <c r="G30" s="218"/>
      <c r="H30" s="218"/>
      <c r="I30" s="218"/>
      <c r="J30" s="218"/>
      <c r="K30" s="218"/>
      <c r="L30" s="218"/>
      <c r="M30" s="218"/>
      <c r="N30" s="218"/>
      <c r="O30" s="218"/>
      <c r="P30" s="218"/>
      <c r="Q30" s="218"/>
      <c r="R30" s="218"/>
      <c r="S30" s="217">
        <v>0.10199999999999999</v>
      </c>
      <c r="T30" s="217">
        <v>2.4500000000000001E-2</v>
      </c>
      <c r="U30" s="217">
        <v>0.224</v>
      </c>
      <c r="V30" s="217">
        <v>0.121</v>
      </c>
      <c r="W30" s="217">
        <v>0.16600000000000001</v>
      </c>
      <c r="X30" s="235">
        <v>0.15</v>
      </c>
      <c r="Y30" s="219"/>
      <c r="Z30" s="218"/>
      <c r="AA30" s="218"/>
      <c r="AB30" s="220"/>
    </row>
    <row r="31" spans="1:28">
      <c r="A31" s="238" t="s">
        <v>788</v>
      </c>
      <c r="B31" s="227">
        <v>1</v>
      </c>
      <c r="C31" s="225">
        <v>0.64490263459335628</v>
      </c>
      <c r="D31" s="225">
        <v>0.76861397479954185</v>
      </c>
      <c r="E31" s="225">
        <v>0.30240549828178692</v>
      </c>
      <c r="F31" s="225">
        <v>0.42382588774341351</v>
      </c>
      <c r="G31" s="225">
        <v>1.8556701030927836</v>
      </c>
      <c r="H31" s="225">
        <v>1.8900343642611683</v>
      </c>
      <c r="I31" s="225">
        <v>2.0160366552119129</v>
      </c>
      <c r="J31" s="225">
        <v>1.6151202749140892</v>
      </c>
      <c r="K31" s="225">
        <v>1.2485681557846506</v>
      </c>
      <c r="L31" s="225">
        <v>0.29553264604810997</v>
      </c>
      <c r="M31" s="225">
        <v>0.44444444444444442</v>
      </c>
      <c r="N31" s="225">
        <v>1.1912943871706758</v>
      </c>
      <c r="O31" s="225">
        <v>0.75028636884306987</v>
      </c>
      <c r="P31" s="225">
        <v>0.59793814432989689</v>
      </c>
      <c r="Q31" s="225">
        <v>2.0733104238258875</v>
      </c>
      <c r="R31" s="225">
        <v>1.2027491408934707</v>
      </c>
      <c r="S31" s="225">
        <v>2.1191294387170676</v>
      </c>
      <c r="T31" s="225">
        <v>1.7754868270332187</v>
      </c>
      <c r="U31" s="225">
        <v>1.3402061855670104</v>
      </c>
      <c r="V31" s="225">
        <v>0.7743413516609392</v>
      </c>
      <c r="W31" s="225">
        <v>1.5120274914089347</v>
      </c>
      <c r="X31" s="228">
        <v>1.2027491408934707</v>
      </c>
      <c r="Y31" s="227">
        <v>0.44558991981672391</v>
      </c>
      <c r="Z31" s="225">
        <v>0.52691867124856817</v>
      </c>
      <c r="AA31" s="225">
        <v>0.78808705612829322</v>
      </c>
      <c r="AB31" s="228">
        <v>1.5349369988545247</v>
      </c>
    </row>
    <row r="32" spans="1:28">
      <c r="A32" s="238" t="s">
        <v>789</v>
      </c>
      <c r="B32" s="227">
        <v>1</v>
      </c>
      <c r="C32" s="225">
        <v>0</v>
      </c>
      <c r="D32" s="225">
        <v>0</v>
      </c>
      <c r="E32" s="225">
        <v>0</v>
      </c>
      <c r="F32" s="225">
        <v>0</v>
      </c>
      <c r="G32" s="225">
        <v>0.8404907975460123</v>
      </c>
      <c r="H32" s="225">
        <v>0.8404907975460123</v>
      </c>
      <c r="I32" s="225">
        <v>0.80368098159509205</v>
      </c>
      <c r="J32" s="225">
        <v>0</v>
      </c>
      <c r="K32" s="225">
        <v>0</v>
      </c>
      <c r="L32" s="225">
        <v>0</v>
      </c>
      <c r="M32" s="225">
        <v>0</v>
      </c>
      <c r="N32" s="225">
        <v>0</v>
      </c>
      <c r="O32" s="225">
        <v>0</v>
      </c>
      <c r="P32" s="225">
        <v>0</v>
      </c>
      <c r="Q32" s="225">
        <v>0</v>
      </c>
      <c r="R32" s="225">
        <v>0</v>
      </c>
      <c r="S32" s="225">
        <v>0.754601226993865</v>
      </c>
      <c r="T32" s="225">
        <v>0.35337423312883431</v>
      </c>
      <c r="U32" s="225">
        <v>0</v>
      </c>
      <c r="V32" s="225">
        <v>0</v>
      </c>
      <c r="W32" s="225">
        <v>0</v>
      </c>
      <c r="X32" s="228">
        <v>0</v>
      </c>
      <c r="Y32" s="227">
        <v>0</v>
      </c>
      <c r="Z32" s="225">
        <v>0</v>
      </c>
      <c r="AA32" s="225">
        <v>0</v>
      </c>
      <c r="AB32" s="228">
        <v>0</v>
      </c>
    </row>
    <row r="33" spans="1:32" ht="15.95" thickBot="1">
      <c r="A33" s="239" t="s">
        <v>790</v>
      </c>
      <c r="B33" s="229">
        <v>1</v>
      </c>
      <c r="C33" s="230">
        <v>0.81647940074906367</v>
      </c>
      <c r="D33" s="230">
        <v>0.90262172284644193</v>
      </c>
      <c r="E33" s="230">
        <v>0</v>
      </c>
      <c r="F33" s="230">
        <v>0.29775280898876405</v>
      </c>
      <c r="G33" s="230">
        <v>2.0561797752808988</v>
      </c>
      <c r="H33" s="230">
        <v>1.6853932584269662</v>
      </c>
      <c r="I33" s="230">
        <v>1.6629213483146068</v>
      </c>
      <c r="J33" s="230">
        <v>1.5543071161048689</v>
      </c>
      <c r="K33" s="230">
        <v>0</v>
      </c>
      <c r="L33" s="230">
        <v>0.25580524344569289</v>
      </c>
      <c r="M33" s="230">
        <v>0</v>
      </c>
      <c r="N33" s="230">
        <v>0</v>
      </c>
      <c r="O33" s="230">
        <v>0.24194756554307112</v>
      </c>
      <c r="P33" s="230">
        <v>0.1299625468164794</v>
      </c>
      <c r="Q33" s="230">
        <v>1.9775280898876404</v>
      </c>
      <c r="R33" s="230">
        <v>1.3295880149812733</v>
      </c>
      <c r="S33" s="230">
        <v>1.7602996254681647</v>
      </c>
      <c r="T33" s="230">
        <v>1.146067415730337</v>
      </c>
      <c r="U33" s="230">
        <v>1.6179775280898876</v>
      </c>
      <c r="V33" s="230">
        <v>0.55805243445692876</v>
      </c>
      <c r="W33" s="230">
        <v>1.4157303370786516</v>
      </c>
      <c r="X33" s="231">
        <v>0.39325842696629215</v>
      </c>
      <c r="Y33" s="229">
        <v>0.56554307116104863</v>
      </c>
      <c r="Z33" s="230">
        <v>0.3</v>
      </c>
      <c r="AA33" s="230">
        <v>0.40823970037453183</v>
      </c>
      <c r="AB33" s="231">
        <v>1.3820224719101124</v>
      </c>
    </row>
    <row r="34" spans="1:32" ht="15.95" thickBot="1"/>
    <row r="35" spans="1:32">
      <c r="A35" s="97" t="s">
        <v>72</v>
      </c>
      <c r="B35" s="232" t="s">
        <v>1140</v>
      </c>
      <c r="C35" s="38" t="s">
        <v>74</v>
      </c>
      <c r="D35" s="38" t="s">
        <v>75</v>
      </c>
      <c r="E35" s="38" t="s">
        <v>76</v>
      </c>
      <c r="F35" s="38" t="s">
        <v>78</v>
      </c>
      <c r="G35" s="38" t="s">
        <v>79</v>
      </c>
      <c r="H35" s="38" t="s">
        <v>80</v>
      </c>
      <c r="I35" s="38" t="s">
        <v>81</v>
      </c>
      <c r="J35" s="38" t="s">
        <v>83</v>
      </c>
      <c r="K35" s="38" t="s">
        <v>84</v>
      </c>
      <c r="L35" s="38" t="s">
        <v>85</v>
      </c>
      <c r="M35" s="38" t="s">
        <v>86</v>
      </c>
      <c r="N35" s="38" t="s">
        <v>87</v>
      </c>
      <c r="O35" s="38" t="s">
        <v>88</v>
      </c>
      <c r="P35" s="38" t="s">
        <v>89</v>
      </c>
      <c r="Q35" s="38" t="s">
        <v>90</v>
      </c>
      <c r="R35" s="38" t="s">
        <v>91</v>
      </c>
      <c r="S35" s="38" t="s">
        <v>92</v>
      </c>
      <c r="T35" s="38" t="s">
        <v>93</v>
      </c>
      <c r="U35" s="38" t="s">
        <v>94</v>
      </c>
      <c r="V35" s="38" t="s">
        <v>95</v>
      </c>
      <c r="W35" s="38" t="s">
        <v>96</v>
      </c>
      <c r="X35" s="38" t="s">
        <v>97</v>
      </c>
      <c r="Y35" s="38" t="s">
        <v>98</v>
      </c>
      <c r="Z35" s="38" t="s">
        <v>99</v>
      </c>
      <c r="AA35" s="38" t="s">
        <v>100</v>
      </c>
      <c r="AB35" s="38" t="s">
        <v>101</v>
      </c>
      <c r="AC35" s="38" t="s">
        <v>105</v>
      </c>
      <c r="AD35" s="38" t="s">
        <v>106</v>
      </c>
      <c r="AE35" s="38" t="s">
        <v>107</v>
      </c>
      <c r="AF35" s="57" t="s">
        <v>212</v>
      </c>
    </row>
    <row r="36" spans="1:32">
      <c r="A36" s="237" t="s">
        <v>1142</v>
      </c>
      <c r="B36" s="233" t="s">
        <v>1143</v>
      </c>
      <c r="C36" s="79" t="s">
        <v>112</v>
      </c>
      <c r="D36" s="79" t="s">
        <v>113</v>
      </c>
      <c r="E36" s="79" t="s">
        <v>114</v>
      </c>
      <c r="F36" s="79" t="s">
        <v>116</v>
      </c>
      <c r="G36" s="79" t="s">
        <v>117</v>
      </c>
      <c r="H36" s="79" t="s">
        <v>118</v>
      </c>
      <c r="I36" s="79" t="s">
        <v>119</v>
      </c>
      <c r="J36" s="79" t="s">
        <v>121</v>
      </c>
      <c r="K36" s="79" t="s">
        <v>122</v>
      </c>
      <c r="L36" s="79" t="s">
        <v>123</v>
      </c>
      <c r="M36" s="79" t="s">
        <v>124</v>
      </c>
      <c r="N36" s="79" t="s">
        <v>125</v>
      </c>
      <c r="O36" s="79" t="s">
        <v>126</v>
      </c>
      <c r="P36" s="79" t="s">
        <v>127</v>
      </c>
      <c r="Q36" s="79" t="s">
        <v>128</v>
      </c>
      <c r="R36" s="79" t="s">
        <v>129</v>
      </c>
      <c r="S36" s="79" t="s">
        <v>130</v>
      </c>
      <c r="T36" s="79" t="s">
        <v>131</v>
      </c>
      <c r="U36" s="79" t="s">
        <v>132</v>
      </c>
      <c r="V36" s="79" t="s">
        <v>133</v>
      </c>
      <c r="W36" s="79" t="s">
        <v>134</v>
      </c>
      <c r="X36" s="79" t="s">
        <v>135</v>
      </c>
      <c r="Y36" s="79" t="s">
        <v>136</v>
      </c>
      <c r="Z36" s="79" t="s">
        <v>137</v>
      </c>
      <c r="AA36" s="79" t="s">
        <v>138</v>
      </c>
      <c r="AB36" s="79" t="s">
        <v>139</v>
      </c>
      <c r="AC36" s="79" t="s">
        <v>142</v>
      </c>
      <c r="AD36" s="79" t="s">
        <v>143</v>
      </c>
      <c r="AE36" s="79" t="s">
        <v>144</v>
      </c>
      <c r="AF36" s="81" t="s">
        <v>214</v>
      </c>
    </row>
    <row r="37" spans="1:32">
      <c r="A37" s="13" t="s">
        <v>853</v>
      </c>
      <c r="B37" s="240">
        <f>AVERAGE(AC37,AD37,AE37,AF37)</f>
        <v>8.8599999999999998E-3</v>
      </c>
      <c r="C37" s="35">
        <v>7.43E-3</v>
      </c>
      <c r="D37" s="35">
        <v>8.9599999999999992E-3</v>
      </c>
      <c r="E37" s="35">
        <v>0.127</v>
      </c>
      <c r="F37" s="35">
        <v>9.8300000000000002E-3</v>
      </c>
      <c r="G37" s="35">
        <v>1.04E-2</v>
      </c>
      <c r="H37" s="35">
        <v>7.2399999999999999E-3</v>
      </c>
      <c r="I37" s="35">
        <v>8.7900000000000006E-2</v>
      </c>
      <c r="J37" s="35">
        <v>4.9399999999999999E-3</v>
      </c>
      <c r="K37" s="35">
        <v>1.2200000000000001E-2</v>
      </c>
      <c r="L37" s="35">
        <v>1.12E-2</v>
      </c>
      <c r="M37" s="35">
        <v>1.97E-3</v>
      </c>
      <c r="N37" s="35">
        <v>0</v>
      </c>
      <c r="O37" s="35">
        <v>9.5899999999999996E-3</v>
      </c>
      <c r="P37" s="35">
        <v>6.9499999999999996E-3</v>
      </c>
      <c r="Q37" s="35">
        <v>1.5100000000000001E-2</v>
      </c>
      <c r="R37" s="35">
        <v>3.4499999999999999E-3</v>
      </c>
      <c r="S37" s="35">
        <v>9.2999999999999992E-3</v>
      </c>
      <c r="T37" s="35">
        <v>9.0100000000000006E-3</v>
      </c>
      <c r="U37" s="35">
        <v>5.7000000000000002E-3</v>
      </c>
      <c r="V37" s="35">
        <v>8.5299999999999994E-3</v>
      </c>
      <c r="W37" s="35">
        <v>9.92E-3</v>
      </c>
      <c r="X37" s="35">
        <v>9.5399999999999999E-3</v>
      </c>
      <c r="Y37" s="35">
        <v>3.31E-3</v>
      </c>
      <c r="Z37" s="35">
        <v>4.5500000000000002E-3</v>
      </c>
      <c r="AA37" s="35">
        <v>4.0699999999999998E-3</v>
      </c>
      <c r="AB37" s="35">
        <v>0.67900000000000005</v>
      </c>
      <c r="AC37" s="35">
        <v>6.3299999999999997E-3</v>
      </c>
      <c r="AD37" s="35">
        <v>1.0500000000000001E-2</v>
      </c>
      <c r="AE37" s="35">
        <v>1.41E-2</v>
      </c>
      <c r="AF37" s="45">
        <v>4.5100000000000001E-3</v>
      </c>
    </row>
    <row r="38" spans="1:32">
      <c r="A38" s="13" t="s">
        <v>854</v>
      </c>
      <c r="C38" s="36">
        <v>0</v>
      </c>
      <c r="D38" s="36">
        <v>0</v>
      </c>
      <c r="E38" s="36">
        <v>2.35E-2</v>
      </c>
      <c r="F38" s="36">
        <v>0</v>
      </c>
      <c r="G38" s="36">
        <v>8.9999999999999993E-3</v>
      </c>
      <c r="H38" s="36">
        <v>0</v>
      </c>
      <c r="I38" s="36">
        <v>1.5E-3</v>
      </c>
      <c r="J38" s="36">
        <v>1.6500000000000001E-2</v>
      </c>
      <c r="K38" s="36">
        <v>0</v>
      </c>
      <c r="L38" s="36">
        <v>0</v>
      </c>
      <c r="M38" s="36">
        <v>0</v>
      </c>
      <c r="N38" s="36">
        <v>0</v>
      </c>
      <c r="O38" s="36">
        <v>9.5000000000000001E-2</v>
      </c>
      <c r="P38" s="36">
        <v>0</v>
      </c>
      <c r="Q38" s="36">
        <v>8.9999999999999993E-3</v>
      </c>
      <c r="R38" s="36">
        <v>0.32400000000000001</v>
      </c>
      <c r="S38" s="36">
        <v>0</v>
      </c>
      <c r="T38" s="36">
        <v>7.2499999999999995E-2</v>
      </c>
      <c r="U38" s="36">
        <v>0</v>
      </c>
      <c r="V38" s="36">
        <v>0</v>
      </c>
      <c r="W38" s="36">
        <v>0</v>
      </c>
      <c r="X38" s="36">
        <v>0</v>
      </c>
      <c r="Y38" s="36">
        <v>0</v>
      </c>
      <c r="Z38" s="36">
        <v>8.0000000000000002E-3</v>
      </c>
      <c r="AA38" s="36">
        <v>0.49</v>
      </c>
      <c r="AB38" s="36">
        <v>0.248</v>
      </c>
      <c r="AC38" s="36">
        <v>0</v>
      </c>
      <c r="AD38" s="36">
        <v>2.9499999999999998E-2</v>
      </c>
      <c r="AE38" s="36">
        <v>1.4500000000000001E-2</v>
      </c>
      <c r="AF38" s="46">
        <v>6.0000000000000001E-3</v>
      </c>
    </row>
    <row r="39" spans="1:32">
      <c r="A39" s="13" t="s">
        <v>855</v>
      </c>
      <c r="C39" s="35">
        <v>3.7100000000000002E-3</v>
      </c>
      <c r="D39" s="35">
        <v>5.8999999999999999E-3</v>
      </c>
      <c r="E39" s="35">
        <v>4.1700000000000001E-3</v>
      </c>
      <c r="F39" s="35">
        <v>3.2200000000000002E-3</v>
      </c>
      <c r="G39" s="35">
        <v>5.3400000000000001E-3</v>
      </c>
      <c r="H39" s="35">
        <v>3.5000000000000001E-3</v>
      </c>
      <c r="I39" s="35">
        <v>4.64E-3</v>
      </c>
      <c r="J39" s="35">
        <v>0</v>
      </c>
      <c r="K39" s="35">
        <v>0</v>
      </c>
      <c r="L39" s="35">
        <v>8.94E-3</v>
      </c>
      <c r="M39" s="35">
        <v>4.9500000000000004E-3</v>
      </c>
      <c r="N39" s="35">
        <v>6.1000000000000004E-3</v>
      </c>
      <c r="O39" s="35">
        <v>0</v>
      </c>
      <c r="P39" s="35">
        <v>1.44E-2</v>
      </c>
      <c r="Q39" s="35">
        <v>5.0600000000000003E-3</v>
      </c>
      <c r="R39" s="35">
        <v>8.5000000000000006E-3</v>
      </c>
      <c r="S39" s="35">
        <v>5.7999999999999996E-3</v>
      </c>
      <c r="T39" s="35">
        <v>0</v>
      </c>
      <c r="U39" s="35">
        <v>9.4999999999999998E-3</v>
      </c>
      <c r="V39" s="35">
        <v>0</v>
      </c>
      <c r="W39" s="35">
        <v>4.8999999999999998E-3</v>
      </c>
      <c r="X39" s="35">
        <v>5.3200000000000001E-3</v>
      </c>
      <c r="Y39" s="35">
        <v>4.79E-3</v>
      </c>
      <c r="Z39" s="35">
        <v>2.4199999999999999E-2</v>
      </c>
      <c r="AA39" s="35">
        <v>1.64</v>
      </c>
      <c r="AB39" s="35">
        <v>3.12</v>
      </c>
      <c r="AC39" s="35">
        <v>3.0400000000000002E-4</v>
      </c>
      <c r="AD39" s="35">
        <v>0</v>
      </c>
      <c r="AE39" s="35">
        <v>5.7499999999999999E-3</v>
      </c>
      <c r="AF39" s="45">
        <v>4.47E-3</v>
      </c>
    </row>
    <row r="40" spans="1:32">
      <c r="A40" s="13" t="s">
        <v>856</v>
      </c>
      <c r="C40" s="36">
        <v>2.13E-4</v>
      </c>
      <c r="D40" s="36">
        <v>1.4200000000000001E-4</v>
      </c>
      <c r="E40" s="36">
        <v>0</v>
      </c>
      <c r="F40" s="36">
        <v>0</v>
      </c>
      <c r="G40" s="36">
        <v>0</v>
      </c>
      <c r="H40" s="36">
        <v>4.9799999999999996E-4</v>
      </c>
      <c r="I40" s="36">
        <v>9.2400000000000002E-4</v>
      </c>
      <c r="J40" s="36">
        <v>0</v>
      </c>
      <c r="K40" s="36">
        <v>0</v>
      </c>
      <c r="L40" s="36">
        <v>0</v>
      </c>
      <c r="M40" s="36">
        <v>0</v>
      </c>
      <c r="N40" s="36">
        <v>0</v>
      </c>
      <c r="O40" s="36">
        <v>0</v>
      </c>
      <c r="P40" s="36">
        <v>3.2000000000000002E-3</v>
      </c>
      <c r="Q40" s="36">
        <v>0</v>
      </c>
      <c r="R40" s="36">
        <v>1.0500000000000001E-2</v>
      </c>
      <c r="S40" s="36">
        <v>0</v>
      </c>
      <c r="T40" s="36">
        <v>0</v>
      </c>
      <c r="U40" s="36">
        <v>0</v>
      </c>
      <c r="V40" s="36">
        <v>0</v>
      </c>
      <c r="W40" s="36">
        <v>3.4399999999999999E-3</v>
      </c>
      <c r="X40" s="36">
        <v>0</v>
      </c>
      <c r="Y40" s="36">
        <v>0</v>
      </c>
      <c r="Z40" s="36">
        <v>0</v>
      </c>
      <c r="AA40" s="36">
        <v>0</v>
      </c>
      <c r="AB40" s="36">
        <v>6.6800000000000002E-3</v>
      </c>
      <c r="AC40" s="36">
        <v>0</v>
      </c>
      <c r="AD40" s="36">
        <v>0</v>
      </c>
      <c r="AE40" s="36">
        <v>0</v>
      </c>
      <c r="AF40" s="46">
        <v>0</v>
      </c>
    </row>
    <row r="41" spans="1:32">
      <c r="A41" s="13" t="s">
        <v>857</v>
      </c>
      <c r="C41" s="35">
        <v>1.3600000000000001E-3</v>
      </c>
      <c r="D41" s="35">
        <v>0</v>
      </c>
      <c r="E41" s="35">
        <v>2.15E-3</v>
      </c>
      <c r="F41" s="35">
        <v>9.8700000000000003E-4</v>
      </c>
      <c r="G41" s="35">
        <v>1.2899999999999999E-3</v>
      </c>
      <c r="H41" s="35">
        <v>7.8899999999999999E-4</v>
      </c>
      <c r="I41" s="35">
        <v>1.2899999999999999E-3</v>
      </c>
      <c r="J41" s="35">
        <v>2.8699999999999998E-4</v>
      </c>
      <c r="K41" s="35">
        <v>4.3E-3</v>
      </c>
      <c r="L41" s="35">
        <v>2.7499999999999998E-3</v>
      </c>
      <c r="M41" s="35">
        <v>1.08E-3</v>
      </c>
      <c r="N41" s="35">
        <v>1.8699999999999999E-3</v>
      </c>
      <c r="O41" s="35">
        <v>6.3400000000000001E-3</v>
      </c>
      <c r="P41" s="35">
        <v>6.8199999999999997E-3</v>
      </c>
      <c r="Q41" s="35">
        <v>1.15E-3</v>
      </c>
      <c r="R41" s="35">
        <v>3.3700000000000001E-2</v>
      </c>
      <c r="S41" s="35">
        <v>3.09E-2</v>
      </c>
      <c r="T41" s="35">
        <v>1.14E-2</v>
      </c>
      <c r="U41" s="35">
        <v>2.15E-3</v>
      </c>
      <c r="V41" s="35">
        <v>0</v>
      </c>
      <c r="W41" s="35">
        <v>4.3E-3</v>
      </c>
      <c r="X41" s="35">
        <v>1.5499999999999999E-3</v>
      </c>
      <c r="Y41" s="35">
        <v>1E-3</v>
      </c>
      <c r="Z41" s="35">
        <v>1E-3</v>
      </c>
      <c r="AA41" s="35">
        <v>0</v>
      </c>
      <c r="AB41" s="35">
        <v>1.7899999999999999E-4</v>
      </c>
      <c r="AC41" s="35">
        <v>2.63E-3</v>
      </c>
      <c r="AD41" s="35">
        <v>0</v>
      </c>
      <c r="AE41" s="35">
        <v>1.72E-3</v>
      </c>
      <c r="AF41" s="45">
        <v>4.4799999999999999E-4</v>
      </c>
    </row>
    <row r="42" spans="1:32">
      <c r="A42" s="13" t="s">
        <v>243</v>
      </c>
      <c r="C42" s="36">
        <v>5.8500000000000002E-3</v>
      </c>
      <c r="D42" s="36">
        <v>2.92E-2</v>
      </c>
      <c r="E42" s="36">
        <v>7.3099999999999997E-3</v>
      </c>
      <c r="F42" s="36">
        <v>8.77E-3</v>
      </c>
      <c r="G42" s="36">
        <v>8.14E-2</v>
      </c>
      <c r="H42" s="36">
        <v>0</v>
      </c>
      <c r="I42" s="36">
        <v>0</v>
      </c>
      <c r="J42" s="36">
        <v>1.61E-2</v>
      </c>
      <c r="K42" s="36">
        <v>0</v>
      </c>
      <c r="L42" s="36">
        <v>1.46E-2</v>
      </c>
      <c r="M42" s="36">
        <v>4.3E-3</v>
      </c>
      <c r="N42" s="36">
        <v>0</v>
      </c>
      <c r="O42" s="36">
        <v>0</v>
      </c>
      <c r="P42" s="36">
        <v>0</v>
      </c>
      <c r="Q42" s="36">
        <v>1.9499999999999999E-3</v>
      </c>
      <c r="R42" s="36">
        <v>2.2700000000000001E-2</v>
      </c>
      <c r="S42" s="36">
        <v>0</v>
      </c>
      <c r="T42" s="36">
        <v>3.9800000000000002E-2</v>
      </c>
      <c r="U42" s="36">
        <v>0</v>
      </c>
      <c r="V42" s="36">
        <v>0</v>
      </c>
      <c r="W42" s="36">
        <v>1.15E-2</v>
      </c>
      <c r="X42" s="36">
        <v>1.04E-2</v>
      </c>
      <c r="Y42" s="36">
        <v>6.8199999999999997E-3</v>
      </c>
      <c r="Z42" s="36">
        <v>1.61E-2</v>
      </c>
      <c r="AA42" s="36">
        <v>0</v>
      </c>
      <c r="AB42" s="36">
        <v>0</v>
      </c>
      <c r="AC42" s="36">
        <v>3.4099999999999998E-3</v>
      </c>
      <c r="AD42" s="36">
        <v>2.7300000000000001E-2</v>
      </c>
      <c r="AE42" s="36">
        <v>8.77E-3</v>
      </c>
      <c r="AF42" s="46">
        <v>0</v>
      </c>
    </row>
    <row r="43" spans="1:32">
      <c r="A43" s="13" t="s">
        <v>219</v>
      </c>
      <c r="C43" s="35">
        <v>4.9500000000000004E-3</v>
      </c>
      <c r="D43" s="35">
        <v>2.7299999999999998E-3</v>
      </c>
      <c r="E43" s="35">
        <v>2.9199999999999999E-3</v>
      </c>
      <c r="F43" s="35">
        <v>1.7799999999999999E-3</v>
      </c>
      <c r="G43" s="35">
        <v>1.9300000000000001E-3</v>
      </c>
      <c r="H43" s="35">
        <v>4.0600000000000002E-3</v>
      </c>
      <c r="I43" s="35">
        <v>2.9199999999999999E-3</v>
      </c>
      <c r="J43" s="35">
        <v>4.0600000000000002E-3</v>
      </c>
      <c r="K43" s="35">
        <v>2.0600000000000002E-3</v>
      </c>
      <c r="L43" s="35">
        <v>3.3899999999999998E-3</v>
      </c>
      <c r="M43" s="35">
        <v>1.32E-3</v>
      </c>
      <c r="N43" s="35">
        <v>4.0499999999999998E-3</v>
      </c>
      <c r="O43" s="35">
        <v>4.2900000000000004E-3</v>
      </c>
      <c r="P43" s="35">
        <v>0</v>
      </c>
      <c r="Q43" s="35">
        <v>1.8799999999999999E-3</v>
      </c>
      <c r="R43" s="35">
        <v>8.6700000000000006E-3</v>
      </c>
      <c r="S43" s="35">
        <v>7.6E-3</v>
      </c>
      <c r="T43" s="35">
        <v>9.4999999999999998E-3</v>
      </c>
      <c r="U43" s="35">
        <v>6.1900000000000002E-3</v>
      </c>
      <c r="V43" s="35">
        <v>4.2100000000000002E-3</v>
      </c>
      <c r="W43" s="35">
        <v>0</v>
      </c>
      <c r="X43" s="35">
        <v>1.65E-3</v>
      </c>
      <c r="Y43" s="35">
        <v>1.2899999999999999E-3</v>
      </c>
      <c r="Z43" s="35">
        <v>2.1800000000000001E-3</v>
      </c>
      <c r="AA43" s="35">
        <v>3.6700000000000001E-3</v>
      </c>
      <c r="AB43" s="35">
        <v>9.0200000000000002E-3</v>
      </c>
      <c r="AC43" s="35">
        <v>7.4299999999999995E-4</v>
      </c>
      <c r="AD43" s="35">
        <v>3.7699999999999999E-3</v>
      </c>
      <c r="AE43" s="35">
        <v>7.9299999999999998E-4</v>
      </c>
      <c r="AF43" s="45">
        <v>1.5399999999999999E-3</v>
      </c>
    </row>
    <row r="44" spans="1:32" ht="15.95" thickBot="1">
      <c r="A44" s="47" t="s">
        <v>858</v>
      </c>
      <c r="C44" s="54">
        <v>1.95E-2</v>
      </c>
      <c r="D44" s="54">
        <v>0</v>
      </c>
      <c r="E44" s="54">
        <v>1.6799999999999999E-2</v>
      </c>
      <c r="F44" s="54">
        <v>2.42E-4</v>
      </c>
      <c r="G44" s="54">
        <v>0</v>
      </c>
      <c r="H44" s="54">
        <v>0</v>
      </c>
      <c r="I44" s="54">
        <v>0</v>
      </c>
      <c r="J44" s="54">
        <v>0</v>
      </c>
      <c r="K44" s="54">
        <v>0</v>
      </c>
      <c r="L44" s="54">
        <v>8.3099999999999997E-3</v>
      </c>
      <c r="M44" s="54">
        <v>2.8200000000000002E-4</v>
      </c>
      <c r="N44" s="54">
        <v>0</v>
      </c>
      <c r="O44" s="54">
        <v>0</v>
      </c>
      <c r="P44" s="54">
        <v>1.9300000000000001E-2</v>
      </c>
      <c r="Q44" s="54">
        <v>2.5899999999999999E-2</v>
      </c>
      <c r="R44" s="54">
        <v>3.6200000000000003E-2</v>
      </c>
      <c r="S44" s="54">
        <v>8.0400000000000003E-3</v>
      </c>
      <c r="T44" s="54">
        <v>1.9400000000000001E-3</v>
      </c>
      <c r="U44" s="54">
        <v>5.7299999999999999E-3</v>
      </c>
      <c r="V44" s="54">
        <v>4.3600000000000002E-3</v>
      </c>
      <c r="W44" s="54">
        <v>4.84E-4</v>
      </c>
      <c r="X44" s="54">
        <v>1.2099999999999999E-3</v>
      </c>
      <c r="Y44" s="54">
        <v>0</v>
      </c>
      <c r="Z44" s="54">
        <v>1.3100000000000001E-2</v>
      </c>
      <c r="AA44" s="54">
        <v>0.42199999999999999</v>
      </c>
      <c r="AB44" s="54">
        <v>0.129</v>
      </c>
      <c r="AC44" s="54">
        <v>0</v>
      </c>
      <c r="AD44" s="54">
        <v>0</v>
      </c>
      <c r="AE44" s="54">
        <v>0</v>
      </c>
      <c r="AF44" s="62">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84889E3FE72B345B736A12FAFAA7021" ma:contentTypeVersion="3" ma:contentTypeDescription="Create a new document." ma:contentTypeScope="" ma:versionID="26baa145318fce110f7699f8e7cefede">
  <xsd:schema xmlns:xsd="http://www.w3.org/2001/XMLSchema" xmlns:xs="http://www.w3.org/2001/XMLSchema" xmlns:p="http://schemas.microsoft.com/office/2006/metadata/properties" xmlns:ns2="7c68671d-8df7-4bcd-b9c7-6f8b93fef67c" targetNamespace="http://schemas.microsoft.com/office/2006/metadata/properties" ma:root="true" ma:fieldsID="7bedf9c476918f04f2d954d6ebe2be8d" ns2:_="">
    <xsd:import namespace="7c68671d-8df7-4bcd-b9c7-6f8b93fef67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68671d-8df7-4bcd-b9c7-6f8b93fef6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FC5A3E-BC25-4646-83EF-EB6D4470B2DA}"/>
</file>

<file path=customXml/itemProps2.xml><?xml version="1.0" encoding="utf-8"?>
<ds:datastoreItem xmlns:ds="http://schemas.openxmlformats.org/officeDocument/2006/customXml" ds:itemID="{70E4F791-2240-48C7-A31E-6ECA62F68753}"/>
</file>

<file path=customXml/itemProps3.xml><?xml version="1.0" encoding="utf-8"?>
<ds:datastoreItem xmlns:ds="http://schemas.openxmlformats.org/officeDocument/2006/customXml" ds:itemID="{D6FA01CA-4FB1-4F87-8FBC-A33C58F0C4E7}"/>
</file>

<file path=docProps/app.xml><?xml version="1.0" encoding="utf-8"?>
<Properties xmlns="http://schemas.openxmlformats.org/officeDocument/2006/extended-properties" xmlns:vt="http://schemas.openxmlformats.org/officeDocument/2006/docPropsVTypes">
  <Application>Microsoft Excel Online</Application>
  <Manager/>
  <Company>University of Queensland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Pedro Saa Higuera</dc:creator>
  <cp:keywords/>
  <dc:description/>
  <cp:lastModifiedBy/>
  <cp:revision/>
  <dcterms:created xsi:type="dcterms:W3CDTF">2015-04-27T07:00:09Z</dcterms:created>
  <dcterms:modified xsi:type="dcterms:W3CDTF">2026-09-22T13:39:56Z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0x010100F84889E3FE72B345B736A12FAFAA7021</vt:lpwstr>
  </property>
</Properties>
</file>